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<sst xmlns="http://schemas.openxmlformats.org/spreadsheetml/2006/main" count="14" uniqueCount="12">
  <si>
    <t xml:space="preserve">Grip Strength </t>
  </si>
  <si>
    <t>Animal #</t>
  </si>
  <si>
    <t>ID</t>
  </si>
  <si>
    <r>
      <rPr>
        <rFont val="Calibri"/>
        <b/>
        <color theme="1"/>
        <sz val="11.0"/>
      </rPr>
      <t xml:space="preserve">Trial 1 </t>
    </r>
    <r>
      <rPr>
        <rFont val="Calibri"/>
        <b val="0"/>
        <color theme="1"/>
        <sz val="10.0"/>
      </rPr>
      <t>(g)</t>
    </r>
  </si>
  <si>
    <r>
      <rPr>
        <rFont val="Calibri"/>
        <b/>
        <color theme="1"/>
        <sz val="11.0"/>
      </rPr>
      <t xml:space="preserve">2 </t>
    </r>
    <r>
      <rPr>
        <rFont val="Calibri"/>
        <b val="0"/>
        <color theme="1"/>
        <sz val="10.0"/>
      </rPr>
      <t>(g)</t>
    </r>
  </si>
  <si>
    <r>
      <rPr>
        <rFont val="Calibri"/>
        <b/>
        <color theme="1"/>
        <sz val="11.0"/>
      </rPr>
      <t xml:space="preserve">3 </t>
    </r>
    <r>
      <rPr>
        <rFont val="Calibri"/>
        <b val="0"/>
        <color theme="1"/>
        <sz val="10.0"/>
      </rPr>
      <t>(g)</t>
    </r>
  </si>
  <si>
    <r>
      <rPr>
        <rFont val="Calibri"/>
        <b/>
        <color theme="1"/>
        <sz val="11.0"/>
      </rPr>
      <t xml:space="preserve">4 </t>
    </r>
    <r>
      <rPr>
        <rFont val="Calibri"/>
        <b val="0"/>
        <color theme="1"/>
        <sz val="10.0"/>
      </rPr>
      <t>(g)</t>
    </r>
  </si>
  <si>
    <t>Average</t>
  </si>
  <si>
    <t>Ratio (grip srength avg/ weight)</t>
  </si>
  <si>
    <t>Fatigue Score</t>
  </si>
  <si>
    <t>% Fatigue</t>
  </si>
  <si>
    <t>weight (g)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</si>
</sst>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rgb="FF222222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horizontal="center" vertical="bottom"/>
    </xf>
    <xf borderId="0" fillId="0" fontId="3" numFmtId="0" xfId="0" applyFont="1"/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horizontal="right" shrinkToFit="0" vertical="bottom" wrapText="1"/>
    </xf>
    <xf borderId="0" fillId="0" fontId="1" numFmtId="0" xfId="0" applyFont="1"/>
    <xf borderId="0" fillId="0" fontId="1" numFmtId="4" xfId="0" applyFont="1" applyNumberFormat="1"/>
    <xf borderId="0" fillId="0" fontId="1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A4" s="1" t="s">
        <v>0</v>
      </c>
      <c r="B4" s="2">
        <v>46202.0</v>
      </c>
    </row>
    <row r="5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4"/>
      <c r="I5" s="5" t="s">
        <v>8</v>
      </c>
      <c r="J5" s="6"/>
      <c r="K5" s="6"/>
      <c r="L5" s="6"/>
      <c r="M5" s="3" t="s">
        <v>9</v>
      </c>
      <c r="N5" s="3" t="s">
        <v>10</v>
      </c>
    </row>
    <row r="6">
      <c r="A6" s="7">
        <v>1.0</v>
      </c>
      <c r="B6" s="8">
        <v>9432.0</v>
      </c>
      <c r="C6" s="1">
        <v>123.0</v>
      </c>
      <c r="D6" s="1">
        <v>159.0</v>
      </c>
      <c r="E6" s="1">
        <v>97.0</v>
      </c>
      <c r="F6" s="1">
        <v>88.0</v>
      </c>
      <c r="G6" s="9">
        <f t="shared" ref="G6:G22" si="1">AVERAGE(C6:F6)</f>
        <v>116.75</v>
      </c>
      <c r="I6" s="10">
        <f t="shared" ref="I6:I22" si="2">G6/C26</f>
        <v>2.653409091</v>
      </c>
      <c r="M6" s="10">
        <f t="shared" ref="M6:M22" si="3">(E6+F6)/(C6+D6)</f>
        <v>0.6560283688</v>
      </c>
      <c r="N6" s="11">
        <f t="shared" ref="N6:N22" si="4">(1-M6)*100</f>
        <v>34.39716312</v>
      </c>
    </row>
    <row r="7">
      <c r="A7" s="7">
        <v>2.0</v>
      </c>
      <c r="B7" s="8">
        <v>9433.0</v>
      </c>
      <c r="C7" s="1">
        <v>124.0</v>
      </c>
      <c r="D7" s="1">
        <v>113.0</v>
      </c>
      <c r="E7" s="1">
        <v>124.0</v>
      </c>
      <c r="F7" s="1">
        <v>124.0</v>
      </c>
      <c r="G7" s="9">
        <f t="shared" si="1"/>
        <v>121.25</v>
      </c>
      <c r="I7" s="10">
        <f t="shared" si="2"/>
        <v>2.331730769</v>
      </c>
      <c r="M7" s="10">
        <f t="shared" si="3"/>
        <v>1.046413502</v>
      </c>
      <c r="N7" s="11">
        <f t="shared" si="4"/>
        <v>-4.641350211</v>
      </c>
    </row>
    <row r="8">
      <c r="A8" s="7">
        <v>3.0</v>
      </c>
      <c r="B8" s="8">
        <v>9437.0</v>
      </c>
      <c r="C8" s="1">
        <v>226.0</v>
      </c>
      <c r="D8" s="1">
        <v>199.0</v>
      </c>
      <c r="E8" s="1">
        <v>194.0</v>
      </c>
      <c r="F8" s="1">
        <v>119.0</v>
      </c>
      <c r="G8" s="9">
        <f t="shared" si="1"/>
        <v>184.5</v>
      </c>
      <c r="I8" s="10">
        <f t="shared" si="2"/>
        <v>2.365384615</v>
      </c>
      <c r="M8" s="10">
        <f t="shared" si="3"/>
        <v>0.7364705882</v>
      </c>
      <c r="N8" s="11">
        <f t="shared" si="4"/>
        <v>26.35294118</v>
      </c>
    </row>
    <row r="9">
      <c r="A9" s="7">
        <v>4.0</v>
      </c>
      <c r="B9" s="8">
        <v>9441.0</v>
      </c>
      <c r="C9" s="1">
        <v>140.0</v>
      </c>
      <c r="D9" s="1">
        <v>173.0</v>
      </c>
      <c r="E9" s="1">
        <v>171.0</v>
      </c>
      <c r="F9" s="1">
        <v>148.0</v>
      </c>
      <c r="G9" s="9">
        <f t="shared" si="1"/>
        <v>158</v>
      </c>
      <c r="I9" s="10">
        <f t="shared" si="2"/>
        <v>2.633333333</v>
      </c>
      <c r="M9" s="10">
        <f t="shared" si="3"/>
        <v>1.019169329</v>
      </c>
      <c r="N9" s="11">
        <f t="shared" si="4"/>
        <v>-1.916932907</v>
      </c>
    </row>
    <row r="10">
      <c r="A10" s="7">
        <v>5.0</v>
      </c>
      <c r="B10" s="8">
        <v>9449.0</v>
      </c>
      <c r="C10" s="1">
        <v>103.0</v>
      </c>
      <c r="D10" s="1">
        <v>165.0</v>
      </c>
      <c r="E10" s="1">
        <v>95.0</v>
      </c>
      <c r="F10" s="1">
        <v>146.0</v>
      </c>
      <c r="G10" s="9">
        <f t="shared" si="1"/>
        <v>127.25</v>
      </c>
      <c r="I10" s="10">
        <f t="shared" si="2"/>
        <v>4.10483871</v>
      </c>
      <c r="M10" s="10">
        <f t="shared" si="3"/>
        <v>0.8992537313</v>
      </c>
      <c r="N10" s="11">
        <f t="shared" si="4"/>
        <v>10.07462687</v>
      </c>
    </row>
    <row r="11">
      <c r="A11" s="7">
        <v>6.0</v>
      </c>
      <c r="B11" s="8">
        <v>9451.0</v>
      </c>
      <c r="C11" s="1">
        <v>167.0</v>
      </c>
      <c r="D11" s="1">
        <v>223.0</v>
      </c>
      <c r="E11" s="1">
        <v>61.0</v>
      </c>
      <c r="F11" s="1">
        <v>107.0</v>
      </c>
      <c r="G11" s="9">
        <f t="shared" si="1"/>
        <v>139.5</v>
      </c>
      <c r="I11" s="10">
        <f t="shared" si="2"/>
        <v>2.846938776</v>
      </c>
      <c r="M11" s="10">
        <f t="shared" si="3"/>
        <v>0.4307692308</v>
      </c>
      <c r="N11" s="11">
        <f t="shared" si="4"/>
        <v>56.92307692</v>
      </c>
    </row>
    <row r="12">
      <c r="A12" s="7">
        <v>7.0</v>
      </c>
      <c r="B12" s="8">
        <v>9452.0</v>
      </c>
      <c r="C12" s="1">
        <v>199.0</v>
      </c>
      <c r="D12" s="1">
        <v>138.0</v>
      </c>
      <c r="E12" s="1">
        <v>99.0</v>
      </c>
      <c r="F12" s="1">
        <v>141.0</v>
      </c>
      <c r="G12" s="9">
        <f t="shared" si="1"/>
        <v>144.25</v>
      </c>
      <c r="I12" s="10">
        <f t="shared" si="2"/>
        <v>3.135869565</v>
      </c>
      <c r="M12" s="10">
        <f t="shared" si="3"/>
        <v>0.7121661721</v>
      </c>
      <c r="N12" s="11">
        <f t="shared" si="4"/>
        <v>28.78338279</v>
      </c>
    </row>
    <row r="13">
      <c r="A13" s="7">
        <v>8.0</v>
      </c>
      <c r="B13" s="8">
        <v>9454.0</v>
      </c>
      <c r="C13" s="1">
        <v>151.0</v>
      </c>
      <c r="D13" s="1">
        <v>165.0</v>
      </c>
      <c r="E13" s="1">
        <v>140.0</v>
      </c>
      <c r="F13" s="1">
        <v>132.0</v>
      </c>
      <c r="G13" s="9">
        <f t="shared" si="1"/>
        <v>147</v>
      </c>
      <c r="I13" s="10">
        <f t="shared" si="2"/>
        <v>2.261538462</v>
      </c>
      <c r="M13" s="10">
        <f t="shared" si="3"/>
        <v>0.8607594937</v>
      </c>
      <c r="N13" s="11">
        <f t="shared" si="4"/>
        <v>13.92405063</v>
      </c>
    </row>
    <row r="14">
      <c r="A14" s="7">
        <v>9.0</v>
      </c>
      <c r="B14" s="8">
        <v>9455.0</v>
      </c>
      <c r="C14" s="1">
        <v>114.0</v>
      </c>
      <c r="D14" s="1">
        <v>101.0</v>
      </c>
      <c r="E14" s="1">
        <v>100.0</v>
      </c>
      <c r="F14" s="1">
        <v>120.0</v>
      </c>
      <c r="G14" s="9">
        <f t="shared" si="1"/>
        <v>108.75</v>
      </c>
      <c r="I14" s="10">
        <f t="shared" si="2"/>
        <v>2.589285714</v>
      </c>
      <c r="M14" s="10">
        <f t="shared" si="3"/>
        <v>1.023255814</v>
      </c>
      <c r="N14" s="11">
        <f t="shared" si="4"/>
        <v>-2.325581395</v>
      </c>
    </row>
    <row r="15">
      <c r="A15" s="7">
        <v>10.0</v>
      </c>
      <c r="B15" s="8">
        <v>9436.0</v>
      </c>
      <c r="C15" s="1">
        <v>136.0</v>
      </c>
      <c r="D15" s="1">
        <v>152.0</v>
      </c>
      <c r="E15" s="1">
        <v>203.0</v>
      </c>
      <c r="F15" s="1">
        <v>219.0</v>
      </c>
      <c r="G15" s="9">
        <f t="shared" si="1"/>
        <v>177.5</v>
      </c>
      <c r="I15" s="10">
        <f t="shared" si="2"/>
        <v>4.551282051</v>
      </c>
      <c r="M15" s="10">
        <f t="shared" si="3"/>
        <v>1.465277778</v>
      </c>
      <c r="N15" s="11">
        <f t="shared" si="4"/>
        <v>-46.52777778</v>
      </c>
    </row>
    <row r="16">
      <c r="A16" s="7">
        <v>11.0</v>
      </c>
      <c r="B16" s="8">
        <v>9438.0</v>
      </c>
      <c r="C16" s="1">
        <v>180.0</v>
      </c>
      <c r="D16" s="1">
        <v>177.0</v>
      </c>
      <c r="E16" s="1">
        <v>156.0</v>
      </c>
      <c r="F16" s="1">
        <v>163.0</v>
      </c>
      <c r="G16" s="9">
        <f t="shared" si="1"/>
        <v>169</v>
      </c>
      <c r="I16" s="10">
        <f t="shared" si="2"/>
        <v>3.520833333</v>
      </c>
      <c r="M16" s="10">
        <f t="shared" si="3"/>
        <v>0.893557423</v>
      </c>
      <c r="N16" s="11">
        <f t="shared" si="4"/>
        <v>10.6442577</v>
      </c>
    </row>
    <row r="17">
      <c r="A17" s="7">
        <v>12.0</v>
      </c>
      <c r="B17" s="8">
        <v>9439.0</v>
      </c>
      <c r="C17" s="1">
        <v>155.0</v>
      </c>
      <c r="D17" s="1">
        <v>181.0</v>
      </c>
      <c r="E17" s="1">
        <v>128.0</v>
      </c>
      <c r="F17" s="1">
        <v>187.0</v>
      </c>
      <c r="G17" s="9">
        <f t="shared" si="1"/>
        <v>162.75</v>
      </c>
      <c r="I17" s="10">
        <f t="shared" si="2"/>
        <v>3.390625</v>
      </c>
      <c r="M17" s="10">
        <f t="shared" si="3"/>
        <v>0.9375</v>
      </c>
      <c r="N17" s="11">
        <f t="shared" si="4"/>
        <v>6.25</v>
      </c>
    </row>
    <row r="18">
      <c r="A18" s="7">
        <v>13.0</v>
      </c>
      <c r="B18" s="8">
        <v>9443.0</v>
      </c>
      <c r="C18" s="1">
        <v>123.0</v>
      </c>
      <c r="D18" s="1">
        <v>186.0</v>
      </c>
      <c r="E18" s="1">
        <v>164.0</v>
      </c>
      <c r="F18" s="1">
        <v>176.0</v>
      </c>
      <c r="G18" s="9">
        <f t="shared" si="1"/>
        <v>162.25</v>
      </c>
      <c r="I18" s="10">
        <f t="shared" si="2"/>
        <v>4.385135135</v>
      </c>
      <c r="M18" s="10">
        <f t="shared" si="3"/>
        <v>1.100323625</v>
      </c>
      <c r="N18" s="11">
        <f t="shared" si="4"/>
        <v>-10.03236246</v>
      </c>
    </row>
    <row r="19">
      <c r="A19" s="7">
        <v>14.0</v>
      </c>
      <c r="B19" s="8">
        <v>9444.0</v>
      </c>
      <c r="C19" s="1">
        <v>108.0</v>
      </c>
      <c r="D19" s="1">
        <v>114.0</v>
      </c>
      <c r="E19" s="1">
        <v>136.0</v>
      </c>
      <c r="F19" s="1">
        <v>169.0</v>
      </c>
      <c r="G19" s="9">
        <f t="shared" si="1"/>
        <v>131.75</v>
      </c>
      <c r="I19" s="10">
        <f t="shared" si="2"/>
        <v>4.25</v>
      </c>
      <c r="M19" s="10">
        <f t="shared" si="3"/>
        <v>1.373873874</v>
      </c>
      <c r="N19" s="11">
        <f t="shared" si="4"/>
        <v>-37.38738739</v>
      </c>
    </row>
    <row r="20">
      <c r="A20" s="7">
        <v>15.0</v>
      </c>
      <c r="B20" s="8">
        <v>9450.0</v>
      </c>
      <c r="C20" s="1">
        <v>175.0</v>
      </c>
      <c r="D20" s="1">
        <v>167.0</v>
      </c>
      <c r="E20" s="1">
        <v>174.0</v>
      </c>
      <c r="F20" s="1">
        <v>112.0</v>
      </c>
      <c r="G20" s="9">
        <f t="shared" si="1"/>
        <v>157</v>
      </c>
      <c r="I20" s="10">
        <f t="shared" si="2"/>
        <v>3.738095238</v>
      </c>
      <c r="M20" s="10">
        <f t="shared" si="3"/>
        <v>0.8362573099</v>
      </c>
      <c r="N20" s="11">
        <f t="shared" si="4"/>
        <v>16.37426901</v>
      </c>
    </row>
    <row r="21">
      <c r="A21" s="7">
        <v>16.0</v>
      </c>
      <c r="B21" s="8">
        <v>9453.0</v>
      </c>
      <c r="C21" s="1">
        <v>136.0</v>
      </c>
      <c r="D21" s="1">
        <v>103.0</v>
      </c>
      <c r="E21" s="1">
        <v>192.0</v>
      </c>
      <c r="F21" s="1">
        <v>136.0</v>
      </c>
      <c r="G21" s="9">
        <f t="shared" si="1"/>
        <v>141.75</v>
      </c>
      <c r="I21" s="10">
        <f t="shared" si="2"/>
        <v>3.081521739</v>
      </c>
      <c r="M21" s="10">
        <f t="shared" si="3"/>
        <v>1.372384937</v>
      </c>
      <c r="N21" s="11">
        <f t="shared" si="4"/>
        <v>-37.23849372</v>
      </c>
    </row>
    <row r="22">
      <c r="A22" s="7">
        <v>17.0</v>
      </c>
      <c r="B22" s="8">
        <v>9456.0</v>
      </c>
      <c r="C22" s="1">
        <v>126.0</v>
      </c>
      <c r="D22" s="1">
        <v>100.0</v>
      </c>
      <c r="E22" s="1">
        <v>130.0</v>
      </c>
      <c r="F22" s="1">
        <v>99.0</v>
      </c>
      <c r="G22" s="9">
        <f t="shared" si="1"/>
        <v>113.75</v>
      </c>
      <c r="I22" s="10">
        <f t="shared" si="2"/>
        <v>3.159722222</v>
      </c>
      <c r="M22" s="10">
        <f t="shared" si="3"/>
        <v>1.013274336</v>
      </c>
      <c r="N22" s="11">
        <f t="shared" si="4"/>
        <v>-1.327433628</v>
      </c>
    </row>
    <row r="25">
      <c r="A25" s="3" t="s">
        <v>1</v>
      </c>
      <c r="B25" s="3" t="s">
        <v>2</v>
      </c>
      <c r="C25" s="1" t="s">
        <v>11</v>
      </c>
    </row>
    <row r="26">
      <c r="A26" s="7">
        <v>1.0</v>
      </c>
      <c r="B26" s="8">
        <v>9432.0</v>
      </c>
      <c r="C26" s="1">
        <v>44.0</v>
      </c>
    </row>
    <row r="27">
      <c r="A27" s="7">
        <v>2.0</v>
      </c>
      <c r="B27" s="8">
        <v>9433.0</v>
      </c>
      <c r="C27" s="1">
        <v>52.0</v>
      </c>
    </row>
    <row r="28">
      <c r="A28" s="7">
        <v>3.0</v>
      </c>
      <c r="B28" s="8">
        <v>9437.0</v>
      </c>
      <c r="C28" s="1">
        <v>78.0</v>
      </c>
    </row>
    <row r="29">
      <c r="A29" s="7">
        <v>4.0</v>
      </c>
      <c r="B29" s="8">
        <v>9441.0</v>
      </c>
      <c r="C29" s="1">
        <v>60.0</v>
      </c>
    </row>
    <row r="30">
      <c r="A30" s="7">
        <v>5.0</v>
      </c>
      <c r="B30" s="8">
        <v>9449.0</v>
      </c>
      <c r="C30" s="1">
        <v>31.0</v>
      </c>
    </row>
    <row r="31">
      <c r="A31" s="7">
        <v>6.0</v>
      </c>
      <c r="B31" s="8">
        <v>9451.0</v>
      </c>
      <c r="C31" s="1">
        <v>49.0</v>
      </c>
    </row>
    <row r="32">
      <c r="A32" s="7">
        <v>7.0</v>
      </c>
      <c r="B32" s="8">
        <v>9452.0</v>
      </c>
      <c r="C32" s="1">
        <v>46.0</v>
      </c>
    </row>
    <row r="33">
      <c r="A33" s="7">
        <v>8.0</v>
      </c>
      <c r="B33" s="8">
        <v>9454.0</v>
      </c>
      <c r="C33" s="1">
        <v>65.0</v>
      </c>
    </row>
    <row r="34">
      <c r="A34" s="7">
        <v>9.0</v>
      </c>
      <c r="B34" s="8">
        <v>9455.0</v>
      </c>
      <c r="C34" s="1">
        <v>42.0</v>
      </c>
    </row>
    <row r="35">
      <c r="A35" s="7">
        <v>10.0</v>
      </c>
      <c r="B35" s="8">
        <v>9436.0</v>
      </c>
      <c r="C35" s="1">
        <v>39.0</v>
      </c>
    </row>
    <row r="36">
      <c r="A36" s="7">
        <v>11.0</v>
      </c>
      <c r="B36" s="8">
        <v>9438.0</v>
      </c>
      <c r="C36" s="1">
        <v>48.0</v>
      </c>
    </row>
    <row r="37">
      <c r="A37" s="7">
        <v>12.0</v>
      </c>
      <c r="B37" s="8">
        <v>9439.0</v>
      </c>
      <c r="C37" s="1">
        <v>48.0</v>
      </c>
    </row>
    <row r="38">
      <c r="A38" s="7">
        <v>13.0</v>
      </c>
      <c r="B38" s="8">
        <v>9443.0</v>
      </c>
      <c r="C38" s="1">
        <v>37.0</v>
      </c>
    </row>
    <row r="39">
      <c r="A39" s="7">
        <v>14.0</v>
      </c>
      <c r="B39" s="8">
        <v>9444.0</v>
      </c>
      <c r="C39" s="1">
        <v>31.0</v>
      </c>
    </row>
    <row r="40">
      <c r="A40" s="7">
        <v>15.0</v>
      </c>
      <c r="B40" s="8">
        <v>9450.0</v>
      </c>
      <c r="C40" s="1">
        <v>42.0</v>
      </c>
    </row>
    <row r="41">
      <c r="A41" s="7">
        <v>16.0</v>
      </c>
      <c r="B41" s="8">
        <v>9453.0</v>
      </c>
      <c r="C41" s="1">
        <v>46.0</v>
      </c>
    </row>
    <row r="42">
      <c r="A42" s="7">
        <v>17.0</v>
      </c>
      <c r="B42" s="8">
        <v>9456.0</v>
      </c>
      <c r="C42" s="1">
        <v>36.0</v>
      </c>
    </row>
  </sheetData>
  <drawing r:id="rId1"/>
</worksheet>
</file>