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"/>
    </mc:Choice>
  </mc:AlternateContent>
  <xr:revisionPtr revIDLastSave="0" documentId="13_ncr:1_{AD699297-2E6E-3246-8189-032C771B8FB0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Database" sheetId="1" r:id="rId1"/>
    <sheet name="% fat mass" sheetId="12" r:id="rId2"/>
    <sheet name="Fat mass" sheetId="10" r:id="rId3"/>
    <sheet name="Body mass" sheetId="9" r:id="rId4"/>
    <sheet name="Body Comp Average" sheetId="2" r:id="rId5"/>
    <sheet name="qPCR" sheetId="3" r:id="rId6"/>
    <sheet name="Food Intake Calculation" sheetId="4" r:id="rId7"/>
    <sheet name="Injection Calculation" sheetId="5" r:id="rId8"/>
    <sheet name="Schedule of injections" sheetId="6" r:id="rId9"/>
    <sheet name="DOB" sheetId="7" r:id="rId10"/>
    <sheet name="Euthanasia observations" sheetId="8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XKo/iRElfK38cPd5KJJKWLYCIyw=="/>
    </ext>
  </extLst>
</workbook>
</file>

<file path=xl/calcChain.xml><?xml version="1.0" encoding="utf-8"?>
<calcChain xmlns="http://schemas.openxmlformats.org/spreadsheetml/2006/main">
  <c r="W29" i="12" l="1"/>
  <c r="X29" i="12" s="1"/>
  <c r="W28" i="12"/>
  <c r="X28" i="12" s="1"/>
  <c r="W27" i="12"/>
  <c r="X27" i="12" s="1"/>
  <c r="W26" i="12"/>
  <c r="X26" i="12" s="1"/>
  <c r="W25" i="12"/>
  <c r="X25" i="12" s="1"/>
  <c r="W24" i="12"/>
  <c r="X24" i="12" s="1"/>
  <c r="W23" i="12"/>
  <c r="X23" i="12" s="1"/>
  <c r="W22" i="12"/>
  <c r="X22" i="12" s="1"/>
  <c r="W21" i="12"/>
  <c r="X21" i="12" s="1"/>
  <c r="W20" i="12"/>
  <c r="X20" i="12" s="1"/>
  <c r="W19" i="12"/>
  <c r="X19" i="12" s="1"/>
  <c r="W18" i="12"/>
  <c r="X18" i="12" s="1"/>
  <c r="W16" i="12"/>
  <c r="X16" i="12" s="1"/>
  <c r="W15" i="12"/>
  <c r="X15" i="12" s="1"/>
  <c r="W14" i="12"/>
  <c r="X14" i="12" s="1"/>
  <c r="W13" i="12"/>
  <c r="X13" i="12" s="1"/>
  <c r="W12" i="12"/>
  <c r="X12" i="12" s="1"/>
  <c r="W11" i="12"/>
  <c r="X11" i="12" s="1"/>
  <c r="W9" i="12"/>
  <c r="X9" i="12" s="1"/>
  <c r="W8" i="12"/>
  <c r="X8" i="12" s="1"/>
  <c r="W7" i="12"/>
  <c r="X7" i="12" s="1"/>
  <c r="W6" i="12"/>
  <c r="X6" i="12" s="1"/>
  <c r="W5" i="12"/>
  <c r="X5" i="12" s="1"/>
  <c r="W4" i="12"/>
  <c r="X4" i="12" s="1"/>
  <c r="T29" i="12"/>
  <c r="T28" i="12"/>
  <c r="T27" i="12"/>
  <c r="T26" i="12"/>
  <c r="T25" i="12"/>
  <c r="T24" i="12"/>
  <c r="T23" i="12"/>
  <c r="T22" i="12"/>
  <c r="T21" i="12"/>
  <c r="T20" i="12"/>
  <c r="T19" i="12"/>
  <c r="T18" i="12"/>
  <c r="T16" i="12"/>
  <c r="T15" i="12"/>
  <c r="T14" i="12"/>
  <c r="T13" i="12"/>
  <c r="T12" i="12"/>
  <c r="T11" i="12"/>
  <c r="T9" i="12"/>
  <c r="T8" i="12"/>
  <c r="T7" i="12"/>
  <c r="T6" i="12"/>
  <c r="T5" i="12"/>
  <c r="T4" i="12"/>
  <c r="K28" i="12"/>
  <c r="L28" i="12" s="1"/>
  <c r="K27" i="12"/>
  <c r="L27" i="12" s="1"/>
  <c r="K26" i="12"/>
  <c r="L26" i="12" s="1"/>
  <c r="K25" i="12"/>
  <c r="L25" i="12" s="1"/>
  <c r="K24" i="12"/>
  <c r="L24" i="12" s="1"/>
  <c r="K23" i="12"/>
  <c r="L23" i="12" s="1"/>
  <c r="K22" i="12"/>
  <c r="L22" i="12" s="1"/>
  <c r="K21" i="12"/>
  <c r="L21" i="12" s="1"/>
  <c r="K20" i="12"/>
  <c r="L20" i="12" s="1"/>
  <c r="K19" i="12"/>
  <c r="L19" i="12" s="1"/>
  <c r="K18" i="12"/>
  <c r="L18" i="12" s="1"/>
  <c r="K16" i="12"/>
  <c r="L16" i="12" s="1"/>
  <c r="K15" i="12"/>
  <c r="L15" i="12" s="1"/>
  <c r="K14" i="12"/>
  <c r="L14" i="12" s="1"/>
  <c r="K13" i="12"/>
  <c r="L13" i="12" s="1"/>
  <c r="K12" i="12"/>
  <c r="L12" i="12" s="1"/>
  <c r="K11" i="12"/>
  <c r="L11" i="12" s="1"/>
  <c r="K9" i="12"/>
  <c r="L9" i="12" s="1"/>
  <c r="K8" i="12"/>
  <c r="L8" i="12" s="1"/>
  <c r="K7" i="12"/>
  <c r="L7" i="12" s="1"/>
  <c r="K6" i="12"/>
  <c r="L6" i="12" s="1"/>
  <c r="K5" i="12"/>
  <c r="L5" i="12" s="1"/>
  <c r="K4" i="12"/>
  <c r="L4" i="12" s="1"/>
  <c r="H28" i="12"/>
  <c r="H27" i="12"/>
  <c r="H26" i="12"/>
  <c r="H25" i="12"/>
  <c r="H24" i="12"/>
  <c r="H23" i="12"/>
  <c r="H22" i="12"/>
  <c r="H21" i="12"/>
  <c r="H20" i="12"/>
  <c r="H19" i="12"/>
  <c r="H18" i="12"/>
  <c r="H16" i="12"/>
  <c r="H15" i="12"/>
  <c r="H14" i="12"/>
  <c r="H13" i="12"/>
  <c r="H12" i="12"/>
  <c r="H11" i="12"/>
  <c r="H9" i="12"/>
  <c r="H8" i="12"/>
  <c r="H7" i="12"/>
  <c r="H6" i="12"/>
  <c r="H5" i="12"/>
  <c r="H4" i="12"/>
  <c r="P29" i="10" l="1"/>
  <c r="P28" i="10"/>
  <c r="H28" i="10"/>
  <c r="P27" i="10"/>
  <c r="H27" i="10"/>
  <c r="P26" i="10"/>
  <c r="H26" i="10"/>
  <c r="P25" i="10"/>
  <c r="H25" i="10"/>
  <c r="P24" i="10"/>
  <c r="H24" i="10"/>
  <c r="P23" i="10"/>
  <c r="H23" i="10"/>
  <c r="P22" i="10"/>
  <c r="H22" i="10"/>
  <c r="P21" i="10"/>
  <c r="H21" i="10"/>
  <c r="P20" i="10"/>
  <c r="H20" i="10"/>
  <c r="P19" i="10"/>
  <c r="H19" i="10"/>
  <c r="P18" i="10"/>
  <c r="H18" i="10"/>
  <c r="P16" i="10"/>
  <c r="H16" i="10"/>
  <c r="P15" i="10"/>
  <c r="H15" i="10"/>
  <c r="P14" i="10"/>
  <c r="H14" i="10"/>
  <c r="P13" i="10"/>
  <c r="H13" i="10"/>
  <c r="P12" i="10"/>
  <c r="H12" i="10"/>
  <c r="P11" i="10"/>
  <c r="H11" i="10"/>
  <c r="P9" i="10"/>
  <c r="H9" i="10"/>
  <c r="P8" i="10"/>
  <c r="H8" i="10"/>
  <c r="P7" i="10"/>
  <c r="H7" i="10"/>
  <c r="P6" i="10"/>
  <c r="H6" i="10"/>
  <c r="P5" i="10"/>
  <c r="H5" i="10"/>
  <c r="P4" i="10"/>
  <c r="H4" i="10"/>
  <c r="P29" i="9"/>
  <c r="P28" i="9"/>
  <c r="P27" i="9"/>
  <c r="P26" i="9"/>
  <c r="P25" i="9"/>
  <c r="P24" i="9"/>
  <c r="P23" i="9"/>
  <c r="P22" i="9"/>
  <c r="P21" i="9"/>
  <c r="P20" i="9"/>
  <c r="P19" i="9"/>
  <c r="P18" i="9"/>
  <c r="P16" i="9"/>
  <c r="P15" i="9"/>
  <c r="P14" i="9"/>
  <c r="P13" i="9"/>
  <c r="P12" i="9"/>
  <c r="P11" i="9"/>
  <c r="P9" i="9"/>
  <c r="P8" i="9"/>
  <c r="P7" i="9"/>
  <c r="P6" i="9"/>
  <c r="P5" i="9"/>
  <c r="P4" i="9"/>
  <c r="H28" i="9"/>
  <c r="H27" i="9"/>
  <c r="H26" i="9"/>
  <c r="H25" i="9"/>
  <c r="H24" i="9"/>
  <c r="H23" i="9"/>
  <c r="H22" i="9"/>
  <c r="H21" i="9"/>
  <c r="H20" i="9"/>
  <c r="H19" i="9"/>
  <c r="H18" i="9"/>
  <c r="H16" i="9"/>
  <c r="H15" i="9"/>
  <c r="H14" i="9"/>
  <c r="H13" i="9"/>
  <c r="H12" i="9"/>
  <c r="H11" i="9"/>
  <c r="H9" i="9"/>
  <c r="H8" i="9"/>
  <c r="H7" i="9"/>
  <c r="H6" i="9"/>
  <c r="H5" i="9"/>
  <c r="H4" i="9"/>
  <c r="AD82" i="5" l="1"/>
  <c r="AE82" i="5" s="1"/>
  <c r="Y82" i="5"/>
  <c r="Z82" i="5" s="1"/>
  <c r="T82" i="5"/>
  <c r="U82" i="5" s="1"/>
  <c r="O82" i="5"/>
  <c r="P82" i="5" s="1"/>
  <c r="J82" i="5"/>
  <c r="K82" i="5" s="1"/>
  <c r="E82" i="5"/>
  <c r="F82" i="5" s="1"/>
  <c r="AD81" i="5"/>
  <c r="AE81" i="5" s="1"/>
  <c r="Y81" i="5"/>
  <c r="Z81" i="5" s="1"/>
  <c r="T81" i="5"/>
  <c r="U81" i="5" s="1"/>
  <c r="O81" i="5"/>
  <c r="P81" i="5" s="1"/>
  <c r="J81" i="5"/>
  <c r="K81" i="5" s="1"/>
  <c r="E81" i="5"/>
  <c r="F81" i="5" s="1"/>
  <c r="AD80" i="5"/>
  <c r="AE80" i="5" s="1"/>
  <c r="Y80" i="5"/>
  <c r="Z80" i="5" s="1"/>
  <c r="T80" i="5"/>
  <c r="U80" i="5" s="1"/>
  <c r="O80" i="5"/>
  <c r="P80" i="5" s="1"/>
  <c r="J80" i="5"/>
  <c r="K80" i="5" s="1"/>
  <c r="E80" i="5"/>
  <c r="F80" i="5" s="1"/>
  <c r="AD79" i="5"/>
  <c r="AE79" i="5" s="1"/>
  <c r="Y79" i="5"/>
  <c r="Z79" i="5" s="1"/>
  <c r="T79" i="5"/>
  <c r="U79" i="5" s="1"/>
  <c r="O79" i="5"/>
  <c r="P79" i="5" s="1"/>
  <c r="J79" i="5"/>
  <c r="K79" i="5" s="1"/>
  <c r="E79" i="5"/>
  <c r="F79" i="5" s="1"/>
  <c r="AD78" i="5"/>
  <c r="AE78" i="5" s="1"/>
  <c r="Y78" i="5"/>
  <c r="Z78" i="5" s="1"/>
  <c r="T78" i="5"/>
  <c r="U78" i="5" s="1"/>
  <c r="O78" i="5"/>
  <c r="P78" i="5" s="1"/>
  <c r="J78" i="5"/>
  <c r="K78" i="5" s="1"/>
  <c r="E78" i="5"/>
  <c r="F78" i="5" s="1"/>
  <c r="AD77" i="5"/>
  <c r="AE77" i="5" s="1"/>
  <c r="Y77" i="5"/>
  <c r="Z77" i="5" s="1"/>
  <c r="T77" i="5"/>
  <c r="U77" i="5" s="1"/>
  <c r="O77" i="5"/>
  <c r="P77" i="5" s="1"/>
  <c r="J77" i="5"/>
  <c r="K77" i="5" s="1"/>
  <c r="E77" i="5"/>
  <c r="F77" i="5" s="1"/>
  <c r="AD76" i="5"/>
  <c r="AE76" i="5" s="1"/>
  <c r="Y76" i="5"/>
  <c r="Z76" i="5" s="1"/>
  <c r="T76" i="5"/>
  <c r="U76" i="5" s="1"/>
  <c r="O76" i="5"/>
  <c r="P76" i="5" s="1"/>
  <c r="J76" i="5"/>
  <c r="K76" i="5" s="1"/>
  <c r="E76" i="5"/>
  <c r="F76" i="5" s="1"/>
  <c r="AD75" i="5"/>
  <c r="AE75" i="5" s="1"/>
  <c r="Y75" i="5"/>
  <c r="Z75" i="5" s="1"/>
  <c r="T75" i="5"/>
  <c r="U75" i="5" s="1"/>
  <c r="O75" i="5"/>
  <c r="P75" i="5" s="1"/>
  <c r="J75" i="5"/>
  <c r="K75" i="5" s="1"/>
  <c r="E75" i="5"/>
  <c r="F75" i="5" s="1"/>
  <c r="AD74" i="5"/>
  <c r="AE74" i="5" s="1"/>
  <c r="Y74" i="5"/>
  <c r="Z74" i="5" s="1"/>
  <c r="T74" i="5"/>
  <c r="U74" i="5" s="1"/>
  <c r="O74" i="5"/>
  <c r="P74" i="5" s="1"/>
  <c r="J74" i="5"/>
  <c r="K74" i="5" s="1"/>
  <c r="E74" i="5"/>
  <c r="F74" i="5" s="1"/>
  <c r="AD73" i="5"/>
  <c r="AE73" i="5" s="1"/>
  <c r="Y73" i="5"/>
  <c r="Z73" i="5" s="1"/>
  <c r="T73" i="5"/>
  <c r="U73" i="5" s="1"/>
  <c r="O73" i="5"/>
  <c r="P73" i="5" s="1"/>
  <c r="J73" i="5"/>
  <c r="K73" i="5" s="1"/>
  <c r="E73" i="5"/>
  <c r="F73" i="5" s="1"/>
  <c r="AD72" i="5"/>
  <c r="AE72" i="5" s="1"/>
  <c r="Y72" i="5"/>
  <c r="Z72" i="5" s="1"/>
  <c r="T72" i="5"/>
  <c r="U72" i="5" s="1"/>
  <c r="O72" i="5"/>
  <c r="P72" i="5" s="1"/>
  <c r="J72" i="5"/>
  <c r="K72" i="5" s="1"/>
  <c r="E72" i="5"/>
  <c r="F72" i="5" s="1"/>
  <c r="AD71" i="5"/>
  <c r="AE71" i="5" s="1"/>
  <c r="Y71" i="5"/>
  <c r="Z71" i="5" s="1"/>
  <c r="T71" i="5"/>
  <c r="U71" i="5" s="1"/>
  <c r="O71" i="5"/>
  <c r="P71" i="5" s="1"/>
  <c r="J71" i="5"/>
  <c r="K71" i="5" s="1"/>
  <c r="E71" i="5"/>
  <c r="F71" i="5" s="1"/>
  <c r="AD70" i="5"/>
  <c r="AE70" i="5" s="1"/>
  <c r="Y70" i="5"/>
  <c r="Z70" i="5" s="1"/>
  <c r="T70" i="5"/>
  <c r="U70" i="5" s="1"/>
  <c r="O70" i="5"/>
  <c r="P70" i="5" s="1"/>
  <c r="J70" i="5"/>
  <c r="K70" i="5" s="1"/>
  <c r="E70" i="5"/>
  <c r="F70" i="5" s="1"/>
  <c r="AD69" i="5"/>
  <c r="AE69" i="5" s="1"/>
  <c r="Y69" i="5"/>
  <c r="Z69" i="5" s="1"/>
  <c r="T69" i="5"/>
  <c r="U69" i="5" s="1"/>
  <c r="O69" i="5"/>
  <c r="P69" i="5" s="1"/>
  <c r="J69" i="5"/>
  <c r="K69" i="5" s="1"/>
  <c r="E69" i="5"/>
  <c r="F69" i="5" s="1"/>
  <c r="AD68" i="5"/>
  <c r="AE68" i="5" s="1"/>
  <c r="Y68" i="5"/>
  <c r="Z68" i="5" s="1"/>
  <c r="T68" i="5"/>
  <c r="U68" i="5" s="1"/>
  <c r="O68" i="5"/>
  <c r="P68" i="5" s="1"/>
  <c r="J68" i="5"/>
  <c r="K68" i="5" s="1"/>
  <c r="E68" i="5"/>
  <c r="F68" i="5" s="1"/>
  <c r="AD67" i="5"/>
  <c r="AE67" i="5" s="1"/>
  <c r="Y67" i="5"/>
  <c r="Z67" i="5" s="1"/>
  <c r="T67" i="5"/>
  <c r="U67" i="5" s="1"/>
  <c r="O67" i="5"/>
  <c r="P67" i="5" s="1"/>
  <c r="J67" i="5"/>
  <c r="K67" i="5" s="1"/>
  <c r="E67" i="5"/>
  <c r="F67" i="5" s="1"/>
  <c r="AD66" i="5"/>
  <c r="AE66" i="5" s="1"/>
  <c r="Y66" i="5"/>
  <c r="Z66" i="5" s="1"/>
  <c r="T66" i="5"/>
  <c r="U66" i="5" s="1"/>
  <c r="O66" i="5"/>
  <c r="P66" i="5" s="1"/>
  <c r="J66" i="5"/>
  <c r="K66" i="5" s="1"/>
  <c r="E66" i="5"/>
  <c r="F66" i="5" s="1"/>
  <c r="AD65" i="5"/>
  <c r="AE65" i="5" s="1"/>
  <c r="Y65" i="5"/>
  <c r="Z65" i="5" s="1"/>
  <c r="T65" i="5"/>
  <c r="U65" i="5" s="1"/>
  <c r="O65" i="5"/>
  <c r="P65" i="5" s="1"/>
  <c r="J65" i="5"/>
  <c r="K65" i="5" s="1"/>
  <c r="E65" i="5"/>
  <c r="F65" i="5" s="1"/>
  <c r="AD64" i="5"/>
  <c r="AE64" i="5" s="1"/>
  <c r="Y64" i="5"/>
  <c r="Z64" i="5" s="1"/>
  <c r="T64" i="5"/>
  <c r="U64" i="5" s="1"/>
  <c r="O64" i="5"/>
  <c r="P64" i="5" s="1"/>
  <c r="J64" i="5"/>
  <c r="K64" i="5" s="1"/>
  <c r="E64" i="5"/>
  <c r="F64" i="5" s="1"/>
  <c r="AD63" i="5"/>
  <c r="AE63" i="5" s="1"/>
  <c r="Y63" i="5"/>
  <c r="Z63" i="5" s="1"/>
  <c r="T63" i="5"/>
  <c r="U63" i="5" s="1"/>
  <c r="O63" i="5"/>
  <c r="P63" i="5" s="1"/>
  <c r="J63" i="5"/>
  <c r="K63" i="5" s="1"/>
  <c r="E63" i="5"/>
  <c r="F63" i="5" s="1"/>
  <c r="AD62" i="5"/>
  <c r="AE62" i="5" s="1"/>
  <c r="Y62" i="5"/>
  <c r="Z62" i="5" s="1"/>
  <c r="T62" i="5"/>
  <c r="U62" i="5" s="1"/>
  <c r="O62" i="5"/>
  <c r="P62" i="5" s="1"/>
  <c r="J62" i="5"/>
  <c r="K62" i="5" s="1"/>
  <c r="E62" i="5"/>
  <c r="F62" i="5" s="1"/>
  <c r="AD61" i="5"/>
  <c r="AE61" i="5" s="1"/>
  <c r="Y61" i="5"/>
  <c r="Z61" i="5" s="1"/>
  <c r="T61" i="5"/>
  <c r="U61" i="5" s="1"/>
  <c r="O61" i="5"/>
  <c r="P61" i="5" s="1"/>
  <c r="J61" i="5"/>
  <c r="K61" i="5" s="1"/>
  <c r="E61" i="5"/>
  <c r="F61" i="5" s="1"/>
  <c r="AD60" i="5"/>
  <c r="AE60" i="5" s="1"/>
  <c r="Y60" i="5"/>
  <c r="Z60" i="5" s="1"/>
  <c r="T60" i="5"/>
  <c r="U60" i="5" s="1"/>
  <c r="O60" i="5"/>
  <c r="P60" i="5" s="1"/>
  <c r="J60" i="5"/>
  <c r="K60" i="5" s="1"/>
  <c r="E60" i="5"/>
  <c r="F60" i="5" s="1"/>
  <c r="O55" i="5"/>
  <c r="AD54" i="5"/>
  <c r="AE54" i="5" s="1"/>
  <c r="Y54" i="5"/>
  <c r="Z54" i="5" s="1"/>
  <c r="T54" i="5"/>
  <c r="U54" i="5" s="1"/>
  <c r="O54" i="5"/>
  <c r="P54" i="5" s="1"/>
  <c r="J54" i="5"/>
  <c r="K54" i="5" s="1"/>
  <c r="E54" i="5"/>
  <c r="F54" i="5" s="1"/>
  <c r="AD53" i="5"/>
  <c r="AE53" i="5" s="1"/>
  <c r="Y53" i="5"/>
  <c r="Z53" i="5" s="1"/>
  <c r="T53" i="5"/>
  <c r="U53" i="5" s="1"/>
  <c r="O53" i="5"/>
  <c r="P53" i="5" s="1"/>
  <c r="J53" i="5"/>
  <c r="K53" i="5" s="1"/>
  <c r="E53" i="5"/>
  <c r="F53" i="5" s="1"/>
  <c r="AD52" i="5"/>
  <c r="AE52" i="5" s="1"/>
  <c r="Y52" i="5"/>
  <c r="Z52" i="5" s="1"/>
  <c r="T52" i="5"/>
  <c r="U52" i="5" s="1"/>
  <c r="O52" i="5"/>
  <c r="P52" i="5" s="1"/>
  <c r="J52" i="5"/>
  <c r="K52" i="5" s="1"/>
  <c r="E52" i="5"/>
  <c r="F52" i="5" s="1"/>
  <c r="AD51" i="5"/>
  <c r="AE51" i="5" s="1"/>
  <c r="Y51" i="5"/>
  <c r="Z51" i="5" s="1"/>
  <c r="T51" i="5"/>
  <c r="U51" i="5" s="1"/>
  <c r="O51" i="5"/>
  <c r="P51" i="5" s="1"/>
  <c r="J51" i="5"/>
  <c r="K51" i="5" s="1"/>
  <c r="E51" i="5"/>
  <c r="F51" i="5" s="1"/>
  <c r="AD50" i="5"/>
  <c r="AE50" i="5" s="1"/>
  <c r="Y50" i="5"/>
  <c r="Z50" i="5" s="1"/>
  <c r="T50" i="5"/>
  <c r="U50" i="5" s="1"/>
  <c r="O50" i="5"/>
  <c r="P50" i="5" s="1"/>
  <c r="J50" i="5"/>
  <c r="K50" i="5" s="1"/>
  <c r="E50" i="5"/>
  <c r="F50" i="5" s="1"/>
  <c r="AD49" i="5"/>
  <c r="AE49" i="5" s="1"/>
  <c r="Y49" i="5"/>
  <c r="Z49" i="5" s="1"/>
  <c r="T49" i="5"/>
  <c r="U49" i="5" s="1"/>
  <c r="O49" i="5"/>
  <c r="P49" i="5" s="1"/>
  <c r="J49" i="5"/>
  <c r="K49" i="5" s="1"/>
  <c r="E49" i="5"/>
  <c r="F49" i="5" s="1"/>
  <c r="AD48" i="5"/>
  <c r="AE48" i="5" s="1"/>
  <c r="Y48" i="5"/>
  <c r="Z48" i="5" s="1"/>
  <c r="T48" i="5"/>
  <c r="U48" i="5" s="1"/>
  <c r="O48" i="5"/>
  <c r="P48" i="5" s="1"/>
  <c r="J48" i="5"/>
  <c r="K48" i="5" s="1"/>
  <c r="E48" i="5"/>
  <c r="F48" i="5" s="1"/>
  <c r="AD47" i="5"/>
  <c r="AE47" i="5" s="1"/>
  <c r="Y47" i="5"/>
  <c r="Z47" i="5" s="1"/>
  <c r="T47" i="5"/>
  <c r="U47" i="5" s="1"/>
  <c r="O47" i="5"/>
  <c r="P47" i="5" s="1"/>
  <c r="J47" i="5"/>
  <c r="K47" i="5" s="1"/>
  <c r="E47" i="5"/>
  <c r="F47" i="5" s="1"/>
  <c r="AD46" i="5"/>
  <c r="AE46" i="5" s="1"/>
  <c r="Y46" i="5"/>
  <c r="Z46" i="5" s="1"/>
  <c r="T46" i="5"/>
  <c r="U46" i="5" s="1"/>
  <c r="O46" i="5"/>
  <c r="P46" i="5" s="1"/>
  <c r="J46" i="5"/>
  <c r="K46" i="5" s="1"/>
  <c r="E46" i="5"/>
  <c r="F46" i="5" s="1"/>
  <c r="AD45" i="5"/>
  <c r="AE45" i="5" s="1"/>
  <c r="Y45" i="5"/>
  <c r="Z45" i="5" s="1"/>
  <c r="T45" i="5"/>
  <c r="U45" i="5" s="1"/>
  <c r="O45" i="5"/>
  <c r="P45" i="5" s="1"/>
  <c r="J45" i="5"/>
  <c r="K45" i="5" s="1"/>
  <c r="E45" i="5"/>
  <c r="F45" i="5" s="1"/>
  <c r="AD44" i="5"/>
  <c r="AE44" i="5" s="1"/>
  <c r="Y44" i="5"/>
  <c r="Z44" i="5" s="1"/>
  <c r="T44" i="5"/>
  <c r="U44" i="5" s="1"/>
  <c r="O44" i="5"/>
  <c r="P44" i="5" s="1"/>
  <c r="J44" i="5"/>
  <c r="K44" i="5" s="1"/>
  <c r="E44" i="5"/>
  <c r="F44" i="5" s="1"/>
  <c r="AD43" i="5"/>
  <c r="AE43" i="5" s="1"/>
  <c r="Y43" i="5"/>
  <c r="Z43" i="5" s="1"/>
  <c r="T43" i="5"/>
  <c r="U43" i="5" s="1"/>
  <c r="O43" i="5"/>
  <c r="P43" i="5" s="1"/>
  <c r="J43" i="5"/>
  <c r="K43" i="5" s="1"/>
  <c r="E43" i="5"/>
  <c r="F43" i="5" s="1"/>
  <c r="AD42" i="5"/>
  <c r="AE42" i="5" s="1"/>
  <c r="Y42" i="5"/>
  <c r="Z42" i="5" s="1"/>
  <c r="T42" i="5"/>
  <c r="U42" i="5" s="1"/>
  <c r="O42" i="5"/>
  <c r="P42" i="5" s="1"/>
  <c r="J42" i="5"/>
  <c r="K42" i="5" s="1"/>
  <c r="E42" i="5"/>
  <c r="F42" i="5" s="1"/>
  <c r="AD41" i="5"/>
  <c r="AE41" i="5" s="1"/>
  <c r="Y41" i="5"/>
  <c r="Z41" i="5" s="1"/>
  <c r="T41" i="5"/>
  <c r="U41" i="5" s="1"/>
  <c r="O41" i="5"/>
  <c r="P41" i="5" s="1"/>
  <c r="J41" i="5"/>
  <c r="K41" i="5" s="1"/>
  <c r="E41" i="5"/>
  <c r="F41" i="5" s="1"/>
  <c r="AD40" i="5"/>
  <c r="AE40" i="5" s="1"/>
  <c r="Y40" i="5"/>
  <c r="Z40" i="5" s="1"/>
  <c r="T40" i="5"/>
  <c r="U40" i="5" s="1"/>
  <c r="O40" i="5"/>
  <c r="P40" i="5" s="1"/>
  <c r="J40" i="5"/>
  <c r="K40" i="5" s="1"/>
  <c r="E40" i="5"/>
  <c r="F40" i="5" s="1"/>
  <c r="AD39" i="5"/>
  <c r="AE39" i="5" s="1"/>
  <c r="Y39" i="5"/>
  <c r="Z39" i="5" s="1"/>
  <c r="T39" i="5"/>
  <c r="U39" i="5" s="1"/>
  <c r="O39" i="5"/>
  <c r="P39" i="5" s="1"/>
  <c r="J39" i="5"/>
  <c r="K39" i="5" s="1"/>
  <c r="E39" i="5"/>
  <c r="F39" i="5" s="1"/>
  <c r="AD38" i="5"/>
  <c r="AE38" i="5" s="1"/>
  <c r="Y38" i="5"/>
  <c r="Z38" i="5" s="1"/>
  <c r="T38" i="5"/>
  <c r="U38" i="5" s="1"/>
  <c r="O38" i="5"/>
  <c r="P38" i="5" s="1"/>
  <c r="J38" i="5"/>
  <c r="K38" i="5" s="1"/>
  <c r="E38" i="5"/>
  <c r="F38" i="5" s="1"/>
  <c r="AD37" i="5"/>
  <c r="AE37" i="5" s="1"/>
  <c r="Y37" i="5"/>
  <c r="Z37" i="5" s="1"/>
  <c r="T37" i="5"/>
  <c r="U37" i="5" s="1"/>
  <c r="O37" i="5"/>
  <c r="P37" i="5" s="1"/>
  <c r="J37" i="5"/>
  <c r="K37" i="5" s="1"/>
  <c r="E37" i="5"/>
  <c r="F37" i="5" s="1"/>
  <c r="AD36" i="5"/>
  <c r="AE36" i="5" s="1"/>
  <c r="Y36" i="5"/>
  <c r="Z36" i="5" s="1"/>
  <c r="T36" i="5"/>
  <c r="U36" i="5" s="1"/>
  <c r="O36" i="5"/>
  <c r="P36" i="5" s="1"/>
  <c r="J36" i="5"/>
  <c r="K36" i="5" s="1"/>
  <c r="E36" i="5"/>
  <c r="F36" i="5" s="1"/>
  <c r="AD35" i="5"/>
  <c r="AE35" i="5" s="1"/>
  <c r="Y35" i="5"/>
  <c r="Z35" i="5" s="1"/>
  <c r="T35" i="5"/>
  <c r="U35" i="5" s="1"/>
  <c r="O35" i="5"/>
  <c r="P35" i="5" s="1"/>
  <c r="J35" i="5"/>
  <c r="K35" i="5" s="1"/>
  <c r="E35" i="5"/>
  <c r="F35" i="5" s="1"/>
  <c r="AD34" i="5"/>
  <c r="AE34" i="5" s="1"/>
  <c r="Y34" i="5"/>
  <c r="Z34" i="5" s="1"/>
  <c r="T34" i="5"/>
  <c r="U34" i="5" s="1"/>
  <c r="O34" i="5"/>
  <c r="P34" i="5" s="1"/>
  <c r="J34" i="5"/>
  <c r="K34" i="5" s="1"/>
  <c r="E34" i="5"/>
  <c r="F34" i="5" s="1"/>
  <c r="AD33" i="5"/>
  <c r="AE33" i="5" s="1"/>
  <c r="Y33" i="5"/>
  <c r="Z33" i="5" s="1"/>
  <c r="T33" i="5"/>
  <c r="U33" i="5" s="1"/>
  <c r="O33" i="5"/>
  <c r="P33" i="5" s="1"/>
  <c r="J33" i="5"/>
  <c r="K33" i="5" s="1"/>
  <c r="E33" i="5"/>
  <c r="F33" i="5" s="1"/>
  <c r="AD32" i="5"/>
  <c r="AE32" i="5" s="1"/>
  <c r="Y32" i="5"/>
  <c r="Z32" i="5" s="1"/>
  <c r="T32" i="5"/>
  <c r="O32" i="5"/>
  <c r="P32" i="5" s="1"/>
  <c r="J32" i="5"/>
  <c r="J55" i="5" s="1"/>
  <c r="E32" i="5"/>
  <c r="E55" i="5" s="1"/>
  <c r="AD31" i="5"/>
  <c r="AE31" i="5" s="1"/>
  <c r="Y31" i="5"/>
  <c r="Z31" i="5" s="1"/>
  <c r="T31" i="5"/>
  <c r="U31" i="5" s="1"/>
  <c r="O31" i="5"/>
  <c r="P31" i="5" s="1"/>
  <c r="J31" i="5"/>
  <c r="K31" i="5" s="1"/>
  <c r="E31" i="5"/>
  <c r="F31" i="5" s="1"/>
  <c r="AD28" i="5"/>
  <c r="AE28" i="5" s="1"/>
  <c r="Y28" i="5"/>
  <c r="Z28" i="5" s="1"/>
  <c r="T28" i="5"/>
  <c r="U28" i="5" s="1"/>
  <c r="O28" i="5"/>
  <c r="P28" i="5" s="1"/>
  <c r="J28" i="5"/>
  <c r="K28" i="5" s="1"/>
  <c r="E28" i="5"/>
  <c r="F28" i="5" s="1"/>
  <c r="AD27" i="5"/>
  <c r="AE27" i="5" s="1"/>
  <c r="Y27" i="5"/>
  <c r="Z27" i="5" s="1"/>
  <c r="T27" i="5"/>
  <c r="U27" i="5" s="1"/>
  <c r="O27" i="5"/>
  <c r="P27" i="5" s="1"/>
  <c r="J27" i="5"/>
  <c r="K27" i="5" s="1"/>
  <c r="E27" i="5"/>
  <c r="F27" i="5" s="1"/>
  <c r="AD26" i="5"/>
  <c r="AE26" i="5" s="1"/>
  <c r="Y26" i="5"/>
  <c r="Z26" i="5" s="1"/>
  <c r="T26" i="5"/>
  <c r="U26" i="5" s="1"/>
  <c r="O26" i="5"/>
  <c r="P26" i="5" s="1"/>
  <c r="J26" i="5"/>
  <c r="K26" i="5" s="1"/>
  <c r="E26" i="5"/>
  <c r="F26" i="5" s="1"/>
  <c r="AD25" i="5"/>
  <c r="AE25" i="5" s="1"/>
  <c r="Y25" i="5"/>
  <c r="Z25" i="5" s="1"/>
  <c r="T25" i="5"/>
  <c r="U25" i="5" s="1"/>
  <c r="O25" i="5"/>
  <c r="P25" i="5" s="1"/>
  <c r="J25" i="5"/>
  <c r="K25" i="5" s="1"/>
  <c r="E25" i="5"/>
  <c r="F25" i="5" s="1"/>
  <c r="AD24" i="5"/>
  <c r="AE24" i="5" s="1"/>
  <c r="Y24" i="5"/>
  <c r="Z24" i="5" s="1"/>
  <c r="T24" i="5"/>
  <c r="U24" i="5" s="1"/>
  <c r="O24" i="5"/>
  <c r="P24" i="5" s="1"/>
  <c r="J24" i="5"/>
  <c r="K24" i="5" s="1"/>
  <c r="E24" i="5"/>
  <c r="F24" i="5" s="1"/>
  <c r="AD23" i="5"/>
  <c r="AE23" i="5" s="1"/>
  <c r="Y23" i="5"/>
  <c r="Z23" i="5" s="1"/>
  <c r="T23" i="5"/>
  <c r="U23" i="5" s="1"/>
  <c r="O23" i="5"/>
  <c r="P23" i="5" s="1"/>
  <c r="J23" i="5"/>
  <c r="K23" i="5" s="1"/>
  <c r="E23" i="5"/>
  <c r="F23" i="5" s="1"/>
  <c r="AD22" i="5"/>
  <c r="AE22" i="5" s="1"/>
  <c r="Y22" i="5"/>
  <c r="Z22" i="5" s="1"/>
  <c r="T22" i="5"/>
  <c r="U22" i="5" s="1"/>
  <c r="O22" i="5"/>
  <c r="P22" i="5" s="1"/>
  <c r="J22" i="5"/>
  <c r="K22" i="5" s="1"/>
  <c r="E22" i="5"/>
  <c r="F22" i="5" s="1"/>
  <c r="AD21" i="5"/>
  <c r="AE21" i="5" s="1"/>
  <c r="Y21" i="5"/>
  <c r="Z21" i="5" s="1"/>
  <c r="T21" i="5"/>
  <c r="U21" i="5" s="1"/>
  <c r="O21" i="5"/>
  <c r="P21" i="5" s="1"/>
  <c r="J21" i="5"/>
  <c r="K21" i="5" s="1"/>
  <c r="E21" i="5"/>
  <c r="F21" i="5" s="1"/>
  <c r="AD20" i="5"/>
  <c r="AE20" i="5" s="1"/>
  <c r="Y20" i="5"/>
  <c r="Z20" i="5" s="1"/>
  <c r="T20" i="5"/>
  <c r="U20" i="5" s="1"/>
  <c r="O20" i="5"/>
  <c r="P20" i="5" s="1"/>
  <c r="J20" i="5"/>
  <c r="K20" i="5" s="1"/>
  <c r="E20" i="5"/>
  <c r="F20" i="5" s="1"/>
  <c r="AD19" i="5"/>
  <c r="AE19" i="5" s="1"/>
  <c r="Y19" i="5"/>
  <c r="Z19" i="5" s="1"/>
  <c r="T19" i="5"/>
  <c r="U19" i="5" s="1"/>
  <c r="O19" i="5"/>
  <c r="P19" i="5" s="1"/>
  <c r="J19" i="5"/>
  <c r="K19" i="5" s="1"/>
  <c r="E19" i="5"/>
  <c r="F19" i="5" s="1"/>
  <c r="AD18" i="5"/>
  <c r="AE18" i="5" s="1"/>
  <c r="Y18" i="5"/>
  <c r="Z18" i="5" s="1"/>
  <c r="T18" i="5"/>
  <c r="U18" i="5" s="1"/>
  <c r="O18" i="5"/>
  <c r="P18" i="5" s="1"/>
  <c r="J18" i="5"/>
  <c r="K18" i="5" s="1"/>
  <c r="E18" i="5"/>
  <c r="F18" i="5" s="1"/>
  <c r="AD17" i="5"/>
  <c r="AE17" i="5" s="1"/>
  <c r="Y17" i="5"/>
  <c r="Z17" i="5" s="1"/>
  <c r="T17" i="5"/>
  <c r="U17" i="5" s="1"/>
  <c r="O17" i="5"/>
  <c r="P17" i="5" s="1"/>
  <c r="J17" i="5"/>
  <c r="K17" i="5" s="1"/>
  <c r="E17" i="5"/>
  <c r="F17" i="5" s="1"/>
  <c r="AD16" i="5"/>
  <c r="AE16" i="5" s="1"/>
  <c r="Y16" i="5"/>
  <c r="Z16" i="5" s="1"/>
  <c r="T16" i="5"/>
  <c r="U16" i="5" s="1"/>
  <c r="O16" i="5"/>
  <c r="P16" i="5" s="1"/>
  <c r="J16" i="5"/>
  <c r="K16" i="5" s="1"/>
  <c r="E16" i="5"/>
  <c r="F16" i="5" s="1"/>
  <c r="AD15" i="5"/>
  <c r="AE15" i="5" s="1"/>
  <c r="Y15" i="5"/>
  <c r="Z15" i="5" s="1"/>
  <c r="T15" i="5"/>
  <c r="U15" i="5" s="1"/>
  <c r="O15" i="5"/>
  <c r="P15" i="5" s="1"/>
  <c r="J15" i="5"/>
  <c r="K15" i="5" s="1"/>
  <c r="E15" i="5"/>
  <c r="F15" i="5" s="1"/>
  <c r="AD14" i="5"/>
  <c r="AE14" i="5" s="1"/>
  <c r="Y14" i="5"/>
  <c r="Z14" i="5" s="1"/>
  <c r="T14" i="5"/>
  <c r="U14" i="5" s="1"/>
  <c r="O14" i="5"/>
  <c r="P14" i="5" s="1"/>
  <c r="J14" i="5"/>
  <c r="K14" i="5" s="1"/>
  <c r="E14" i="5"/>
  <c r="F14" i="5" s="1"/>
  <c r="AD13" i="5"/>
  <c r="AE13" i="5" s="1"/>
  <c r="Y13" i="5"/>
  <c r="Z13" i="5" s="1"/>
  <c r="T13" i="5"/>
  <c r="U13" i="5" s="1"/>
  <c r="O13" i="5"/>
  <c r="P13" i="5" s="1"/>
  <c r="J13" i="5"/>
  <c r="K13" i="5" s="1"/>
  <c r="E13" i="5"/>
  <c r="F13" i="5" s="1"/>
  <c r="AD12" i="5"/>
  <c r="AE12" i="5" s="1"/>
  <c r="Y12" i="5"/>
  <c r="Z12" i="5" s="1"/>
  <c r="T12" i="5"/>
  <c r="U12" i="5" s="1"/>
  <c r="O12" i="5"/>
  <c r="P12" i="5" s="1"/>
  <c r="J12" i="5"/>
  <c r="K12" i="5" s="1"/>
  <c r="E12" i="5"/>
  <c r="F12" i="5" s="1"/>
  <c r="AD11" i="5"/>
  <c r="AE11" i="5" s="1"/>
  <c r="Y11" i="5"/>
  <c r="Z11" i="5" s="1"/>
  <c r="T11" i="5"/>
  <c r="U11" i="5" s="1"/>
  <c r="O11" i="5"/>
  <c r="P11" i="5" s="1"/>
  <c r="J11" i="5"/>
  <c r="K11" i="5" s="1"/>
  <c r="E11" i="5"/>
  <c r="F11" i="5" s="1"/>
  <c r="AD10" i="5"/>
  <c r="AE10" i="5" s="1"/>
  <c r="Y10" i="5"/>
  <c r="Z10" i="5" s="1"/>
  <c r="T10" i="5"/>
  <c r="U10" i="5" s="1"/>
  <c r="O10" i="5"/>
  <c r="P10" i="5" s="1"/>
  <c r="J10" i="5"/>
  <c r="K10" i="5" s="1"/>
  <c r="E10" i="5"/>
  <c r="F10" i="5" s="1"/>
  <c r="AD9" i="5"/>
  <c r="AE9" i="5" s="1"/>
  <c r="Y9" i="5"/>
  <c r="Z9" i="5" s="1"/>
  <c r="T9" i="5"/>
  <c r="U9" i="5" s="1"/>
  <c r="O9" i="5"/>
  <c r="P9" i="5" s="1"/>
  <c r="J9" i="5"/>
  <c r="K9" i="5" s="1"/>
  <c r="E9" i="5"/>
  <c r="F9" i="5" s="1"/>
  <c r="AD8" i="5"/>
  <c r="AE8" i="5" s="1"/>
  <c r="Y8" i="5"/>
  <c r="Z8" i="5" s="1"/>
  <c r="T8" i="5"/>
  <c r="U8" i="5" s="1"/>
  <c r="O8" i="5"/>
  <c r="P8" i="5" s="1"/>
  <c r="J8" i="5"/>
  <c r="K8" i="5" s="1"/>
  <c r="E8" i="5"/>
  <c r="F8" i="5" s="1"/>
  <c r="AD7" i="5"/>
  <c r="AE7" i="5" s="1"/>
  <c r="Y7" i="5"/>
  <c r="Z7" i="5" s="1"/>
  <c r="T7" i="5"/>
  <c r="U7" i="5" s="1"/>
  <c r="O7" i="5"/>
  <c r="P7" i="5" s="1"/>
  <c r="J7" i="5"/>
  <c r="K7" i="5" s="1"/>
  <c r="E7" i="5"/>
  <c r="F7" i="5" s="1"/>
  <c r="AD6" i="5"/>
  <c r="AE6" i="5" s="1"/>
  <c r="Y6" i="5"/>
  <c r="Z6" i="5" s="1"/>
  <c r="T6" i="5"/>
  <c r="U6" i="5" s="1"/>
  <c r="O6" i="5"/>
  <c r="P6" i="5" s="1"/>
  <c r="J6" i="5"/>
  <c r="K6" i="5" s="1"/>
  <c r="E6" i="5"/>
  <c r="F6" i="5" s="1"/>
  <c r="AD5" i="5"/>
  <c r="AE5" i="5" s="1"/>
  <c r="Y5" i="5"/>
  <c r="Z5" i="5" s="1"/>
  <c r="T5" i="5"/>
  <c r="U5" i="5" s="1"/>
  <c r="O5" i="5"/>
  <c r="P5" i="5" s="1"/>
  <c r="J5" i="5"/>
  <c r="K5" i="5" s="1"/>
  <c r="E5" i="5"/>
  <c r="F5" i="5" s="1"/>
  <c r="AU82" i="4"/>
  <c r="AU81" i="4"/>
  <c r="AI81" i="4"/>
  <c r="AE81" i="4"/>
  <c r="AA81" i="4"/>
  <c r="W81" i="4"/>
  <c r="S81" i="4"/>
  <c r="O81" i="4"/>
  <c r="K81" i="4"/>
  <c r="G81" i="4"/>
  <c r="AU80" i="4"/>
  <c r="AI80" i="4"/>
  <c r="AE80" i="4"/>
  <c r="AA80" i="4"/>
  <c r="W80" i="4"/>
  <c r="S80" i="4"/>
  <c r="O80" i="4"/>
  <c r="K80" i="4"/>
  <c r="G80" i="4"/>
  <c r="AU79" i="4"/>
  <c r="AI79" i="4"/>
  <c r="AE79" i="4"/>
  <c r="AA79" i="4"/>
  <c r="W79" i="4"/>
  <c r="S79" i="4"/>
  <c r="O79" i="4"/>
  <c r="K79" i="4"/>
  <c r="G79" i="4"/>
  <c r="AU78" i="4"/>
  <c r="AI78" i="4"/>
  <c r="AE78" i="4"/>
  <c r="AA78" i="4"/>
  <c r="W78" i="4"/>
  <c r="S78" i="4"/>
  <c r="O78" i="4"/>
  <c r="K78" i="4"/>
  <c r="G78" i="4"/>
  <c r="AU77" i="4"/>
  <c r="AI77" i="4"/>
  <c r="AE77" i="4"/>
  <c r="AA77" i="4"/>
  <c r="W77" i="4"/>
  <c r="S77" i="4"/>
  <c r="O77" i="4"/>
  <c r="K77" i="4"/>
  <c r="G77" i="4"/>
  <c r="AU76" i="4"/>
  <c r="AI76" i="4"/>
  <c r="AE76" i="4"/>
  <c r="AA76" i="4"/>
  <c r="W76" i="4"/>
  <c r="S76" i="4"/>
  <c r="O76" i="4"/>
  <c r="K76" i="4"/>
  <c r="G76" i="4"/>
  <c r="AU75" i="4"/>
  <c r="AI75" i="4"/>
  <c r="AE75" i="4"/>
  <c r="AA75" i="4"/>
  <c r="W75" i="4"/>
  <c r="S75" i="4"/>
  <c r="O75" i="4"/>
  <c r="K75" i="4"/>
  <c r="G75" i="4"/>
  <c r="AU74" i="4"/>
  <c r="AI74" i="4"/>
  <c r="AE74" i="4"/>
  <c r="AA74" i="4"/>
  <c r="W74" i="4"/>
  <c r="S74" i="4"/>
  <c r="O74" i="4"/>
  <c r="K74" i="4"/>
  <c r="G74" i="4"/>
  <c r="AU73" i="4"/>
  <c r="AI73" i="4"/>
  <c r="AE73" i="4"/>
  <c r="AA73" i="4"/>
  <c r="W73" i="4"/>
  <c r="S73" i="4"/>
  <c r="O73" i="4"/>
  <c r="K73" i="4"/>
  <c r="G73" i="4"/>
  <c r="AU72" i="4"/>
  <c r="AI72" i="4"/>
  <c r="AE72" i="4"/>
  <c r="AA72" i="4"/>
  <c r="W72" i="4"/>
  <c r="S72" i="4"/>
  <c r="O72" i="4"/>
  <c r="K72" i="4"/>
  <c r="G72" i="4"/>
  <c r="AU71" i="4"/>
  <c r="AI71" i="4"/>
  <c r="AE71" i="4"/>
  <c r="AA71" i="4"/>
  <c r="W71" i="4"/>
  <c r="S71" i="4"/>
  <c r="O71" i="4"/>
  <c r="K71" i="4"/>
  <c r="G71" i="4"/>
  <c r="AU70" i="4"/>
  <c r="AI70" i="4"/>
  <c r="AE70" i="4"/>
  <c r="AA70" i="4"/>
  <c r="W70" i="4"/>
  <c r="S70" i="4"/>
  <c r="O70" i="4"/>
  <c r="K70" i="4"/>
  <c r="G70" i="4"/>
  <c r="AU69" i="4"/>
  <c r="AI69" i="4"/>
  <c r="AE69" i="4"/>
  <c r="AA69" i="4"/>
  <c r="W69" i="4"/>
  <c r="S69" i="4"/>
  <c r="O69" i="4"/>
  <c r="K69" i="4"/>
  <c r="G69" i="4"/>
  <c r="AU68" i="4"/>
  <c r="AI68" i="4"/>
  <c r="AE68" i="4"/>
  <c r="AA68" i="4"/>
  <c r="W68" i="4"/>
  <c r="S68" i="4"/>
  <c r="O68" i="4"/>
  <c r="K68" i="4"/>
  <c r="G68" i="4"/>
  <c r="AU67" i="4"/>
  <c r="AI67" i="4"/>
  <c r="AE67" i="4"/>
  <c r="AA67" i="4"/>
  <c r="W67" i="4"/>
  <c r="S67" i="4"/>
  <c r="O67" i="4"/>
  <c r="K67" i="4"/>
  <c r="G67" i="4"/>
  <c r="AU66" i="4"/>
  <c r="AI66" i="4"/>
  <c r="AE66" i="4"/>
  <c r="AA66" i="4"/>
  <c r="W66" i="4"/>
  <c r="S66" i="4"/>
  <c r="O66" i="4"/>
  <c r="K66" i="4"/>
  <c r="G66" i="4"/>
  <c r="AU65" i="4"/>
  <c r="AI65" i="4"/>
  <c r="AE65" i="4"/>
  <c r="AA65" i="4"/>
  <c r="W65" i="4"/>
  <c r="S65" i="4"/>
  <c r="O65" i="4"/>
  <c r="K65" i="4"/>
  <c r="G65" i="4"/>
  <c r="AU64" i="4"/>
  <c r="AI64" i="4"/>
  <c r="AE64" i="4"/>
  <c r="AA64" i="4"/>
  <c r="W64" i="4"/>
  <c r="S64" i="4"/>
  <c r="O64" i="4"/>
  <c r="K64" i="4"/>
  <c r="G64" i="4"/>
  <c r="AU63" i="4"/>
  <c r="AI63" i="4"/>
  <c r="AE63" i="4"/>
  <c r="AA63" i="4"/>
  <c r="W63" i="4"/>
  <c r="S63" i="4"/>
  <c r="O63" i="4"/>
  <c r="K63" i="4"/>
  <c r="G63" i="4"/>
  <c r="AU62" i="4"/>
  <c r="AI62" i="4"/>
  <c r="AE62" i="4"/>
  <c r="AA62" i="4"/>
  <c r="W62" i="4"/>
  <c r="S62" i="4"/>
  <c r="O62" i="4"/>
  <c r="K62" i="4"/>
  <c r="G62" i="4"/>
  <c r="AU61" i="4"/>
  <c r="AI61" i="4"/>
  <c r="AE61" i="4"/>
  <c r="AA61" i="4"/>
  <c r="W61" i="4"/>
  <c r="S61" i="4"/>
  <c r="O61" i="4"/>
  <c r="K61" i="4"/>
  <c r="G61" i="4"/>
  <c r="AU60" i="4"/>
  <c r="AI60" i="4"/>
  <c r="AE60" i="4"/>
  <c r="AA60" i="4"/>
  <c r="W60" i="4"/>
  <c r="S60" i="4"/>
  <c r="O60" i="4"/>
  <c r="K60" i="4"/>
  <c r="G60" i="4"/>
  <c r="AU59" i="4"/>
  <c r="AI59" i="4"/>
  <c r="AE59" i="4"/>
  <c r="AA59" i="4"/>
  <c r="W59" i="4"/>
  <c r="S59" i="4"/>
  <c r="O59" i="4"/>
  <c r="K59" i="4"/>
  <c r="G59" i="4"/>
  <c r="AU55" i="4"/>
  <c r="AQ55" i="4"/>
  <c r="AM55" i="4"/>
  <c r="AI55" i="4"/>
  <c r="AE55" i="4"/>
  <c r="AA55" i="4"/>
  <c r="W55" i="4"/>
  <c r="S55" i="4"/>
  <c r="O55" i="4"/>
  <c r="K55" i="4"/>
  <c r="G55" i="4"/>
  <c r="AU54" i="4"/>
  <c r="AQ54" i="4"/>
  <c r="AM54" i="4"/>
  <c r="AI54" i="4"/>
  <c r="AE54" i="4"/>
  <c r="AA54" i="4"/>
  <c r="W54" i="4"/>
  <c r="S54" i="4"/>
  <c r="O54" i="4"/>
  <c r="K54" i="4"/>
  <c r="G54" i="4"/>
  <c r="AU53" i="4"/>
  <c r="AQ53" i="4"/>
  <c r="AM53" i="4"/>
  <c r="AI53" i="4"/>
  <c r="AE53" i="4"/>
  <c r="AA53" i="4"/>
  <c r="W53" i="4"/>
  <c r="S53" i="4"/>
  <c r="O53" i="4"/>
  <c r="K53" i="4"/>
  <c r="G53" i="4"/>
  <c r="AU52" i="4"/>
  <c r="AQ52" i="4"/>
  <c r="AM52" i="4"/>
  <c r="AI52" i="4"/>
  <c r="AE52" i="4"/>
  <c r="AA52" i="4"/>
  <c r="W52" i="4"/>
  <c r="S52" i="4"/>
  <c r="O52" i="4"/>
  <c r="K52" i="4"/>
  <c r="G52" i="4"/>
  <c r="AU51" i="4"/>
  <c r="AQ51" i="4"/>
  <c r="AM51" i="4"/>
  <c r="AI51" i="4"/>
  <c r="AE51" i="4"/>
  <c r="AA51" i="4"/>
  <c r="W51" i="4"/>
  <c r="S51" i="4"/>
  <c r="O51" i="4"/>
  <c r="K51" i="4"/>
  <c r="G51" i="4"/>
  <c r="AU50" i="4"/>
  <c r="AQ50" i="4"/>
  <c r="AM50" i="4"/>
  <c r="AI50" i="4"/>
  <c r="AE50" i="4"/>
  <c r="AA50" i="4"/>
  <c r="W50" i="4"/>
  <c r="S50" i="4"/>
  <c r="O50" i="4"/>
  <c r="K50" i="4"/>
  <c r="G50" i="4"/>
  <c r="AU49" i="4"/>
  <c r="AQ49" i="4"/>
  <c r="AM49" i="4"/>
  <c r="AI49" i="4"/>
  <c r="AE49" i="4"/>
  <c r="AA49" i="4"/>
  <c r="W49" i="4"/>
  <c r="S49" i="4"/>
  <c r="O49" i="4"/>
  <c r="K49" i="4"/>
  <c r="G49" i="4"/>
  <c r="AU48" i="4"/>
  <c r="AQ48" i="4"/>
  <c r="AM48" i="4"/>
  <c r="AI48" i="4"/>
  <c r="AE48" i="4"/>
  <c r="AA48" i="4"/>
  <c r="W48" i="4"/>
  <c r="S48" i="4"/>
  <c r="O48" i="4"/>
  <c r="K48" i="4"/>
  <c r="G48" i="4"/>
  <c r="AU47" i="4"/>
  <c r="AQ47" i="4"/>
  <c r="AM47" i="4"/>
  <c r="AI47" i="4"/>
  <c r="AE47" i="4"/>
  <c r="AA47" i="4"/>
  <c r="W47" i="4"/>
  <c r="S47" i="4"/>
  <c r="O47" i="4"/>
  <c r="K47" i="4"/>
  <c r="G47" i="4"/>
  <c r="AU46" i="4"/>
  <c r="AQ46" i="4"/>
  <c r="AM46" i="4"/>
  <c r="AI46" i="4"/>
  <c r="AE46" i="4"/>
  <c r="AA46" i="4"/>
  <c r="W46" i="4"/>
  <c r="S46" i="4"/>
  <c r="O46" i="4"/>
  <c r="K46" i="4"/>
  <c r="G46" i="4"/>
  <c r="AU45" i="4"/>
  <c r="AQ45" i="4"/>
  <c r="AM45" i="4"/>
  <c r="AI45" i="4"/>
  <c r="AE45" i="4"/>
  <c r="AA45" i="4"/>
  <c r="W45" i="4"/>
  <c r="S45" i="4"/>
  <c r="O45" i="4"/>
  <c r="K45" i="4"/>
  <c r="G45" i="4"/>
  <c r="AU44" i="4"/>
  <c r="AQ44" i="4"/>
  <c r="AM44" i="4"/>
  <c r="AI44" i="4"/>
  <c r="AE44" i="4"/>
  <c r="AA44" i="4"/>
  <c r="W44" i="4"/>
  <c r="S44" i="4"/>
  <c r="O44" i="4"/>
  <c r="K44" i="4"/>
  <c r="G44" i="4"/>
  <c r="AU43" i="4"/>
  <c r="AQ43" i="4"/>
  <c r="AM43" i="4"/>
  <c r="AI43" i="4"/>
  <c r="AE43" i="4"/>
  <c r="AA43" i="4"/>
  <c r="W43" i="4"/>
  <c r="S43" i="4"/>
  <c r="O43" i="4"/>
  <c r="K43" i="4"/>
  <c r="G43" i="4"/>
  <c r="AU42" i="4"/>
  <c r="AQ42" i="4"/>
  <c r="AM42" i="4"/>
  <c r="AI42" i="4"/>
  <c r="AE42" i="4"/>
  <c r="AA42" i="4"/>
  <c r="W42" i="4"/>
  <c r="S42" i="4"/>
  <c r="O42" i="4"/>
  <c r="K42" i="4"/>
  <c r="G42" i="4"/>
  <c r="AU41" i="4"/>
  <c r="AQ41" i="4"/>
  <c r="AM41" i="4"/>
  <c r="AI41" i="4"/>
  <c r="AE41" i="4"/>
  <c r="AA41" i="4"/>
  <c r="W41" i="4"/>
  <c r="S41" i="4"/>
  <c r="O41" i="4"/>
  <c r="K41" i="4"/>
  <c r="G41" i="4"/>
  <c r="AU40" i="4"/>
  <c r="AQ40" i="4"/>
  <c r="AM40" i="4"/>
  <c r="AI40" i="4"/>
  <c r="AE40" i="4"/>
  <c r="AA40" i="4"/>
  <c r="W40" i="4"/>
  <c r="S40" i="4"/>
  <c r="O40" i="4"/>
  <c r="K40" i="4"/>
  <c r="G40" i="4"/>
  <c r="AU39" i="4"/>
  <c r="AQ39" i="4"/>
  <c r="AM39" i="4"/>
  <c r="AI39" i="4"/>
  <c r="AE39" i="4"/>
  <c r="AA39" i="4"/>
  <c r="W39" i="4"/>
  <c r="S39" i="4"/>
  <c r="O39" i="4"/>
  <c r="K39" i="4"/>
  <c r="G39" i="4"/>
  <c r="AU38" i="4"/>
  <c r="AQ38" i="4"/>
  <c r="AM38" i="4"/>
  <c r="AI38" i="4"/>
  <c r="AE38" i="4"/>
  <c r="AA38" i="4"/>
  <c r="W38" i="4"/>
  <c r="S38" i="4"/>
  <c r="O38" i="4"/>
  <c r="K38" i="4"/>
  <c r="G38" i="4"/>
  <c r="AU37" i="4"/>
  <c r="AQ37" i="4"/>
  <c r="AM37" i="4"/>
  <c r="AI37" i="4"/>
  <c r="AE37" i="4"/>
  <c r="AA37" i="4"/>
  <c r="W37" i="4"/>
  <c r="S37" i="4"/>
  <c r="O37" i="4"/>
  <c r="K37" i="4"/>
  <c r="G37" i="4"/>
  <c r="AU36" i="4"/>
  <c r="AQ36" i="4"/>
  <c r="AM36" i="4"/>
  <c r="AI36" i="4"/>
  <c r="AE36" i="4"/>
  <c r="AA36" i="4"/>
  <c r="W36" i="4"/>
  <c r="S36" i="4"/>
  <c r="O36" i="4"/>
  <c r="K36" i="4"/>
  <c r="G36" i="4"/>
  <c r="AU35" i="4"/>
  <c r="AQ35" i="4"/>
  <c r="AM35" i="4"/>
  <c r="AI35" i="4"/>
  <c r="AE35" i="4"/>
  <c r="AA35" i="4"/>
  <c r="W35" i="4"/>
  <c r="S35" i="4"/>
  <c r="O35" i="4"/>
  <c r="K35" i="4"/>
  <c r="G35" i="4"/>
  <c r="AU34" i="4"/>
  <c r="AQ34" i="4"/>
  <c r="AM34" i="4"/>
  <c r="AI34" i="4"/>
  <c r="AE34" i="4"/>
  <c r="AA34" i="4"/>
  <c r="W34" i="4"/>
  <c r="S34" i="4"/>
  <c r="O34" i="4"/>
  <c r="K34" i="4"/>
  <c r="G34" i="4"/>
  <c r="AU33" i="4"/>
  <c r="AQ33" i="4"/>
  <c r="AM33" i="4"/>
  <c r="AI33" i="4"/>
  <c r="AE33" i="4"/>
  <c r="AA33" i="4"/>
  <c r="W33" i="4"/>
  <c r="S33" i="4"/>
  <c r="O33" i="4"/>
  <c r="K33" i="4"/>
  <c r="G33" i="4"/>
  <c r="AU32" i="4"/>
  <c r="AQ32" i="4"/>
  <c r="AM32" i="4"/>
  <c r="AI32" i="4"/>
  <c r="AE32" i="4"/>
  <c r="AA32" i="4"/>
  <c r="W32" i="4"/>
  <c r="S32" i="4"/>
  <c r="O32" i="4"/>
  <c r="K32" i="4"/>
  <c r="G32" i="4"/>
  <c r="AY27" i="4"/>
  <c r="AU27" i="4"/>
  <c r="AQ27" i="4"/>
  <c r="AM27" i="4"/>
  <c r="AI27" i="4"/>
  <c r="AE27" i="4"/>
  <c r="AA27" i="4"/>
  <c r="W27" i="4"/>
  <c r="S27" i="4"/>
  <c r="O27" i="4"/>
  <c r="K27" i="4"/>
  <c r="G27" i="4"/>
  <c r="AY26" i="4"/>
  <c r="AU26" i="4"/>
  <c r="AQ26" i="4"/>
  <c r="AM26" i="4"/>
  <c r="AI26" i="4"/>
  <c r="AE26" i="4"/>
  <c r="AA26" i="4"/>
  <c r="W26" i="4"/>
  <c r="S26" i="4"/>
  <c r="O26" i="4"/>
  <c r="K26" i="4"/>
  <c r="G26" i="4"/>
  <c r="AY25" i="4"/>
  <c r="AU25" i="4"/>
  <c r="AQ25" i="4"/>
  <c r="AM25" i="4"/>
  <c r="AI25" i="4"/>
  <c r="AE25" i="4"/>
  <c r="AA25" i="4"/>
  <c r="W25" i="4"/>
  <c r="S25" i="4"/>
  <c r="O25" i="4"/>
  <c r="K25" i="4"/>
  <c r="G25" i="4"/>
  <c r="AY24" i="4"/>
  <c r="AU24" i="4"/>
  <c r="AQ24" i="4"/>
  <c r="AM24" i="4"/>
  <c r="AI24" i="4"/>
  <c r="AE24" i="4"/>
  <c r="AA24" i="4"/>
  <c r="W24" i="4"/>
  <c r="S24" i="4"/>
  <c r="O24" i="4"/>
  <c r="K24" i="4"/>
  <c r="G24" i="4"/>
  <c r="AY23" i="4"/>
  <c r="AU23" i="4"/>
  <c r="AQ23" i="4"/>
  <c r="AM23" i="4"/>
  <c r="AI23" i="4"/>
  <c r="AE23" i="4"/>
  <c r="AA23" i="4"/>
  <c r="W23" i="4"/>
  <c r="S23" i="4"/>
  <c r="O23" i="4"/>
  <c r="K23" i="4"/>
  <c r="G23" i="4"/>
  <c r="AY22" i="4"/>
  <c r="AU22" i="4"/>
  <c r="AQ22" i="4"/>
  <c r="AM22" i="4"/>
  <c r="AI22" i="4"/>
  <c r="AE22" i="4"/>
  <c r="AA22" i="4"/>
  <c r="W22" i="4"/>
  <c r="S22" i="4"/>
  <c r="O22" i="4"/>
  <c r="K22" i="4"/>
  <c r="G22" i="4"/>
  <c r="AY21" i="4"/>
  <c r="AU21" i="4"/>
  <c r="AQ21" i="4"/>
  <c r="AM21" i="4"/>
  <c r="AI21" i="4"/>
  <c r="AE21" i="4"/>
  <c r="AA21" i="4"/>
  <c r="W21" i="4"/>
  <c r="S21" i="4"/>
  <c r="O21" i="4"/>
  <c r="K21" i="4"/>
  <c r="G21" i="4"/>
  <c r="AY20" i="4"/>
  <c r="AU20" i="4"/>
  <c r="AQ20" i="4"/>
  <c r="AM20" i="4"/>
  <c r="AI20" i="4"/>
  <c r="AE20" i="4"/>
  <c r="AA20" i="4"/>
  <c r="W20" i="4"/>
  <c r="S20" i="4"/>
  <c r="O20" i="4"/>
  <c r="K20" i="4"/>
  <c r="G20" i="4"/>
  <c r="AY19" i="4"/>
  <c r="AU19" i="4"/>
  <c r="AQ19" i="4"/>
  <c r="AM19" i="4"/>
  <c r="AI19" i="4"/>
  <c r="AE19" i="4"/>
  <c r="AA19" i="4"/>
  <c r="W19" i="4"/>
  <c r="S19" i="4"/>
  <c r="O19" i="4"/>
  <c r="K19" i="4"/>
  <c r="G19" i="4"/>
  <c r="AY18" i="4"/>
  <c r="AU18" i="4"/>
  <c r="AQ18" i="4"/>
  <c r="AM18" i="4"/>
  <c r="AI18" i="4"/>
  <c r="AE18" i="4"/>
  <c r="AA18" i="4"/>
  <c r="W18" i="4"/>
  <c r="S18" i="4"/>
  <c r="O18" i="4"/>
  <c r="K18" i="4"/>
  <c r="G18" i="4"/>
  <c r="AY17" i="4"/>
  <c r="AU17" i="4"/>
  <c r="AQ17" i="4"/>
  <c r="AM17" i="4"/>
  <c r="AI17" i="4"/>
  <c r="AE17" i="4"/>
  <c r="AA17" i="4"/>
  <c r="W17" i="4"/>
  <c r="S17" i="4"/>
  <c r="O17" i="4"/>
  <c r="K17" i="4"/>
  <c r="G17" i="4"/>
  <c r="AY16" i="4"/>
  <c r="AU16" i="4"/>
  <c r="AQ16" i="4"/>
  <c r="AM16" i="4"/>
  <c r="AI16" i="4"/>
  <c r="AE16" i="4"/>
  <c r="AA16" i="4"/>
  <c r="W16" i="4"/>
  <c r="S16" i="4"/>
  <c r="O16" i="4"/>
  <c r="K16" i="4"/>
  <c r="G16" i="4"/>
  <c r="AY15" i="4"/>
  <c r="AU15" i="4"/>
  <c r="AQ15" i="4"/>
  <c r="AM15" i="4"/>
  <c r="AI15" i="4"/>
  <c r="AE15" i="4"/>
  <c r="AA15" i="4"/>
  <c r="W15" i="4"/>
  <c r="S15" i="4"/>
  <c r="O15" i="4"/>
  <c r="K15" i="4"/>
  <c r="G15" i="4"/>
  <c r="AY14" i="4"/>
  <c r="AU14" i="4"/>
  <c r="AQ14" i="4"/>
  <c r="AM14" i="4"/>
  <c r="AI14" i="4"/>
  <c r="AE14" i="4"/>
  <c r="AA14" i="4"/>
  <c r="W14" i="4"/>
  <c r="S14" i="4"/>
  <c r="O14" i="4"/>
  <c r="K14" i="4"/>
  <c r="G14" i="4"/>
  <c r="AY13" i="4"/>
  <c r="AU13" i="4"/>
  <c r="AQ13" i="4"/>
  <c r="AM13" i="4"/>
  <c r="AI13" i="4"/>
  <c r="AE13" i="4"/>
  <c r="AA13" i="4"/>
  <c r="W13" i="4"/>
  <c r="S13" i="4"/>
  <c r="O13" i="4"/>
  <c r="K13" i="4"/>
  <c r="G13" i="4"/>
  <c r="AY12" i="4"/>
  <c r="AU12" i="4"/>
  <c r="AQ12" i="4"/>
  <c r="AM12" i="4"/>
  <c r="AI12" i="4"/>
  <c r="AE12" i="4"/>
  <c r="AA12" i="4"/>
  <c r="W12" i="4"/>
  <c r="S12" i="4"/>
  <c r="O12" i="4"/>
  <c r="K12" i="4"/>
  <c r="G12" i="4"/>
  <c r="AY11" i="4"/>
  <c r="AU11" i="4"/>
  <c r="AQ11" i="4"/>
  <c r="AM11" i="4"/>
  <c r="AI11" i="4"/>
  <c r="AE11" i="4"/>
  <c r="AA11" i="4"/>
  <c r="W11" i="4"/>
  <c r="S11" i="4"/>
  <c r="O11" i="4"/>
  <c r="K11" i="4"/>
  <c r="G11" i="4"/>
  <c r="AY10" i="4"/>
  <c r="AU10" i="4"/>
  <c r="AQ10" i="4"/>
  <c r="AM10" i="4"/>
  <c r="AI10" i="4"/>
  <c r="AE10" i="4"/>
  <c r="AA10" i="4"/>
  <c r="W10" i="4"/>
  <c r="S10" i="4"/>
  <c r="O10" i="4"/>
  <c r="K10" i="4"/>
  <c r="G10" i="4"/>
  <c r="AY9" i="4"/>
  <c r="AU9" i="4"/>
  <c r="AQ9" i="4"/>
  <c r="AM9" i="4"/>
  <c r="AI9" i="4"/>
  <c r="AE9" i="4"/>
  <c r="AA9" i="4"/>
  <c r="W9" i="4"/>
  <c r="S9" i="4"/>
  <c r="O9" i="4"/>
  <c r="K9" i="4"/>
  <c r="G9" i="4"/>
  <c r="AY8" i="4"/>
  <c r="AU8" i="4"/>
  <c r="AQ8" i="4"/>
  <c r="AM8" i="4"/>
  <c r="AI8" i="4"/>
  <c r="AE8" i="4"/>
  <c r="AA8" i="4"/>
  <c r="W8" i="4"/>
  <c r="S8" i="4"/>
  <c r="O8" i="4"/>
  <c r="K8" i="4"/>
  <c r="G8" i="4"/>
  <c r="AY7" i="4"/>
  <c r="AU7" i="4"/>
  <c r="AQ7" i="4"/>
  <c r="AM7" i="4"/>
  <c r="AI7" i="4"/>
  <c r="AE7" i="4"/>
  <c r="AA7" i="4"/>
  <c r="W7" i="4"/>
  <c r="S7" i="4"/>
  <c r="O7" i="4"/>
  <c r="K7" i="4"/>
  <c r="G7" i="4"/>
  <c r="AY6" i="4"/>
  <c r="AU6" i="4"/>
  <c r="AQ6" i="4"/>
  <c r="AM6" i="4"/>
  <c r="AI6" i="4"/>
  <c r="AE6" i="4"/>
  <c r="AA6" i="4"/>
  <c r="W6" i="4"/>
  <c r="S6" i="4"/>
  <c r="O6" i="4"/>
  <c r="K6" i="4"/>
  <c r="G6" i="4"/>
  <c r="AY5" i="4"/>
  <c r="AU5" i="4"/>
  <c r="AQ5" i="4"/>
  <c r="AM5" i="4"/>
  <c r="AI5" i="4"/>
  <c r="AE5" i="4"/>
  <c r="AA5" i="4"/>
  <c r="W5" i="4"/>
  <c r="S5" i="4"/>
  <c r="O5" i="4"/>
  <c r="K5" i="4"/>
  <c r="G5" i="4"/>
  <c r="AY4" i="4"/>
  <c r="AU4" i="4"/>
  <c r="AQ4" i="4"/>
  <c r="AM4" i="4"/>
  <c r="AI4" i="4"/>
  <c r="AE4" i="4"/>
  <c r="AA4" i="4"/>
  <c r="W4" i="4"/>
  <c r="S4" i="4"/>
  <c r="O4" i="4"/>
  <c r="K4" i="4"/>
  <c r="G4" i="4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O85" i="1"/>
  <c r="V85" i="1"/>
  <c r="X85" i="1" s="1"/>
  <c r="S85" i="1"/>
  <c r="N85" i="1"/>
  <c r="AO84" i="1"/>
  <c r="V84" i="1"/>
  <c r="X84" i="1" s="1"/>
  <c r="S84" i="1"/>
  <c r="N84" i="1"/>
  <c r="AO83" i="1"/>
  <c r="V83" i="1"/>
  <c r="X83" i="1" s="1"/>
  <c r="S83" i="1"/>
  <c r="N83" i="1"/>
  <c r="AO82" i="1"/>
  <c r="V82" i="1"/>
  <c r="X82" i="1" s="1"/>
  <c r="S82" i="1"/>
  <c r="N82" i="1"/>
  <c r="AO81" i="1"/>
  <c r="V81" i="1"/>
  <c r="X81" i="1" s="1"/>
  <c r="S81" i="1"/>
  <c r="N81" i="1"/>
  <c r="AO80" i="1"/>
  <c r="V80" i="1"/>
  <c r="X80" i="1" s="1"/>
  <c r="S80" i="1"/>
  <c r="N80" i="1"/>
  <c r="AO79" i="1"/>
  <c r="V79" i="1"/>
  <c r="X79" i="1" s="1"/>
  <c r="S79" i="1"/>
  <c r="N79" i="1"/>
  <c r="AO78" i="1"/>
  <c r="V78" i="1"/>
  <c r="X78" i="1" s="1"/>
  <c r="S78" i="1"/>
  <c r="N78" i="1"/>
  <c r="AO77" i="1"/>
  <c r="V77" i="1"/>
  <c r="X77" i="1" s="1"/>
  <c r="S77" i="1"/>
  <c r="N77" i="1"/>
  <c r="AO76" i="1"/>
  <c r="V76" i="1"/>
  <c r="X76" i="1" s="1"/>
  <c r="S76" i="1"/>
  <c r="N76" i="1"/>
  <c r="AO75" i="1"/>
  <c r="V75" i="1"/>
  <c r="X75" i="1" s="1"/>
  <c r="S75" i="1"/>
  <c r="N75" i="1"/>
  <c r="AO74" i="1"/>
  <c r="V74" i="1"/>
  <c r="X74" i="1" s="1"/>
  <c r="S74" i="1"/>
  <c r="N74" i="1"/>
  <c r="AO73" i="1"/>
  <c r="V73" i="1"/>
  <c r="X73" i="1" s="1"/>
  <c r="S73" i="1"/>
  <c r="N73" i="1"/>
  <c r="AO72" i="1"/>
  <c r="V72" i="1"/>
  <c r="X72" i="1" s="1"/>
  <c r="S72" i="1"/>
  <c r="N72" i="1"/>
  <c r="AO71" i="1"/>
  <c r="X71" i="1"/>
  <c r="V71" i="1"/>
  <c r="S71" i="1"/>
  <c r="N71" i="1"/>
  <c r="AO70" i="1"/>
  <c r="V70" i="1"/>
  <c r="X70" i="1" s="1"/>
  <c r="S70" i="1"/>
  <c r="N70" i="1"/>
  <c r="AO69" i="1"/>
  <c r="V69" i="1"/>
  <c r="X69" i="1" s="1"/>
  <c r="S69" i="1"/>
  <c r="N69" i="1"/>
  <c r="AO68" i="1"/>
  <c r="V68" i="1"/>
  <c r="X68" i="1" s="1"/>
  <c r="S68" i="1"/>
  <c r="N68" i="1"/>
  <c r="AO67" i="1"/>
  <c r="V67" i="1"/>
  <c r="X67" i="1" s="1"/>
  <c r="S67" i="1"/>
  <c r="N67" i="1"/>
  <c r="AO66" i="1"/>
  <c r="V66" i="1"/>
  <c r="X66" i="1" s="1"/>
  <c r="S66" i="1"/>
  <c r="N66" i="1"/>
  <c r="AO65" i="1"/>
  <c r="V65" i="1"/>
  <c r="X65" i="1" s="1"/>
  <c r="S65" i="1"/>
  <c r="N65" i="1"/>
  <c r="AO64" i="1"/>
  <c r="V64" i="1"/>
  <c r="X64" i="1" s="1"/>
  <c r="S64" i="1"/>
  <c r="N64" i="1"/>
  <c r="AO63" i="1"/>
  <c r="V63" i="1"/>
  <c r="X63" i="1" s="1"/>
  <c r="S63" i="1"/>
  <c r="N63" i="1"/>
  <c r="AR59" i="1"/>
  <c r="AO59" i="1"/>
  <c r="AC59" i="1"/>
  <c r="X59" i="1"/>
  <c r="S59" i="1"/>
  <c r="N59" i="1"/>
  <c r="AO58" i="1"/>
  <c r="AC58" i="1"/>
  <c r="X58" i="1"/>
  <c r="S58" i="1"/>
  <c r="N58" i="1"/>
  <c r="AO57" i="1"/>
  <c r="AC57" i="1"/>
  <c r="X57" i="1"/>
  <c r="S57" i="1"/>
  <c r="N57" i="1"/>
  <c r="AR56" i="1"/>
  <c r="AO56" i="1"/>
  <c r="AC56" i="1"/>
  <c r="X56" i="1"/>
  <c r="S56" i="1"/>
  <c r="N56" i="1"/>
  <c r="AO55" i="1"/>
  <c r="AC55" i="1"/>
  <c r="X55" i="1"/>
  <c r="S55" i="1"/>
  <c r="N55" i="1"/>
  <c r="AR54" i="1"/>
  <c r="AO54" i="1"/>
  <c r="AC54" i="1"/>
  <c r="X54" i="1"/>
  <c r="S54" i="1"/>
  <c r="N54" i="1"/>
  <c r="AO53" i="1"/>
  <c r="AC53" i="1"/>
  <c r="X53" i="1"/>
  <c r="S53" i="1"/>
  <c r="N53" i="1"/>
  <c r="AR52" i="1"/>
  <c r="AO52" i="1"/>
  <c r="AC52" i="1"/>
  <c r="X52" i="1"/>
  <c r="S52" i="1"/>
  <c r="N52" i="1"/>
  <c r="AO51" i="1"/>
  <c r="AC51" i="1"/>
  <c r="X51" i="1"/>
  <c r="AR50" i="1"/>
  <c r="AO50" i="1"/>
  <c r="AC50" i="1"/>
  <c r="X50" i="1"/>
  <c r="S50" i="1"/>
  <c r="N50" i="1"/>
  <c r="AO49" i="1"/>
  <c r="AC49" i="1"/>
  <c r="X49" i="1"/>
  <c r="S49" i="1"/>
  <c r="N49" i="1"/>
  <c r="AR48" i="1"/>
  <c r="AO48" i="1"/>
  <c r="AC48" i="1"/>
  <c r="X48" i="1"/>
  <c r="S48" i="1"/>
  <c r="N48" i="1"/>
  <c r="AR47" i="1"/>
  <c r="AO47" i="1"/>
  <c r="AC47" i="1"/>
  <c r="X47" i="1"/>
  <c r="S47" i="1"/>
  <c r="N47" i="1"/>
  <c r="AR46" i="1"/>
  <c r="AO46" i="1"/>
  <c r="AC46" i="1"/>
  <c r="X46" i="1"/>
  <c r="S46" i="1"/>
  <c r="N46" i="1"/>
  <c r="AR45" i="1"/>
  <c r="AO45" i="1"/>
  <c r="AC45" i="1"/>
  <c r="X45" i="1"/>
  <c r="S45" i="1"/>
  <c r="N45" i="1"/>
  <c r="AR44" i="1"/>
  <c r="AO44" i="1"/>
  <c r="AC44" i="1"/>
  <c r="X44" i="1"/>
  <c r="S44" i="1"/>
  <c r="N44" i="1"/>
  <c r="AR43" i="1"/>
  <c r="AO43" i="1"/>
  <c r="AC43" i="1"/>
  <c r="X43" i="1"/>
  <c r="S43" i="1"/>
  <c r="N43" i="1"/>
  <c r="AR42" i="1"/>
  <c r="AO42" i="1"/>
  <c r="AC42" i="1"/>
  <c r="X42" i="1"/>
  <c r="S42" i="1"/>
  <c r="N42" i="1"/>
  <c r="AR41" i="1"/>
  <c r="AO41" i="1"/>
  <c r="AC41" i="1"/>
  <c r="X41" i="1"/>
  <c r="S41" i="1"/>
  <c r="N41" i="1"/>
  <c r="AR40" i="1"/>
  <c r="AO40" i="1"/>
  <c r="AC40" i="1"/>
  <c r="X40" i="1"/>
  <c r="S40" i="1"/>
  <c r="N40" i="1"/>
  <c r="AR39" i="1"/>
  <c r="AO39" i="1"/>
  <c r="AC39" i="1"/>
  <c r="X39" i="1"/>
  <c r="S39" i="1"/>
  <c r="N39" i="1"/>
  <c r="AR38" i="1"/>
  <c r="AO38" i="1"/>
  <c r="AC38" i="1"/>
  <c r="X38" i="1"/>
  <c r="S38" i="1"/>
  <c r="N38" i="1"/>
  <c r="AR37" i="1"/>
  <c r="AO37" i="1"/>
  <c r="AC37" i="1"/>
  <c r="X37" i="1"/>
  <c r="S37" i="1"/>
  <c r="N37" i="1"/>
  <c r="AR36" i="1"/>
  <c r="AO36" i="1"/>
  <c r="AC36" i="1"/>
  <c r="X36" i="1"/>
  <c r="S36" i="1"/>
  <c r="N36" i="1"/>
  <c r="AL26" i="1"/>
  <c r="AD26" i="1"/>
  <c r="U26" i="1"/>
  <c r="V26" i="1" s="1"/>
  <c r="R26" i="1"/>
  <c r="AL25" i="1"/>
  <c r="AD25" i="1"/>
  <c r="U25" i="1"/>
  <c r="V25" i="1" s="1"/>
  <c r="R25" i="1"/>
  <c r="AL24" i="1"/>
  <c r="AD24" i="1"/>
  <c r="U24" i="1"/>
  <c r="V24" i="1" s="1"/>
  <c r="R24" i="1"/>
  <c r="AL23" i="1"/>
  <c r="AD23" i="1"/>
  <c r="U23" i="1"/>
  <c r="V23" i="1" s="1"/>
  <c r="R23" i="1"/>
  <c r="AL22" i="1"/>
  <c r="AD22" i="1"/>
  <c r="U22" i="1"/>
  <c r="V22" i="1" s="1"/>
  <c r="R22" i="1"/>
  <c r="AL21" i="1"/>
  <c r="AD21" i="1"/>
  <c r="U21" i="1"/>
  <c r="V21" i="1" s="1"/>
  <c r="R21" i="1"/>
  <c r="AL20" i="1"/>
  <c r="AD20" i="1"/>
  <c r="U20" i="1"/>
  <c r="V20" i="1" s="1"/>
  <c r="R20" i="1"/>
  <c r="AL19" i="1"/>
  <c r="AD19" i="1"/>
  <c r="U19" i="1"/>
  <c r="V19" i="1" s="1"/>
  <c r="R19" i="1"/>
  <c r="AL18" i="1"/>
  <c r="AD18" i="1"/>
  <c r="U18" i="1"/>
  <c r="V18" i="1" s="1"/>
  <c r="R18" i="1"/>
  <c r="AL17" i="1"/>
  <c r="AD17" i="1"/>
  <c r="U17" i="1"/>
  <c r="V17" i="1" s="1"/>
  <c r="R17" i="1"/>
  <c r="AL16" i="1"/>
  <c r="AD16" i="1"/>
  <c r="U16" i="1"/>
  <c r="V16" i="1" s="1"/>
  <c r="R16" i="1"/>
  <c r="AL15" i="1"/>
  <c r="AD15" i="1"/>
  <c r="U15" i="1"/>
  <c r="V15" i="1" s="1"/>
  <c r="R15" i="1"/>
  <c r="AL14" i="1"/>
  <c r="AD14" i="1"/>
  <c r="U14" i="1"/>
  <c r="V14" i="1" s="1"/>
  <c r="R14" i="1"/>
  <c r="AL13" i="1"/>
  <c r="AD13" i="1"/>
  <c r="U13" i="1"/>
  <c r="V13" i="1" s="1"/>
  <c r="R13" i="1"/>
  <c r="AL12" i="1"/>
  <c r="AD12" i="1"/>
  <c r="U12" i="1"/>
  <c r="V12" i="1" s="1"/>
  <c r="R12" i="1"/>
  <c r="AL11" i="1"/>
  <c r="AD11" i="1"/>
  <c r="U11" i="1"/>
  <c r="V11" i="1" s="1"/>
  <c r="R11" i="1"/>
  <c r="AL10" i="1"/>
  <c r="AD10" i="1"/>
  <c r="U10" i="1"/>
  <c r="V10" i="1" s="1"/>
  <c r="R10" i="1"/>
  <c r="AL9" i="1"/>
  <c r="AD9" i="1"/>
  <c r="U9" i="1"/>
  <c r="V9" i="1" s="1"/>
  <c r="R9" i="1"/>
  <c r="AL8" i="1"/>
  <c r="AD8" i="1"/>
  <c r="V8" i="1"/>
  <c r="U8" i="1"/>
  <c r="R8" i="1"/>
  <c r="AL7" i="1"/>
  <c r="AD7" i="1"/>
  <c r="U7" i="1"/>
  <c r="V7" i="1" s="1"/>
  <c r="R7" i="1"/>
  <c r="AL6" i="1"/>
  <c r="AD6" i="1"/>
  <c r="U6" i="1"/>
  <c r="V6" i="1" s="1"/>
  <c r="R6" i="1"/>
  <c r="AL5" i="1"/>
  <c r="AD5" i="1"/>
  <c r="U5" i="1"/>
  <c r="V5" i="1" s="1"/>
  <c r="R5" i="1"/>
  <c r="AL4" i="1"/>
  <c r="AD4" i="1"/>
  <c r="U4" i="1"/>
  <c r="V4" i="1" s="1"/>
  <c r="R4" i="1"/>
  <c r="AL3" i="1"/>
  <c r="AD3" i="1"/>
  <c r="U3" i="1"/>
  <c r="V3" i="1" s="1"/>
  <c r="R3" i="1"/>
  <c r="T55" i="5" l="1"/>
  <c r="U32" i="5"/>
  <c r="Y55" i="5"/>
  <c r="F32" i="5"/>
  <c r="AD55" i="5"/>
  <c r="K3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color rgb="FF000000"/>
            <rFont val="Calibri"/>
          </rPr>
          <t xml:space="preserve">======
</t>
        </r>
        <r>
          <rPr>
            <sz val="11"/>
            <color rgb="FF000000"/>
            <rFont val="Calibri"/>
          </rPr>
          <t xml:space="preserve">ID#AAAATM1aheg
</t>
        </r>
        <r>
          <rPr>
            <sz val="11"/>
            <color rgb="FF000000"/>
            <rFont val="Calibri"/>
          </rPr>
          <t xml:space="preserve">Izabelle    (2022-01-17 05:11:59)
</t>
        </r>
        <r>
          <rPr>
            <sz val="11"/>
            <color rgb="FF000000"/>
            <rFont val="Calibri"/>
          </rPr>
          <t xml:space="preserve">1 = WT
</t>
        </r>
        <r>
          <rPr>
            <sz val="11"/>
            <color rgb="FF000000"/>
            <rFont val="Calibri"/>
          </rPr>
          <t>2 = NZO</t>
        </r>
      </text>
    </comment>
    <comment ref="C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ID#AAAATM1ahec
Izabelle    (2022-01-17 05:11:59)
1 = Male
2 = Female</t>
        </r>
      </text>
    </comment>
    <comment ref="D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ID#AAAATM1ahek
Izabelle    (2022-01-17 05:11:59)
1 = Saline
2 = RTIOXA-47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VyHNNkeLQpYbbz7Cybpko0EvJQ=="/>
    </ext>
  </extLst>
</comments>
</file>

<file path=xl/sharedStrings.xml><?xml version="1.0" encoding="utf-8"?>
<sst xmlns="http://schemas.openxmlformats.org/spreadsheetml/2006/main" count="1796" uniqueCount="352">
  <si>
    <t>Genotype</t>
  </si>
  <si>
    <t>Gender</t>
  </si>
  <si>
    <t>Treatment</t>
  </si>
  <si>
    <t>BEFORE TREATMENT</t>
  </si>
  <si>
    <t>1 WEEK  TREATMENT</t>
  </si>
  <si>
    <t>2 WEEK  TREATMENT</t>
  </si>
  <si>
    <t>3 WEEK  TREATMENT</t>
  </si>
  <si>
    <t xml:space="preserve">4 WEEK  TREATMENT                        </t>
  </si>
  <si>
    <t xml:space="preserve">5 WEEK  TREATMENT                        </t>
  </si>
  <si>
    <t>AFTER TREATMENT</t>
  </si>
  <si>
    <t>Body                     weight                Feb 17</t>
  </si>
  <si>
    <r>
      <rPr>
        <i/>
        <sz val="11"/>
        <color theme="1"/>
        <rFont val="Calibri"/>
      </rPr>
      <t>Body                     weight                Feb 18</t>
    </r>
    <r>
      <rPr>
        <b/>
        <i/>
        <sz val="11"/>
        <color theme="1"/>
        <rFont val="Calibri"/>
      </rPr>
      <t>*</t>
    </r>
  </si>
  <si>
    <t>Body                     weight                Feb 25</t>
  </si>
  <si>
    <r>
      <rPr>
        <i/>
        <sz val="11"/>
        <color theme="1"/>
        <rFont val="Calibri"/>
      </rPr>
      <t xml:space="preserve">Body                     weight                Mar 04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</si>
  <si>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Fat Mass              Feb 25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</si>
  <si>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Feb 25 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</si>
  <si>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Feb 25   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</si>
  <si>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 Feb 25      </t>
    </r>
    <r>
      <rPr>
        <b/>
        <i/>
        <sz val="11"/>
        <color theme="1"/>
        <rFont val="Calibri"/>
      </rPr>
      <t>BASAL</t>
    </r>
  </si>
  <si>
    <t>Food                  Intake                   Feb 18-Feb 21</t>
  </si>
  <si>
    <r>
      <rPr>
        <i/>
        <sz val="11"/>
        <color theme="1"/>
        <rFont val="Calibri"/>
      </rPr>
      <t>Food                  Intake                   Feb 21-Feb 25</t>
    </r>
    <r>
      <rPr>
        <b/>
        <i/>
        <sz val="11"/>
        <color theme="1"/>
        <rFont val="Calibri"/>
      </rPr>
      <t>**</t>
    </r>
  </si>
  <si>
    <r>
      <rPr>
        <i/>
        <sz val="11"/>
        <color theme="1"/>
        <rFont val="Calibri"/>
      </rPr>
      <t xml:space="preserve">Food                  Intake                   Mar 04-Mar 07           </t>
    </r>
    <r>
      <rPr>
        <b/>
        <i/>
        <sz val="11"/>
        <color theme="1"/>
        <rFont val="Calibri"/>
      </rPr>
      <t xml:space="preserve"> BASAL</t>
    </r>
  </si>
  <si>
    <t>Food                  Intake                   Mar 07-Mar 10</t>
  </si>
  <si>
    <t>Food                  Intake                   Mar 10-Mar 14</t>
  </si>
  <si>
    <t>Average            Food Intake               1st week</t>
  </si>
  <si>
    <t>Body          weight                    Mar 11</t>
  </si>
  <si>
    <t>Food                  Intake                   Mar 14-Mar 17</t>
  </si>
  <si>
    <t>Food                  Intake                   Mar 17-Mar 21</t>
  </si>
  <si>
    <t>Average            Food Intake               2nd week</t>
  </si>
  <si>
    <t>Body          weight                    Mar 18</t>
  </si>
  <si>
    <t>Food                  Intake                   Mar 21-Mar 24</t>
  </si>
  <si>
    <t>Food                  Intake                   Mar 24-Mar 28***</t>
  </si>
  <si>
    <t>Average            Food Intake               3nd week</t>
  </si>
  <si>
    <t>Body          weight                    Mar 25</t>
  </si>
  <si>
    <t>Food                  Intake                   Mar 28-Mar 31</t>
  </si>
  <si>
    <t>Food                  Intake                   Mar 31-Apr 04</t>
  </si>
  <si>
    <t>Average            Food Intake               4th week</t>
  </si>
  <si>
    <t>Body          weight                    April 01</t>
  </si>
  <si>
    <t xml:space="preserve">   Food Intake*****              5th week</t>
  </si>
  <si>
    <t>Body          weight                    April 08</t>
  </si>
  <si>
    <r>
      <rPr>
        <i/>
        <sz val="11"/>
        <color rgb="FF000000"/>
        <rFont val="Calibri,Arial"/>
      </rPr>
      <t xml:space="preserve">Body Composition    Fat Mass              Apr 08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</si>
  <si>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rgb="FF000000"/>
        <rFont val="Calibri,Arial"/>
      </rPr>
      <t>Body Composition    Lean Mass               Apr 08</t>
    </r>
    <r>
      <rPr>
        <b/>
        <i/>
        <sz val="11"/>
        <color rgb="FF000000"/>
        <rFont val="Calibri,Arial"/>
      </rPr>
      <t xml:space="preserve">     FINAL</t>
    </r>
  </si>
  <si>
    <r>
      <rPr>
        <i/>
        <sz val="11"/>
        <color rgb="FF000000"/>
        <rFont val="Calibri,Arial"/>
      </rPr>
      <t xml:space="preserve">Body Composition      Free Water              Apr 08    </t>
    </r>
    <r>
      <rPr>
        <b/>
        <i/>
        <sz val="11"/>
        <color rgb="FF000000"/>
        <rFont val="Calibri,Arial"/>
      </rPr>
      <t xml:space="preserve"> FINAL</t>
    </r>
  </si>
  <si>
    <r>
      <rPr>
        <i/>
        <sz val="11"/>
        <color rgb="FF000000"/>
        <rFont val="Calibri,Arial"/>
      </rPr>
      <t xml:space="preserve">Body Composition    Total Water               Apr 08     </t>
    </r>
    <r>
      <rPr>
        <b/>
        <i/>
        <sz val="11"/>
        <color rgb="FF000000"/>
        <rFont val="Calibri,Arial"/>
      </rPr>
      <t>FINAL</t>
    </r>
  </si>
  <si>
    <t xml:space="preserve"> Weight                     gain (g)</t>
  </si>
  <si>
    <t>Fast Blood Glucose (mg/dL)</t>
  </si>
  <si>
    <r>
      <rPr>
        <i/>
        <sz val="11"/>
        <color theme="1"/>
        <rFont val="Calibri"/>
      </rPr>
      <t xml:space="preserve">Fast Blood Glucose   </t>
    </r>
    <r>
      <rPr>
        <b/>
        <i/>
        <sz val="11"/>
        <color theme="1"/>
        <rFont val="Calibri"/>
      </rPr>
      <t>GLUCOSE ASSAY</t>
    </r>
    <r>
      <rPr>
        <i/>
        <sz val="11"/>
        <color theme="1"/>
        <rFont val="Calibri"/>
      </rPr>
      <t xml:space="preserve"> (mg/dL)</t>
    </r>
  </si>
  <si>
    <t>WT</t>
  </si>
  <si>
    <t>MALE</t>
  </si>
  <si>
    <t>SALINE</t>
  </si>
  <si>
    <t>RTIOXA-47</t>
  </si>
  <si>
    <t>FEMALE</t>
  </si>
  <si>
    <t>NZO</t>
  </si>
  <si>
    <t>HI******</t>
  </si>
  <si>
    <t>HI</t>
  </si>
  <si>
    <t>* was used the Phsyiology Core scale</t>
  </si>
  <si>
    <t xml:space="preserve">**as the mice were in iCal, food intake was not recorded between Feb 25 to Mar 04 </t>
  </si>
  <si>
    <t>*** a lot of gnawed food in some cages</t>
  </si>
  <si>
    <t xml:space="preserve">*****as the mice were in iCal, food intake was not recorded between April 04 to Apriil 08 </t>
  </si>
  <si>
    <r>
      <rPr>
        <sz val="11"/>
        <color theme="1"/>
        <rFont val="Calibri"/>
      </rPr>
      <t>******</t>
    </r>
    <r>
      <rPr>
        <b/>
        <sz val="11"/>
        <color theme="1"/>
        <rFont val="Calibri"/>
      </rPr>
      <t>HI</t>
    </r>
    <r>
      <rPr>
        <sz val="11"/>
        <color theme="1"/>
        <rFont val="Calibri"/>
      </rPr>
      <t xml:space="preserve"> = values higher than 600 mg/dL (the glucometer is not capable of to read above this value)</t>
    </r>
  </si>
  <si>
    <t>MICE ID</t>
  </si>
  <si>
    <t>4 WEEK  TREATMENT</t>
  </si>
  <si>
    <t>5 WEEK  TREATMENT</t>
  </si>
  <si>
    <r>
      <rPr>
        <i/>
        <sz val="11"/>
        <color theme="1"/>
        <rFont val="Calibri"/>
      </rPr>
      <t xml:space="preserve">Body Composition    Fat Mass              April 15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</si>
  <si>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April 15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</si>
  <si>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April 15 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</si>
  <si>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April 15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</si>
  <si>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Mass    April 22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</si>
  <si>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Food Intake   (Apr 22-Apr 25)      </t>
    </r>
    <r>
      <rPr>
        <b/>
        <i/>
        <sz val="11"/>
        <color theme="1"/>
        <rFont val="Calibri"/>
      </rPr>
      <t xml:space="preserve">BASAL        </t>
    </r>
    <r>
      <rPr>
        <i/>
        <sz val="11"/>
        <color theme="1"/>
        <rFont val="Calibri"/>
      </rPr>
      <t xml:space="preserve">                 </t>
    </r>
  </si>
  <si>
    <t>Food                  Intake                         April 25-April29</t>
  </si>
  <si>
    <t>Food                  Intake                         April 29-May 02</t>
  </si>
  <si>
    <t>Body          weight                    April  29</t>
  </si>
  <si>
    <t>Food                  Intake                         May 2-May 6</t>
  </si>
  <si>
    <t>Food                  Intake                         May 6-May 9</t>
  </si>
  <si>
    <t>Body          weight                    May 06</t>
  </si>
  <si>
    <t>Food                  Intake                         May 9-May 13</t>
  </si>
  <si>
    <t>Food                  Intake                         May 13-May 16</t>
  </si>
  <si>
    <t>Average            Food Intake               3th week</t>
  </si>
  <si>
    <t>Body          weight                    May 13</t>
  </si>
  <si>
    <t>Food                  Intake                         May 16-May 20</t>
  </si>
  <si>
    <t>Food                  Intake                         May 20-May 23</t>
  </si>
  <si>
    <t>Body          weight                    May 20</t>
  </si>
  <si>
    <r>
      <rPr>
        <i/>
        <sz val="11"/>
        <color theme="1"/>
        <rFont val="Calibri"/>
      </rPr>
      <t xml:space="preserve">Food                  Intake                     </t>
    </r>
    <r>
      <rPr>
        <b/>
        <i/>
        <sz val="14"/>
        <color theme="1"/>
        <rFont val="Calibri"/>
      </rPr>
      <t xml:space="preserve"> </t>
    </r>
    <r>
      <rPr>
        <b/>
        <i/>
        <sz val="14"/>
        <color rgb="FFFF0000"/>
        <rFont val="Calibri"/>
      </rPr>
      <t>*</t>
    </r>
  </si>
  <si>
    <r>
      <rPr>
        <i/>
        <sz val="11"/>
        <color theme="1"/>
        <rFont val="Calibri"/>
      </rPr>
      <t>Food                  Intake                         May 27-</t>
    </r>
    <r>
      <rPr>
        <b/>
        <i/>
        <sz val="14"/>
        <color rgb="FFFF0000"/>
        <rFont val="Calibri"/>
      </rPr>
      <t xml:space="preserve"> *</t>
    </r>
  </si>
  <si>
    <t>Average            Food Intake               5th week</t>
  </si>
  <si>
    <t>Body          weight                    May 27</t>
  </si>
  <si>
    <r>
      <rPr>
        <i/>
        <sz val="11"/>
        <color rgb="FF000000"/>
        <rFont val="Calibri,Arial"/>
      </rPr>
      <t xml:space="preserve">Body Composition    Fat Mass              May 27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</si>
  <si>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rgb="FF000000"/>
        <rFont val="Calibri,Arial"/>
      </rPr>
      <t>Body Composition    Lean Mass               May 27</t>
    </r>
    <r>
      <rPr>
        <b/>
        <i/>
        <sz val="11"/>
        <color rgb="FF000000"/>
        <rFont val="Calibri,Arial"/>
      </rPr>
      <t xml:space="preserve">     FINAL</t>
    </r>
  </si>
  <si>
    <r>
      <rPr>
        <i/>
        <sz val="11"/>
        <color rgb="FF000000"/>
        <rFont val="Calibri,Arial"/>
      </rPr>
      <t xml:space="preserve">Body Composition      Free Water              May 27    </t>
    </r>
    <r>
      <rPr>
        <b/>
        <i/>
        <sz val="11"/>
        <color rgb="FF000000"/>
        <rFont val="Calibri,Arial"/>
      </rPr>
      <t xml:space="preserve"> FINAL</t>
    </r>
  </si>
  <si>
    <r>
      <rPr>
        <i/>
        <sz val="11"/>
        <color rgb="FF000000"/>
        <rFont val="Calibri,Arial"/>
      </rPr>
      <t xml:space="preserve">Body Composition    Total Water               May 27           </t>
    </r>
    <r>
      <rPr>
        <b/>
        <i/>
        <sz val="11"/>
        <color rgb="FF000000"/>
        <rFont val="Calibri,Arial"/>
      </rPr>
      <t>FINAL</t>
    </r>
  </si>
  <si>
    <r>
      <rPr>
        <i/>
        <sz val="11"/>
        <color theme="1"/>
        <rFont val="Calibri"/>
      </rPr>
      <t xml:space="preserve">Fast Blood Glucose   </t>
    </r>
    <r>
      <rPr>
        <b/>
        <i/>
        <sz val="11"/>
        <color theme="1"/>
        <rFont val="Calibri"/>
      </rPr>
      <t>GLUCOSE ASSAY</t>
    </r>
    <r>
      <rPr>
        <i/>
        <sz val="11"/>
        <color theme="1"/>
        <rFont val="Calibri"/>
      </rPr>
      <t xml:space="preserve"> (mg/dL)</t>
    </r>
  </si>
  <si>
    <t>Final Body Composition % Fat Mass</t>
  </si>
  <si>
    <t>132,2</t>
  </si>
  <si>
    <t>152,3</t>
  </si>
  <si>
    <t>132,3</t>
  </si>
  <si>
    <t>81,5</t>
  </si>
  <si>
    <t>154,9</t>
  </si>
  <si>
    <t>98,6</t>
  </si>
  <si>
    <t>59,9</t>
  </si>
  <si>
    <t>142,3</t>
  </si>
  <si>
    <t>126,3</t>
  </si>
  <si>
    <t>168,2</t>
  </si>
  <si>
    <t>869,5</t>
  </si>
  <si>
    <t>1396,6</t>
  </si>
  <si>
    <t>892,7</t>
  </si>
  <si>
    <t>877,4</t>
  </si>
  <si>
    <t>380,5</t>
  </si>
  <si>
    <t>298,3</t>
  </si>
  <si>
    <t>105,2</t>
  </si>
  <si>
    <t>117,3</t>
  </si>
  <si>
    <t>112,9</t>
  </si>
  <si>
    <t>116,7</t>
  </si>
  <si>
    <t>do not use</t>
  </si>
  <si>
    <t>Very stressful week for the animals, maybe is better not to use this data</t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</si>
  <si>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27-May 31</t>
    </r>
  </si>
  <si>
    <t>Mice ID</t>
  </si>
  <si>
    <r>
      <rPr>
        <i/>
        <sz val="11"/>
        <color theme="1"/>
        <rFont val="Calibri"/>
      </rPr>
      <t xml:space="preserve">Body Composition    Fat Mass              Oct. 21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</si>
  <si>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Lean Mass              Oct. 21  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</si>
  <si>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Composition      Free Water              Oct. 21  </t>
    </r>
    <r>
      <rPr>
        <b/>
        <i/>
        <sz val="11"/>
        <color theme="1"/>
        <rFont val="Calibri"/>
      </rPr>
      <t xml:space="preserve"> BASAL</t>
    </r>
  </si>
  <si>
    <r>
      <rPr>
        <i/>
        <sz val="11"/>
        <color theme="1"/>
        <rFont val="Calibri"/>
      </rPr>
      <t xml:space="preserve">Body Composition    Total Water             Oct. 21  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</si>
  <si>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Body Mass    Oct. 28    </t>
    </r>
    <r>
      <rPr>
        <b/>
        <i/>
        <sz val="11"/>
        <color theme="1"/>
        <rFont val="Calibri"/>
      </rPr>
      <t>BASAL</t>
    </r>
  </si>
  <si>
    <r>
      <rPr>
        <i/>
        <sz val="11"/>
        <color theme="1"/>
        <rFont val="Calibri"/>
      </rPr>
      <t xml:space="preserve">Food Intake   (Oct. 28-31)      </t>
    </r>
    <r>
      <rPr>
        <b/>
        <i/>
        <sz val="11"/>
        <color theme="1"/>
        <rFont val="Calibri"/>
      </rPr>
      <t xml:space="preserve">BASAL        </t>
    </r>
    <r>
      <rPr>
        <i/>
        <sz val="11"/>
        <color theme="1"/>
        <rFont val="Calibri"/>
      </rPr>
      <t xml:space="preserve">                 </t>
    </r>
  </si>
  <si>
    <t>Food                  Intake                         Oct. 31-Nov. 4</t>
  </si>
  <si>
    <t>Food                  Intake                         Nov. 4-7</t>
  </si>
  <si>
    <t>Body          weight                    November 4</t>
  </si>
  <si>
    <t>Food                  Intake                         Nov. 7-11</t>
  </si>
  <si>
    <t>Food                  Intake                         Nov. 11-14</t>
  </si>
  <si>
    <t>Body          weight                    Nov. 11</t>
  </si>
  <si>
    <t>Food                  Intake                         Nov. 14-18</t>
  </si>
  <si>
    <t>Food                  Intake                         Nov. 18-21</t>
  </si>
  <si>
    <t>Body          weight                    Nov. 18</t>
  </si>
  <si>
    <t>Food                  Intake                         Nov. 21-25</t>
  </si>
  <si>
    <t>Food                  Intake                         Nov. 25-28</t>
  </si>
  <si>
    <t>Body          weight                    Nov. 25</t>
  </si>
  <si>
    <t>Food                  Intake               Nov. 28-30</t>
  </si>
  <si>
    <r>
      <rPr>
        <i/>
        <sz val="11"/>
        <color rgb="FF000000"/>
        <rFont val="Calibri,Arial"/>
      </rPr>
      <t>Food                  Intake                       Final Recording  Dec. 1-2</t>
    </r>
    <r>
      <rPr>
        <b/>
        <i/>
        <sz val="14"/>
        <color rgb="FFFF0000"/>
        <rFont val="Calibri,Arial"/>
      </rPr>
      <t xml:space="preserve"> *</t>
    </r>
  </si>
  <si>
    <t>Body          weight                    Dec. 2</t>
  </si>
  <si>
    <r>
      <rPr>
        <i/>
        <sz val="11"/>
        <color theme="1"/>
        <rFont val="Calibri,Arial"/>
      </rPr>
      <t xml:space="preserve">Body Composition    Fat Mass              Dec. 2     </t>
    </r>
    <r>
      <rPr>
        <b/>
        <i/>
        <sz val="11"/>
        <color theme="1"/>
        <rFont val="Calibri,Arial"/>
      </rPr>
      <t>FINAL</t>
    </r>
  </si>
  <si>
    <r>
      <rPr>
        <i/>
        <sz val="11"/>
        <color theme="1"/>
        <rFont val="Calibri,Arial"/>
      </rPr>
      <t>Body Composition    Lean Mass               Dec. 2</t>
    </r>
    <r>
      <rPr>
        <b/>
        <i/>
        <sz val="11"/>
        <color theme="1"/>
        <rFont val="Calibri,Arial"/>
      </rPr>
      <t xml:space="preserve">     FINAL</t>
    </r>
  </si>
  <si>
    <r>
      <rPr>
        <i/>
        <sz val="11"/>
        <color theme="1"/>
        <rFont val="Calibri,Arial"/>
      </rPr>
      <t xml:space="preserve">Body Composition      Free Water              Dec. 2    </t>
    </r>
    <r>
      <rPr>
        <b/>
        <i/>
        <sz val="11"/>
        <color theme="1"/>
        <rFont val="Calibri,Arial"/>
      </rPr>
      <t xml:space="preserve"> FINAL</t>
    </r>
  </si>
  <si>
    <r>
      <rPr>
        <i/>
        <sz val="11"/>
        <color theme="1"/>
        <rFont val="Calibri,Arial"/>
      </rPr>
      <t xml:space="preserve">Body Composition    Total Water               Dec. 2           </t>
    </r>
    <r>
      <rPr>
        <b/>
        <i/>
        <sz val="11"/>
        <color theme="1"/>
        <rFont val="Calibri,Arial"/>
      </rPr>
      <t>FINAL</t>
    </r>
  </si>
  <si>
    <r>
      <rPr>
        <i/>
        <sz val="11"/>
        <color rgb="FF000000"/>
        <rFont val="Calibri,Arial"/>
      </rPr>
      <t xml:space="preserve">Fast Blood Glucose   </t>
    </r>
    <r>
      <rPr>
        <b/>
        <i/>
        <sz val="11"/>
        <color rgb="FF000000"/>
        <rFont val="Calibri,Arial"/>
      </rPr>
      <t>GLUCOSE ASSAY</t>
    </r>
    <r>
      <rPr>
        <i/>
        <sz val="11"/>
        <color rgb="FF000000"/>
        <rFont val="Calibri,Arial"/>
      </rPr>
      <t xml:space="preserve"> (mg/dL)</t>
    </r>
  </si>
  <si>
    <t>NZO Agonist F</t>
  </si>
  <si>
    <t>NZO Saline F</t>
  </si>
  <si>
    <t>NZO Agonist M</t>
  </si>
  <si>
    <t>NZO Saline M</t>
  </si>
  <si>
    <t>WT Agonist F</t>
  </si>
  <si>
    <t>WT Saline F</t>
  </si>
  <si>
    <t>WT Agonist M</t>
  </si>
  <si>
    <t>WT Saline M</t>
  </si>
  <si>
    <t>Lean Mass</t>
  </si>
  <si>
    <t>Fat Mass</t>
  </si>
  <si>
    <t>Total Water</t>
  </si>
  <si>
    <t>Free Water</t>
  </si>
  <si>
    <r>
      <rPr>
        <b/>
        <sz val="11"/>
        <color theme="1"/>
        <rFont val="Calibri"/>
      </rPr>
      <t xml:space="preserve">RNA (ng/ul)                </t>
    </r>
    <r>
      <rPr>
        <b/>
        <i/>
        <sz val="11"/>
        <color theme="1"/>
        <rFont val="Calibri"/>
      </rPr>
      <t xml:space="preserve"> Hypothalamus                  </t>
    </r>
    <r>
      <rPr>
        <sz val="11"/>
        <color theme="1"/>
        <rFont val="Calibri"/>
      </rPr>
      <t xml:space="preserve"> RNA Isolation: </t>
    </r>
    <r>
      <rPr>
        <i/>
        <sz val="11"/>
        <color theme="1"/>
        <rFont val="Calibri"/>
      </rPr>
      <t>May 17/22</t>
    </r>
  </si>
  <si>
    <t xml:space="preserve">                                     </t>
  </si>
  <si>
    <t>1 week of injection</t>
  </si>
  <si>
    <t>2 week of injection</t>
  </si>
  <si>
    <t>3 week</t>
  </si>
  <si>
    <t>4 week</t>
  </si>
  <si>
    <t>5 week</t>
  </si>
  <si>
    <t>MICE                             ID</t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</si>
  <si>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Feb 18)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</si>
  <si>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Feb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</si>
  <si>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</si>
  <si>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Feb 21)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</si>
  <si>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Feb 25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</si>
  <si>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</si>
  <si>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04)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</si>
  <si>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07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</si>
  <si>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</si>
  <si>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07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</si>
  <si>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</si>
  <si>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</si>
  <si>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</si>
  <si>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</si>
  <si>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</si>
  <si>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</si>
  <si>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17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</si>
  <si>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</si>
  <si>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17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</si>
  <si>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</si>
  <si>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</si>
  <si>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</si>
  <si>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</si>
  <si>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</si>
  <si>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</si>
  <si>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</si>
  <si>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</si>
  <si>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</si>
  <si>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Mar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</si>
  <si>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</si>
  <si>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Mar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</si>
  <si>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04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</si>
  <si>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    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</si>
  <si>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,Arial"/>
      </rPr>
      <t>Food intake offered (</t>
    </r>
    <r>
      <rPr>
        <b/>
        <sz val="11"/>
        <color theme="1"/>
        <rFont val="Calibri,Arial"/>
      </rPr>
      <t>April 08</t>
    </r>
    <r>
      <rPr>
        <sz val="11"/>
        <color theme="1"/>
        <rFont val="Calibri,Arial"/>
      </rPr>
      <t>)</t>
    </r>
  </si>
  <si>
    <r>
      <rPr>
        <sz val="11"/>
        <color theme="1"/>
        <rFont val="Calibri,Arial"/>
      </rPr>
      <t>Food intake left (April</t>
    </r>
    <r>
      <rPr>
        <b/>
        <sz val="11"/>
        <color theme="1"/>
        <rFont val="Calibri,Arial"/>
      </rPr>
      <t xml:space="preserve"> 10</t>
    </r>
    <r>
      <rPr>
        <sz val="11"/>
        <color theme="1"/>
        <rFont val="Calibri,Arial"/>
      </rPr>
      <t>)</t>
    </r>
  </si>
  <si>
    <r>
      <rPr>
        <sz val="11"/>
        <color theme="1"/>
        <rFont val="Calibri,Arial"/>
      </rPr>
      <t xml:space="preserve">Food intake day      </t>
    </r>
    <r>
      <rPr>
        <b/>
        <sz val="11"/>
        <color theme="1"/>
        <rFont val="Calibri,Arial"/>
      </rPr>
      <t>(÷ 2</t>
    </r>
    <r>
      <rPr>
        <sz val="11"/>
        <color theme="1"/>
        <rFont val="Calibri,Arial"/>
      </rPr>
      <t>)</t>
    </r>
  </si>
  <si>
    <t>3 week of injection</t>
  </si>
  <si>
    <t>4 week of injection</t>
  </si>
  <si>
    <t>5 week of injection</t>
  </si>
  <si>
    <t>Week of Euthanasia</t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</si>
  <si>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22)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</si>
  <si>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25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</si>
  <si>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</si>
  <si>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25)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</si>
  <si>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Apr 29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</si>
  <si>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</si>
  <si>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Apr 29)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</si>
  <si>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02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</si>
  <si>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</si>
  <si>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02)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</si>
  <si>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</si>
  <si>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</si>
  <si>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06)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</si>
  <si>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09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</si>
  <si>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</si>
  <si>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09)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</si>
  <si>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13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</si>
  <si>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</si>
  <si>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13)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</si>
  <si>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16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</si>
  <si>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</si>
  <si>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16)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</si>
  <si>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20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</si>
  <si>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</si>
  <si>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20)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</si>
  <si>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23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</si>
  <si>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</si>
  <si>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</si>
  <si>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</si>
  <si>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4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</si>
  <si>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27)</t>
    </r>
  </si>
  <si>
    <r>
      <rPr>
        <sz val="11"/>
        <color theme="1"/>
        <rFont val="Calibri"/>
      </rPr>
      <t>Food intake left</t>
    </r>
    <r>
      <rPr>
        <b/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</si>
  <si>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</si>
  <si>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May 30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</si>
  <si>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May 31*, June 1</t>
    </r>
    <r>
      <rPr>
        <sz val="11"/>
        <color theme="1"/>
        <rFont val="Calibri"/>
      </rPr>
      <t>)</t>
    </r>
  </si>
  <si>
    <t>Food intake/day</t>
  </si>
  <si>
    <t>266.3*</t>
  </si>
  <si>
    <t>289.6*</t>
  </si>
  <si>
    <t>242.3*</t>
  </si>
  <si>
    <t>230*</t>
  </si>
  <si>
    <t>306*</t>
  </si>
  <si>
    <t>291.6*</t>
  </si>
  <si>
    <t>275*</t>
  </si>
  <si>
    <t>281.6*</t>
  </si>
  <si>
    <t>259*</t>
  </si>
  <si>
    <t>284.6*</t>
  </si>
  <si>
    <t>273.8*</t>
  </si>
  <si>
    <t>292.9*</t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</si>
  <si>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25-May 27/ iCal week</t>
    </r>
  </si>
  <si>
    <r>
      <rPr>
        <b/>
        <sz val="18"/>
        <color rgb="FFFF0000"/>
        <rFont val="Calibri"/>
      </rPr>
      <t>*</t>
    </r>
    <r>
      <rPr>
        <sz val="11"/>
        <color theme="1"/>
        <rFont val="Calibri"/>
      </rPr>
      <t>for WT - May 27-May 31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</si>
  <si>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Oct. 28)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</si>
  <si>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Oct. 31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</si>
  <si>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</si>
  <si>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(Oct. 31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</si>
  <si>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</si>
  <si>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</si>
  <si>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4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</si>
  <si>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</si>
  <si>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</si>
  <si>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7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</si>
  <si>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11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</si>
  <si>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</si>
  <si>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</si>
  <si>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</si>
  <si>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</si>
  <si>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14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</si>
  <si>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18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</si>
  <si>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4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</si>
  <si>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18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</si>
  <si>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</si>
  <si>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21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</si>
  <si>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</si>
  <si>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7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</si>
  <si>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(Nov. 25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</si>
  <si>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 (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</si>
  <si>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>(÷ 3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</si>
  <si>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offered </t>
    </r>
    <r>
      <rPr>
        <b/>
        <sz val="11"/>
        <color theme="1"/>
        <rFont val="Calibri"/>
      </rPr>
      <t>Nov. 28</t>
    </r>
    <r>
      <rPr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</si>
  <si>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left </t>
    </r>
    <r>
      <rPr>
        <b/>
        <sz val="11"/>
        <color theme="1"/>
        <rFont val="Calibri"/>
      </rPr>
      <t>Nov. 30</t>
    </r>
    <r>
      <rPr>
        <sz val="11"/>
        <color theme="1"/>
        <rFont val="Calibri"/>
      </rPr>
      <t xml:space="preserve"> (</t>
    </r>
    <r>
      <rPr>
        <b/>
        <sz val="14"/>
        <color rgb="FFFF0000"/>
        <rFont val="Calibri"/>
      </rPr>
      <t>*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</si>
  <si>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*</t>
    </r>
    <r>
      <rPr>
        <sz val="14"/>
        <color theme="1"/>
        <rFont val="Calibri"/>
      </rPr>
      <t>)</t>
    </r>
  </si>
  <si>
    <r>
      <rPr>
        <sz val="11"/>
        <color theme="1"/>
        <rFont val="Calibri"/>
      </rPr>
      <t>Food intake offered (Dec. 2</t>
    </r>
    <r>
      <rPr>
        <b/>
        <sz val="11"/>
        <color theme="1"/>
        <rFont val="Calibri"/>
      </rPr>
      <t>)</t>
    </r>
  </si>
  <si>
    <r>
      <rPr>
        <sz val="11"/>
        <color theme="1"/>
        <rFont val="Calibri"/>
      </rPr>
      <t>Food intake left</t>
    </r>
    <r>
      <rPr>
        <b/>
        <sz val="11"/>
        <color theme="1"/>
        <rFont val="Calibri"/>
      </rPr>
      <t xml:space="preserve"> (Dec. 6,7)</t>
    </r>
  </si>
  <si>
    <r>
      <rPr>
        <sz val="11"/>
        <color theme="1"/>
        <rFont val="Calibri"/>
      </rPr>
      <t xml:space="preserve">Food intake day </t>
    </r>
    <r>
      <rPr>
        <b/>
        <sz val="11"/>
        <color theme="1"/>
        <rFont val="Calibri"/>
      </rPr>
      <t xml:space="preserve">(÷ </t>
    </r>
    <r>
      <rPr>
        <b/>
        <sz val="14"/>
        <color rgb="FFFF0000"/>
        <rFont val="Calibri"/>
      </rPr>
      <t>5, 6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</si>
  <si>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offered (</t>
    </r>
    <r>
      <rPr>
        <b/>
        <sz val="11"/>
        <color theme="1"/>
        <rFont val="Calibri"/>
      </rPr>
      <t>Dec. 5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</si>
  <si>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Food intake left (Dec 6 - WT</t>
    </r>
    <r>
      <rPr>
        <b/>
        <sz val="11"/>
        <color theme="1"/>
        <rFont val="Calibri"/>
      </rPr>
      <t>, 7 - NZO</t>
    </r>
    <r>
      <rPr>
        <sz val="11"/>
        <color theme="1"/>
        <rFont val="Calibri"/>
      </rPr>
      <t>)</t>
    </r>
  </si>
  <si>
    <t>NA</t>
  </si>
  <si>
    <t xml:space="preserve">     </t>
  </si>
  <si>
    <t>4 mg of RTIOXA-47 in 1 ml saline</t>
  </si>
  <si>
    <t>DOSE (for ip) - Saline &amp; RTIOXA-47</t>
  </si>
  <si>
    <t xml:space="preserve"> 40mg/kg</t>
  </si>
  <si>
    <t>1week</t>
  </si>
  <si>
    <t>2week</t>
  </si>
  <si>
    <t>3week</t>
  </si>
  <si>
    <t xml:space="preserve">3-4 last days of treatment </t>
  </si>
  <si>
    <t>BODY WEIGHT (g)</t>
  </si>
  <si>
    <t>FINAL DOSE (ml)</t>
  </si>
  <si>
    <t>FINAL DOSE (ul)</t>
  </si>
  <si>
    <t>1st cohort</t>
  </si>
  <si>
    <t>Group</t>
  </si>
  <si>
    <t>Start       date</t>
  </si>
  <si>
    <t>1wk</t>
  </si>
  <si>
    <t>2wk</t>
  </si>
  <si>
    <t>3wk</t>
  </si>
  <si>
    <t>4wk</t>
  </si>
  <si>
    <t>5wk</t>
  </si>
  <si>
    <t>Final       date</t>
  </si>
  <si>
    <t>Day 1</t>
  </si>
  <si>
    <t>Day 2</t>
  </si>
  <si>
    <t>Day 3</t>
  </si>
  <si>
    <t>Day 4</t>
  </si>
  <si>
    <t>Day 5</t>
  </si>
  <si>
    <t>Control</t>
  </si>
  <si>
    <t>X</t>
  </si>
  <si>
    <t>2nd cohort</t>
  </si>
  <si>
    <t xml:space="preserve">4-5 last days of treatment </t>
  </si>
  <si>
    <t>x</t>
  </si>
  <si>
    <t>3rd cohort</t>
  </si>
  <si>
    <t>Mouse ID</t>
  </si>
  <si>
    <t>Observation</t>
  </si>
  <si>
    <t>Mouse 15</t>
  </si>
  <si>
    <t>extremly skin/no fat pads/ extremely enlarged bladder and kidneys (there is a photo)/urine collected</t>
  </si>
  <si>
    <t xml:space="preserve">Mouse 17 </t>
  </si>
  <si>
    <t>urine collected</t>
  </si>
  <si>
    <t>Mice 3, 7, 19,22,23</t>
  </si>
  <si>
    <t>just a few of serum collected (little blood extracted in the decap)</t>
  </si>
  <si>
    <t>Urines samples</t>
  </si>
  <si>
    <t>same box of serum</t>
  </si>
  <si>
    <t>Change in body mass</t>
  </si>
  <si>
    <t>Mouse #</t>
  </si>
  <si>
    <t>Body          weight                    April 08 (Wk 5)</t>
  </si>
  <si>
    <t>change in body wt (Mar 4 to April 8)</t>
  </si>
  <si>
    <t>Body          weight                    May 27 (wk 5)</t>
  </si>
  <si>
    <t>change in body wt (April 22 to May 27)</t>
  </si>
  <si>
    <t>RTI</t>
  </si>
  <si>
    <t>Body          weight                    Dec. 2 (wk 5)</t>
  </si>
  <si>
    <t>change in body wt (Oct 28 to Dec 2)</t>
  </si>
  <si>
    <t>Change in fat mass</t>
  </si>
  <si>
    <t>fat          weight                    April 08 (Wk 5)</t>
  </si>
  <si>
    <t>fat          weight                    May 27 (wk 5)</t>
  </si>
  <si>
    <t>fat          weight                    Dec. 2 (wk 5)</t>
  </si>
  <si>
    <r>
      <t xml:space="preserve">fat                     weight               Feb 25    </t>
    </r>
    <r>
      <rPr>
        <b/>
        <i/>
        <sz val="11"/>
        <color theme="1"/>
        <rFont val="Calibri"/>
      </rPr>
      <t>BASAL</t>
    </r>
  </si>
  <si>
    <t>change in fat wt (Feb 25 to April 8)</t>
  </si>
  <si>
    <r>
      <t xml:space="preserve">fat Mass    April 15    </t>
    </r>
    <r>
      <rPr>
        <b/>
        <i/>
        <sz val="11"/>
        <color theme="1"/>
        <rFont val="Calibri"/>
      </rPr>
      <t>BASAL</t>
    </r>
  </si>
  <si>
    <t>change in fat wt (April 15 to May 27)</t>
  </si>
  <si>
    <r>
      <t xml:space="preserve">fat Mass    Oct. 21    </t>
    </r>
    <r>
      <rPr>
        <b/>
        <i/>
        <sz val="11"/>
        <color theme="1"/>
        <rFont val="Calibri"/>
      </rPr>
      <t>BASAL</t>
    </r>
  </si>
  <si>
    <t>change in fat wt (Oct 21 to Dec 2)</t>
  </si>
  <si>
    <t>change in % fat  (Feb 25 to April 8)</t>
  </si>
  <si>
    <t>%fat basal</t>
  </si>
  <si>
    <t>% fat final</t>
  </si>
  <si>
    <t>change in fat % (Feb 25 to April 8)</t>
  </si>
  <si>
    <t>change in fat % (April 15 to May 27)</t>
  </si>
  <si>
    <t>change in fat % (Oct 21 to Dec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</si>
</sst>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mmm\ dd"/>
    <numFmt numFmtId="166" formatCode="mmmm\ d"/>
    <numFmt numFmtId="167" formatCode="mmm\ d"/>
    <numFmt numFmtId="168" formatCode="mmm\ d/yyyy"/>
  </numFmts>
  <fonts count="46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i/>
      <sz val="11"/>
      <color theme="1"/>
      <name val="Calibri"/>
    </font>
    <font>
      <b/>
      <i/>
      <sz val="11"/>
      <color theme="1"/>
      <name val="Calibri"/>
    </font>
    <font>
      <i/>
      <sz val="11"/>
      <color rgb="FF000000"/>
      <name val="Calibri"/>
    </font>
    <font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</font>
    <font>
      <sz val="11"/>
      <color rgb="FFFF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Calibri"/>
    </font>
    <font>
      <b/>
      <sz val="12"/>
      <color theme="1"/>
      <name val="Calibri"/>
    </font>
    <font>
      <sz val="11"/>
      <color rgb="FF000000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rgb="FF000000"/>
      <name val="Docs-Calibri"/>
    </font>
    <font>
      <b/>
      <i/>
      <sz val="11"/>
      <color theme="1"/>
      <name val="Arial"/>
    </font>
    <font>
      <b/>
      <i/>
      <sz val="11"/>
      <color rgb="FFFF0000"/>
      <name val="Arial"/>
    </font>
    <font>
      <sz val="11"/>
      <color theme="1"/>
      <name val="Arial"/>
    </font>
    <font>
      <b/>
      <sz val="24"/>
      <color theme="1"/>
      <name val="Arial"/>
    </font>
    <font>
      <b/>
      <sz val="24"/>
      <color rgb="FFFF000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i/>
      <sz val="11"/>
      <color rgb="FFFF0000"/>
      <name val="Calibri"/>
    </font>
    <font>
      <b/>
      <i/>
      <sz val="11"/>
      <color rgb="FF000000"/>
      <name val="Calibri"/>
    </font>
    <font>
      <b/>
      <sz val="11"/>
      <color rgb="FFFF0000"/>
      <name val="Calibri"/>
      <scheme val="minor"/>
    </font>
    <font>
      <b/>
      <i/>
      <sz val="11"/>
      <color theme="1"/>
      <name val="Calibri"/>
      <scheme val="minor"/>
    </font>
    <font>
      <i/>
      <sz val="11"/>
      <color rgb="FF000000"/>
      <name val="Calibri,Arial"/>
    </font>
    <font>
      <b/>
      <i/>
      <sz val="11"/>
      <color rgb="FF000000"/>
      <name val="Calibri,Arial"/>
    </font>
    <font>
      <b/>
      <i/>
      <sz val="14"/>
      <color theme="1"/>
      <name val="Calibri"/>
    </font>
    <font>
      <b/>
      <i/>
      <sz val="14"/>
      <color rgb="FFFF0000"/>
      <name val="Calibri"/>
    </font>
    <font>
      <b/>
      <sz val="18"/>
      <color rgb="FFFF0000"/>
      <name val="Calibri"/>
    </font>
    <font>
      <b/>
      <i/>
      <sz val="14"/>
      <color rgb="FFFF0000"/>
      <name val="Calibri,Arial"/>
    </font>
    <font>
      <i/>
      <sz val="11"/>
      <color theme="1"/>
      <name val="Calibri,Arial"/>
    </font>
    <font>
      <b/>
      <i/>
      <sz val="11"/>
      <color theme="1"/>
      <name val="Calibri,Arial"/>
    </font>
    <font>
      <sz val="11"/>
      <color theme="1"/>
      <name val="Calibri,Arial"/>
    </font>
    <font>
      <b/>
      <sz val="11"/>
      <color theme="1"/>
      <name val="Calibri,Arial"/>
    </font>
    <font>
      <b/>
      <sz val="14"/>
      <color rgb="FFFF0000"/>
      <name val="Calibri"/>
    </font>
    <font>
      <sz val="14"/>
      <color theme="1"/>
      <name val="Calibri"/>
    </font>
  </fonts>
  <fills count="50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D85C6"/>
        <bgColor rgb="FF3D85C6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DDCE8"/>
        <bgColor rgb="FFFDDCE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91D63"/>
        <bgColor rgb="FFE91D63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D5A6B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DDCE8"/>
        <bgColor rgb="FFB4A7D6"/>
      </patternFill>
    </fill>
    <fill>
      <patternFill patternType="solid">
        <fgColor rgb="FFFDDCE8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 wrapText="1"/>
    </xf>
    <xf numFmtId="2" fontId="7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/>
    </xf>
    <xf numFmtId="2" fontId="3" fillId="9" borderId="6" xfId="0" applyNumberFormat="1" applyFont="1" applyFill="1" applyBorder="1" applyAlignment="1">
      <alignment horizontal="center" vertical="center" wrapText="1"/>
    </xf>
    <xf numFmtId="2" fontId="7" fillId="9" borderId="6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 vertical="center" wrapText="1"/>
    </xf>
    <xf numFmtId="2" fontId="8" fillId="9" borderId="6" xfId="0" applyNumberFormat="1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3" fillId="9" borderId="0" xfId="0" applyFont="1" applyFill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2" fontId="11" fillId="9" borderId="6" xfId="0" applyNumberFormat="1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5" fillId="13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5" fillId="15" borderId="6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wrapText="1"/>
    </xf>
    <xf numFmtId="0" fontId="6" fillId="16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/>
    </xf>
    <xf numFmtId="2" fontId="3" fillId="11" borderId="6" xfId="0" applyNumberFormat="1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2" fontId="11" fillId="11" borderId="6" xfId="0" applyNumberFormat="1" applyFont="1" applyFill="1" applyBorder="1" applyAlignment="1">
      <alignment horizontal="center" vertical="center" wrapText="1"/>
    </xf>
    <xf numFmtId="0" fontId="3" fillId="17" borderId="0" xfId="0" applyFont="1" applyFill="1" applyAlignment="1">
      <alignment horizontal="center" vertical="center" wrapText="1"/>
    </xf>
    <xf numFmtId="2" fontId="12" fillId="9" borderId="6" xfId="0" applyNumberFormat="1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/>
    </xf>
    <xf numFmtId="0" fontId="12" fillId="9" borderId="0" xfId="0" applyFont="1" applyFill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2" fontId="12" fillId="11" borderId="6" xfId="0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4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right"/>
    </xf>
    <xf numFmtId="0" fontId="3" fillId="4" borderId="6" xfId="0" applyFont="1" applyFill="1" applyBorder="1" applyAlignment="1">
      <alignment horizontal="center"/>
    </xf>
    <xf numFmtId="2" fontId="3" fillId="4" borderId="6" xfId="0" applyNumberFormat="1" applyFont="1" applyFill="1" applyBorder="1" applyAlignment="1">
      <alignment horizontal="center" vertical="center" wrapText="1"/>
    </xf>
    <xf numFmtId="2" fontId="7" fillId="4" borderId="6" xfId="0" applyNumberFormat="1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 vertical="center" wrapText="1"/>
    </xf>
    <xf numFmtId="2" fontId="16" fillId="4" borderId="6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right"/>
    </xf>
    <xf numFmtId="0" fontId="3" fillId="11" borderId="6" xfId="0" applyFont="1" applyFill="1" applyBorder="1" applyAlignment="1">
      <alignment horizontal="center"/>
    </xf>
    <xf numFmtId="2" fontId="7" fillId="11" borderId="6" xfId="0" applyNumberFormat="1" applyFont="1" applyFill="1" applyBorder="1" applyAlignment="1">
      <alignment horizontal="center"/>
    </xf>
    <xf numFmtId="2" fontId="3" fillId="18" borderId="6" xfId="0" applyNumberFormat="1" applyFont="1" applyFill="1" applyBorder="1" applyAlignment="1">
      <alignment horizontal="center" vertical="center" wrapText="1"/>
    </xf>
    <xf numFmtId="164" fontId="3" fillId="11" borderId="6" xfId="0" applyNumberFormat="1" applyFont="1" applyFill="1" applyBorder="1" applyAlignment="1">
      <alignment horizontal="center" vertical="center" wrapText="1"/>
    </xf>
    <xf numFmtId="2" fontId="16" fillId="0" borderId="6" xfId="0" applyNumberFormat="1" applyFont="1" applyBorder="1" applyAlignment="1">
      <alignment horizontal="center"/>
    </xf>
    <xf numFmtId="0" fontId="3" fillId="8" borderId="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right"/>
    </xf>
    <xf numFmtId="0" fontId="3" fillId="8" borderId="6" xfId="0" applyFont="1" applyFill="1" applyBorder="1" applyAlignment="1">
      <alignment horizontal="center"/>
    </xf>
    <xf numFmtId="2" fontId="3" fillId="8" borderId="6" xfId="0" applyNumberFormat="1" applyFon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/>
    </xf>
    <xf numFmtId="164" fontId="3" fillId="8" borderId="6" xfId="0" applyNumberFormat="1" applyFont="1" applyFill="1" applyBorder="1" applyAlignment="1">
      <alignment horizontal="center" vertical="center" wrapText="1"/>
    </xf>
    <xf numFmtId="2" fontId="16" fillId="8" borderId="6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0" fontId="17" fillId="25" borderId="4" xfId="0" applyFont="1" applyFill="1" applyBorder="1" applyAlignment="1">
      <alignment horizontal="center"/>
    </xf>
    <xf numFmtId="0" fontId="17" fillId="26" borderId="6" xfId="0" applyFont="1" applyFill="1" applyBorder="1" applyAlignment="1">
      <alignment horizontal="center"/>
    </xf>
    <xf numFmtId="0" fontId="17" fillId="27" borderId="6" xfId="0" applyFont="1" applyFill="1" applyBorder="1" applyAlignment="1">
      <alignment horizontal="center"/>
    </xf>
    <xf numFmtId="0" fontId="17" fillId="28" borderId="9" xfId="0" applyFont="1" applyFill="1" applyBorder="1" applyAlignment="1">
      <alignment horizontal="center"/>
    </xf>
    <xf numFmtId="0" fontId="17" fillId="28" borderId="0" xfId="0" applyFont="1" applyFill="1" applyAlignment="1">
      <alignment horizontal="center"/>
    </xf>
    <xf numFmtId="0" fontId="18" fillId="0" borderId="7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8" fillId="0" borderId="1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3" xfId="0" applyFont="1" applyBorder="1" applyAlignment="1">
      <alignment horizontal="right"/>
    </xf>
    <xf numFmtId="0" fontId="18" fillId="0" borderId="14" xfId="0" applyFont="1" applyBorder="1" applyAlignment="1">
      <alignment horizontal="right"/>
    </xf>
    <xf numFmtId="0" fontId="7" fillId="0" borderId="7" xfId="0" applyFont="1" applyBorder="1"/>
    <xf numFmtId="0" fontId="7" fillId="0" borderId="10" xfId="0" applyFont="1" applyBorder="1"/>
    <xf numFmtId="0" fontId="7" fillId="0" borderId="15" xfId="0" applyFont="1" applyBorder="1"/>
    <xf numFmtId="0" fontId="17" fillId="25" borderId="16" xfId="0" applyFont="1" applyFill="1" applyBorder="1" applyAlignment="1">
      <alignment horizontal="center"/>
    </xf>
    <xf numFmtId="0" fontId="17" fillId="26" borderId="17" xfId="0" applyFont="1" applyFill="1" applyBorder="1" applyAlignment="1">
      <alignment horizontal="center"/>
    </xf>
    <xf numFmtId="0" fontId="17" fillId="27" borderId="17" xfId="0" applyFont="1" applyFill="1" applyBorder="1" applyAlignment="1">
      <alignment horizontal="center"/>
    </xf>
    <xf numFmtId="0" fontId="17" fillId="28" borderId="17" xfId="0" applyFont="1" applyFill="1" applyBorder="1" applyAlignment="1">
      <alignment horizontal="center"/>
    </xf>
    <xf numFmtId="0" fontId="17" fillId="25" borderId="17" xfId="0" applyFont="1" applyFill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6" xfId="0" applyFont="1" applyBorder="1" applyAlignment="1">
      <alignment horizontal="center"/>
    </xf>
    <xf numFmtId="0" fontId="7" fillId="9" borderId="6" xfId="0" applyFont="1" applyFill="1" applyBorder="1" applyAlignment="1">
      <alignment horizontal="center"/>
    </xf>
    <xf numFmtId="0" fontId="7" fillId="9" borderId="0" xfId="0" applyFont="1" applyFill="1"/>
    <xf numFmtId="0" fontId="1" fillId="2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20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8" fillId="9" borderId="6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1" fillId="18" borderId="0" xfId="0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3" fillId="8" borderId="5" xfId="0" applyFont="1" applyFill="1" applyBorder="1" applyAlignment="1">
      <alignment horizontal="center" wrapText="1"/>
    </xf>
    <xf numFmtId="0" fontId="16" fillId="0" borderId="6" xfId="0" applyFont="1" applyBorder="1" applyAlignment="1">
      <alignment horizontal="center"/>
    </xf>
    <xf numFmtId="0" fontId="7" fillId="33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0" xfId="0" applyFont="1"/>
    <xf numFmtId="0" fontId="27" fillId="11" borderId="0" xfId="0" applyFont="1" applyFill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0" xfId="0" applyFont="1"/>
    <xf numFmtId="0" fontId="22" fillId="18" borderId="6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/>
    </xf>
    <xf numFmtId="0" fontId="28" fillId="9" borderId="6" xfId="0" applyFont="1" applyFill="1" applyBorder="1" applyAlignment="1">
      <alignment horizontal="center"/>
    </xf>
    <xf numFmtId="0" fontId="24" fillId="9" borderId="0" xfId="0" applyFont="1" applyFill="1"/>
    <xf numFmtId="0" fontId="28" fillId="9" borderId="6" xfId="0" applyFont="1" applyFill="1" applyBorder="1" applyAlignment="1">
      <alignment horizontal="center" vertical="center" wrapText="1"/>
    </xf>
    <xf numFmtId="0" fontId="24" fillId="15" borderId="6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 vertical="center" wrapText="1"/>
    </xf>
    <xf numFmtId="164" fontId="24" fillId="0" borderId="6" xfId="0" applyNumberFormat="1" applyFont="1" applyBorder="1" applyAlignment="1">
      <alignment horizontal="center"/>
    </xf>
    <xf numFmtId="1" fontId="24" fillId="0" borderId="6" xfId="0" applyNumberFormat="1" applyFont="1" applyBorder="1" applyAlignment="1">
      <alignment horizontal="center"/>
    </xf>
    <xf numFmtId="164" fontId="24" fillId="9" borderId="6" xfId="0" applyNumberFormat="1" applyFont="1" applyFill="1" applyBorder="1" applyAlignment="1">
      <alignment horizontal="center"/>
    </xf>
    <xf numFmtId="1" fontId="24" fillId="9" borderId="6" xfId="0" applyNumberFormat="1" applyFont="1" applyFill="1" applyBorder="1" applyAlignment="1">
      <alignment horizontal="center"/>
    </xf>
    <xf numFmtId="0" fontId="29" fillId="9" borderId="6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 wrapText="1"/>
    </xf>
    <xf numFmtId="0" fontId="24" fillId="17" borderId="6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4" fillId="17" borderId="0" xfId="0" applyFont="1" applyFill="1"/>
    <xf numFmtId="0" fontId="28" fillId="17" borderId="6" xfId="0" applyFont="1" applyFill="1" applyBorder="1" applyAlignment="1">
      <alignment horizontal="center" vertical="center" wrapText="1"/>
    </xf>
    <xf numFmtId="0" fontId="24" fillId="18" borderId="6" xfId="0" applyFont="1" applyFill="1" applyBorder="1" applyAlignment="1">
      <alignment horizontal="center"/>
    </xf>
    <xf numFmtId="0" fontId="28" fillId="18" borderId="6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37" borderId="6" xfId="0" applyFont="1" applyFill="1" applyBorder="1" applyAlignment="1">
      <alignment horizontal="center"/>
    </xf>
    <xf numFmtId="0" fontId="4" fillId="38" borderId="6" xfId="0" applyFont="1" applyFill="1" applyBorder="1" applyAlignment="1">
      <alignment horizontal="center"/>
    </xf>
    <xf numFmtId="0" fontId="4" fillId="39" borderId="6" xfId="0" applyFont="1" applyFill="1" applyBorder="1" applyAlignment="1">
      <alignment horizontal="center"/>
    </xf>
    <xf numFmtId="0" fontId="4" fillId="40" borderId="6" xfId="0" applyFont="1" applyFill="1" applyBorder="1" applyAlignment="1">
      <alignment horizontal="center"/>
    </xf>
    <xf numFmtId="0" fontId="4" fillId="41" borderId="6" xfId="0" applyFont="1" applyFill="1" applyBorder="1" applyAlignment="1">
      <alignment horizontal="center"/>
    </xf>
    <xf numFmtId="0" fontId="4" fillId="42" borderId="6" xfId="0" applyFont="1" applyFill="1" applyBorder="1" applyAlignment="1">
      <alignment horizontal="center"/>
    </xf>
    <xf numFmtId="0" fontId="4" fillId="0" borderId="0" xfId="0" applyFont="1"/>
    <xf numFmtId="0" fontId="1" fillId="43" borderId="6" xfId="0" applyFont="1" applyFill="1" applyBorder="1" applyAlignment="1">
      <alignment horizontal="center"/>
    </xf>
    <xf numFmtId="165" fontId="1" fillId="43" borderId="6" xfId="0" applyNumberFormat="1" applyFont="1" applyFill="1" applyBorder="1" applyAlignment="1">
      <alignment horizontal="center"/>
    </xf>
    <xf numFmtId="0" fontId="3" fillId="43" borderId="6" xfId="0" applyFont="1" applyFill="1" applyBorder="1" applyAlignment="1">
      <alignment horizontal="center"/>
    </xf>
    <xf numFmtId="166" fontId="3" fillId="43" borderId="6" xfId="0" applyNumberFormat="1" applyFont="1" applyFill="1" applyBorder="1" applyAlignment="1">
      <alignment horizontal="center"/>
    </xf>
    <xf numFmtId="0" fontId="1" fillId="44" borderId="6" xfId="0" applyFont="1" applyFill="1" applyBorder="1" applyAlignment="1">
      <alignment horizontal="center"/>
    </xf>
    <xf numFmtId="167" fontId="1" fillId="44" borderId="6" xfId="0" applyNumberFormat="1" applyFont="1" applyFill="1" applyBorder="1" applyAlignment="1">
      <alignment horizontal="center"/>
    </xf>
    <xf numFmtId="0" fontId="3" fillId="44" borderId="6" xfId="0" applyFont="1" applyFill="1" applyBorder="1" applyAlignment="1">
      <alignment horizontal="center"/>
    </xf>
    <xf numFmtId="0" fontId="3" fillId="43" borderId="4" xfId="0" applyFont="1" applyFill="1" applyBorder="1" applyAlignment="1">
      <alignment horizontal="center"/>
    </xf>
    <xf numFmtId="166" fontId="3" fillId="44" borderId="6" xfId="0" applyNumberFormat="1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168" fontId="7" fillId="0" borderId="6" xfId="0" applyNumberFormat="1" applyFont="1" applyBorder="1" applyAlignment="1">
      <alignment horizontal="center"/>
    </xf>
    <xf numFmtId="168" fontId="7" fillId="0" borderId="6" xfId="0" applyNumberFormat="1" applyFont="1" applyBorder="1"/>
    <xf numFmtId="0" fontId="32" fillId="0" borderId="6" xfId="0" applyFont="1" applyBorder="1" applyAlignment="1">
      <alignment vertical="center"/>
    </xf>
    <xf numFmtId="0" fontId="33" fillId="0" borderId="6" xfId="0" applyFont="1" applyBorder="1" applyAlignment="1">
      <alignment vertical="center" wrapText="1"/>
    </xf>
    <xf numFmtId="0" fontId="19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0" fillId="0" borderId="0" xfId="0" applyAlignment="1">
      <alignment wrapText="1"/>
    </xf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0" borderId="0" xfId="0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48" borderId="0" xfId="0" applyFont="1" applyFill="1" applyAlignment="1">
      <alignment horizontal="center" vertical="center" wrapText="1"/>
    </xf>
    <xf numFmtId="0" fontId="9" fillId="45" borderId="0" xfId="0" applyFont="1" applyFill="1" applyAlignment="1">
      <alignment horizontal="center"/>
    </xf>
    <xf numFmtId="0" fontId="9" fillId="47" borderId="0" xfId="0" applyFont="1" applyFill="1" applyAlignment="1">
      <alignment horizontal="center"/>
    </xf>
    <xf numFmtId="0" fontId="0" fillId="49" borderId="0" xfId="0" applyFill="1" applyAlignment="1">
      <alignment wrapText="1"/>
    </xf>
    <xf numFmtId="0" fontId="5" fillId="48" borderId="6" xfId="0" applyFont="1" applyFill="1" applyBorder="1" applyAlignment="1">
      <alignment horizontal="center" vertical="center" wrapText="1"/>
    </xf>
    <xf numFmtId="0" fontId="9" fillId="46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/>
    </xf>
    <xf numFmtId="0" fontId="17" fillId="24" borderId="3" xfId="0" applyFont="1" applyFill="1" applyBorder="1" applyAlignment="1">
      <alignment horizontal="center"/>
    </xf>
    <xf numFmtId="0" fontId="2" fillId="0" borderId="8" xfId="0" applyFont="1" applyBorder="1"/>
    <xf numFmtId="0" fontId="17" fillId="19" borderId="15" xfId="0" applyFont="1" applyFill="1" applyBorder="1" applyAlignment="1">
      <alignment horizontal="center"/>
    </xf>
    <xf numFmtId="0" fontId="2" fillId="0" borderId="15" xfId="0" applyFont="1" applyBorder="1"/>
    <xf numFmtId="0" fontId="17" fillId="15" borderId="15" xfId="0" applyFont="1" applyFill="1" applyBorder="1" applyAlignment="1">
      <alignment horizontal="center"/>
    </xf>
    <xf numFmtId="0" fontId="17" fillId="22" borderId="15" xfId="0" applyFont="1" applyFill="1" applyBorder="1" applyAlignment="1">
      <alignment horizontal="center"/>
    </xf>
    <xf numFmtId="0" fontId="17" fillId="23" borderId="15" xfId="0" applyFont="1" applyFill="1" applyBorder="1" applyAlignment="1">
      <alignment horizontal="center"/>
    </xf>
    <xf numFmtId="0" fontId="17" fillId="19" borderId="2" xfId="0" applyFont="1" applyFill="1" applyBorder="1" applyAlignment="1">
      <alignment horizontal="center"/>
    </xf>
    <xf numFmtId="0" fontId="17" fillId="15" borderId="3" xfId="0" applyFont="1" applyFill="1" applyBorder="1" applyAlignment="1">
      <alignment horizontal="center"/>
    </xf>
    <xf numFmtId="0" fontId="17" fillId="20" borderId="3" xfId="0" applyFont="1" applyFill="1" applyBorder="1" applyAlignment="1">
      <alignment horizontal="center"/>
    </xf>
    <xf numFmtId="0" fontId="17" fillId="21" borderId="3" xfId="0" applyFont="1" applyFill="1" applyBorder="1" applyAlignment="1">
      <alignment horizontal="center"/>
    </xf>
    <xf numFmtId="0" fontId="17" fillId="22" borderId="3" xfId="0" applyFont="1" applyFill="1" applyBorder="1" applyAlignment="1">
      <alignment horizontal="center"/>
    </xf>
    <xf numFmtId="0" fontId="17" fillId="23" borderId="3" xfId="0" applyFont="1" applyFill="1" applyBorder="1" applyAlignment="1">
      <alignment horizontal="center"/>
    </xf>
    <xf numFmtId="0" fontId="7" fillId="2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0" fillId="0" borderId="0" xfId="0"/>
    <xf numFmtId="0" fontId="19" fillId="13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1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19" fillId="32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wrapText="1"/>
    </xf>
    <xf numFmtId="0" fontId="2" fillId="0" borderId="19" xfId="0" applyFont="1" applyBorder="1"/>
    <xf numFmtId="0" fontId="1" fillId="10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19" fillId="30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18" borderId="0" xfId="0" applyFont="1" applyFill="1" applyAlignment="1">
      <alignment horizontal="center" vertical="center"/>
    </xf>
    <xf numFmtId="0" fontId="27" fillId="10" borderId="2" xfId="0" applyFont="1" applyFill="1" applyBorder="1" applyAlignment="1">
      <alignment horizontal="center"/>
    </xf>
    <xf numFmtId="0" fontId="27" fillId="32" borderId="2" xfId="0" applyFont="1" applyFill="1" applyBorder="1" applyAlignment="1">
      <alignment horizontal="center"/>
    </xf>
    <xf numFmtId="0" fontId="27" fillId="35" borderId="2" xfId="0" applyFont="1" applyFill="1" applyBorder="1" applyAlignment="1">
      <alignment horizontal="center"/>
    </xf>
    <xf numFmtId="0" fontId="27" fillId="36" borderId="2" xfId="0" applyFont="1" applyFill="1" applyBorder="1" applyAlignment="1">
      <alignment horizontal="center"/>
    </xf>
    <xf numFmtId="0" fontId="27" fillId="19" borderId="2" xfId="0" applyFont="1" applyFill="1" applyBorder="1" applyAlignment="1">
      <alignment horizontal="center"/>
    </xf>
    <xf numFmtId="0" fontId="2" fillId="19" borderId="3" xfId="0" applyFont="1" applyFill="1" applyBorder="1"/>
    <xf numFmtId="0" fontId="2" fillId="19" borderId="4" xfId="0" applyFont="1" applyFill="1" applyBorder="1"/>
    <xf numFmtId="0" fontId="27" fillId="34" borderId="2" xfId="0" applyFont="1" applyFill="1" applyBorder="1" applyAlignment="1">
      <alignment horizontal="center"/>
    </xf>
    <xf numFmtId="0" fontId="1" fillId="40" borderId="2" xfId="0" applyFont="1" applyFill="1" applyBorder="1" applyAlignment="1">
      <alignment horizontal="center"/>
    </xf>
    <xf numFmtId="0" fontId="1" fillId="41" borderId="2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30" fillId="10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37" borderId="2" xfId="0" applyFont="1" applyFill="1" applyBorder="1" applyAlignment="1">
      <alignment horizontal="center"/>
    </xf>
    <xf numFmtId="0" fontId="1" fillId="38" borderId="2" xfId="0" applyFont="1" applyFill="1" applyBorder="1" applyAlignment="1">
      <alignment horizontal="center"/>
    </xf>
    <xf numFmtId="0" fontId="1" fillId="39" borderId="2" xfId="0" applyFont="1" applyFill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0" fontId="19" fillId="40" borderId="2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CCCC"/>
      <color rgb="FFFDDCE8"/>
      <color rgb="FFD5A6BD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99"/>
  <sheetViews>
    <sheetView tabSelected="1" topLeftCell="A2" workbookViewId="0">
      <pane xSplit="3" topLeftCell="D1" activePane="topRight" state="frozen"/>
      <selection pane="topRight" activeCell="D1" sqref="D1:D1048576"/>
    </sheetView>
  </sheetViews>
  <sheetFormatPr baseColWidth="10" defaultColWidth="14.5" defaultRowHeight="15" customHeight="1" outlineLevelRow="1"/>
  <cols>
    <col min="1" max="1" width="69.5" customWidth="1"/>
    <col min="2" max="2" width="1.5" hidden="1" customWidth="1"/>
    <col min="3" max="3" width="17.33203125" hidden="1" customWidth="1"/>
    <col min="4" max="4" width="13.6640625" customWidth="1"/>
    <col min="5" max="9" width="14" customWidth="1"/>
    <col min="10" max="10" width="14.83203125" customWidth="1"/>
    <col min="11" max="11" width="13.6640625" customWidth="1"/>
    <col min="12" max="12" width="14.5" customWidth="1"/>
    <col min="13" max="13" width="15.83203125" customWidth="1"/>
    <col min="14" max="14" width="13.6640625" customWidth="1"/>
    <col min="15" max="15" width="15.1640625" customWidth="1"/>
    <col min="16" max="16" width="13.6640625" customWidth="1"/>
    <col min="17" max="17" width="14" customWidth="1"/>
    <col min="18" max="19" width="13.6640625" customWidth="1"/>
    <col min="20" max="20" width="14.83203125" customWidth="1"/>
    <col min="21" max="22" width="13.6640625" customWidth="1"/>
    <col min="23" max="23" width="15.5" customWidth="1"/>
    <col min="24" max="26" width="13.6640625" customWidth="1"/>
    <col min="27" max="27" width="14.6640625" customWidth="1"/>
    <col min="28" max="28" width="15.33203125" customWidth="1"/>
    <col min="29" max="31" width="13.6640625" customWidth="1"/>
    <col min="32" max="32" width="15.1640625" customWidth="1"/>
    <col min="33" max="39" width="13.6640625" customWidth="1"/>
    <col min="40" max="40" width="15.5" customWidth="1"/>
    <col min="41" max="41" width="11.83203125" customWidth="1"/>
    <col min="42" max="42" width="10.5" customWidth="1"/>
    <col min="43" max="43" width="11.83203125" customWidth="1"/>
    <col min="44" max="44" width="12" customWidth="1"/>
    <col min="45" max="45" width="14" customWidth="1"/>
  </cols>
  <sheetData>
    <row r="1" spans="1:45" ht="45" customHeight="1">
      <c r="A1" s="228"/>
      <c r="B1" s="228" t="s">
        <v>0</v>
      </c>
      <c r="C1" s="228" t="s">
        <v>1</v>
      </c>
      <c r="D1" s="228" t="s">
        <v>2</v>
      </c>
      <c r="E1" s="230" t="s">
        <v>3</v>
      </c>
      <c r="F1" s="231"/>
      <c r="G1" s="231"/>
      <c r="H1" s="231"/>
      <c r="I1" s="231"/>
      <c r="J1" s="231"/>
      <c r="K1" s="231"/>
      <c r="L1" s="231"/>
      <c r="M1" s="231"/>
      <c r="N1" s="231"/>
      <c r="O1" s="232"/>
      <c r="P1" s="237" t="s">
        <v>4</v>
      </c>
      <c r="Q1" s="231"/>
      <c r="R1" s="231"/>
      <c r="S1" s="232"/>
      <c r="T1" s="241" t="s">
        <v>5</v>
      </c>
      <c r="U1" s="231"/>
      <c r="V1" s="231"/>
      <c r="W1" s="232"/>
      <c r="X1" s="239" t="s">
        <v>6</v>
      </c>
      <c r="Y1" s="231"/>
      <c r="Z1" s="231"/>
      <c r="AA1" s="232"/>
      <c r="AB1" s="240" t="s">
        <v>7</v>
      </c>
      <c r="AC1" s="231"/>
      <c r="AD1" s="231"/>
      <c r="AE1" s="232"/>
      <c r="AF1" s="241" t="s">
        <v>8</v>
      </c>
      <c r="AG1" s="232"/>
      <c r="AH1" s="242" t="s">
        <v>9</v>
      </c>
      <c r="AI1" s="231"/>
      <c r="AJ1" s="231"/>
      <c r="AK1" s="231"/>
      <c r="AL1" s="231"/>
      <c r="AM1" s="231"/>
      <c r="AN1" s="232"/>
      <c r="AO1" s="1"/>
      <c r="AP1" s="1"/>
      <c r="AQ1" s="1"/>
      <c r="AR1" s="1"/>
      <c r="AS1" s="1"/>
    </row>
    <row r="2" spans="1:45" ht="80">
      <c r="A2" s="229"/>
      <c r="B2" s="229"/>
      <c r="C2" s="229"/>
      <c r="D2" s="229"/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3" t="s">
        <v>21</v>
      </c>
      <c r="Q2" s="3" t="s">
        <v>22</v>
      </c>
      <c r="R2" s="4" t="s">
        <v>23</v>
      </c>
      <c r="S2" s="4" t="s">
        <v>24</v>
      </c>
      <c r="T2" s="5" t="s">
        <v>25</v>
      </c>
      <c r="U2" s="5" t="s">
        <v>26</v>
      </c>
      <c r="V2" s="6" t="s">
        <v>27</v>
      </c>
      <c r="W2" s="6" t="s">
        <v>28</v>
      </c>
      <c r="X2" s="7" t="s">
        <v>29</v>
      </c>
      <c r="Y2" s="7" t="s">
        <v>30</v>
      </c>
      <c r="Z2" s="8" t="s">
        <v>31</v>
      </c>
      <c r="AA2" s="8" t="s">
        <v>32</v>
      </c>
      <c r="AB2" s="9" t="s">
        <v>33</v>
      </c>
      <c r="AC2" s="9" t="s">
        <v>34</v>
      </c>
      <c r="AD2" s="10" t="s">
        <v>35</v>
      </c>
      <c r="AE2" s="10" t="s">
        <v>36</v>
      </c>
      <c r="AF2" s="6" t="s">
        <v>37</v>
      </c>
      <c r="AG2" s="6" t="s">
        <v>38</v>
      </c>
      <c r="AH2" s="11" t="s">
        <v>39</v>
      </c>
      <c r="AI2" s="12" t="s">
        <v>40</v>
      </c>
      <c r="AJ2" s="12" t="s">
        <v>41</v>
      </c>
      <c r="AK2" s="12" t="s">
        <v>42</v>
      </c>
      <c r="AL2" s="13" t="s">
        <v>43</v>
      </c>
      <c r="AM2" s="14" t="s">
        <v>44</v>
      </c>
      <c r="AN2" s="14" t="s">
        <v>45</v>
      </c>
      <c r="AO2" s="1"/>
      <c r="AP2" s="1"/>
      <c r="AQ2" s="1"/>
      <c r="AR2" s="1"/>
      <c r="AS2" s="1"/>
    </row>
    <row r="3" spans="1:45" ht="16">
      <c r="A3" s="15">
        <v>1</v>
      </c>
      <c r="B3" s="15" t="s">
        <v>46</v>
      </c>
      <c r="C3" s="15" t="s">
        <v>47</v>
      </c>
      <c r="D3" s="15" t="s">
        <v>48</v>
      </c>
      <c r="E3" s="15">
        <v>31.2</v>
      </c>
      <c r="F3" s="16">
        <v>32</v>
      </c>
      <c r="G3" s="16">
        <v>32.4</v>
      </c>
      <c r="H3" s="16">
        <v>32.299999999999997</v>
      </c>
      <c r="I3" s="16">
        <v>1.74</v>
      </c>
      <c r="J3" s="16">
        <v>30.09</v>
      </c>
      <c r="K3" s="16">
        <v>7.0000000000000007E-2</v>
      </c>
      <c r="L3" s="16">
        <v>21.12</v>
      </c>
      <c r="M3" s="17">
        <v>5.1599999999999966</v>
      </c>
      <c r="N3" s="18">
        <v>8.4099999999999966</v>
      </c>
      <c r="O3" s="17">
        <v>5.1066666666666647</v>
      </c>
      <c r="P3" s="19">
        <v>3.953333333333338</v>
      </c>
      <c r="Q3" s="17">
        <v>4.8275000000000006</v>
      </c>
      <c r="R3" s="17">
        <f t="shared" ref="R3:R26" si="0">AVERAGE(P3:Q3)</f>
        <v>4.3904166666666695</v>
      </c>
      <c r="S3" s="15">
        <v>32.1</v>
      </c>
      <c r="T3" s="17">
        <v>4.486666666666669</v>
      </c>
      <c r="U3" s="18">
        <f t="shared" ref="U3:U26" si="1">(S3-T3)/4</f>
        <v>6.9033333333333333</v>
      </c>
      <c r="V3" s="17">
        <f t="shared" ref="V3:V26" si="2">AVERAGE(T3:U3)</f>
        <v>5.6950000000000012</v>
      </c>
      <c r="W3" s="15">
        <v>32.4</v>
      </c>
      <c r="X3" s="17">
        <v>4.4666666666666686</v>
      </c>
      <c r="Y3" s="20">
        <v>15.802499999999995</v>
      </c>
      <c r="Z3" s="17">
        <v>4.4666666666666686</v>
      </c>
      <c r="AA3" s="15">
        <v>33</v>
      </c>
      <c r="AB3" s="17">
        <v>10.529999999999992</v>
      </c>
      <c r="AC3" s="17">
        <v>6.8775000000000048</v>
      </c>
      <c r="AD3" s="17">
        <f t="shared" ref="AD3:AD26" si="3">AVERAGE(AB3:AC3)</f>
        <v>8.7037499999999994</v>
      </c>
      <c r="AE3" s="15">
        <v>34.1</v>
      </c>
      <c r="AF3" s="15">
        <v>2.835000000000008</v>
      </c>
      <c r="AG3" s="15">
        <v>34.6</v>
      </c>
      <c r="AH3" s="21">
        <v>5.64</v>
      </c>
      <c r="AI3" s="21">
        <v>28.9</v>
      </c>
      <c r="AJ3" s="21">
        <v>0.14000000000000001</v>
      </c>
      <c r="AK3" s="21">
        <v>20.95</v>
      </c>
      <c r="AL3" s="15">
        <f t="shared" ref="AL3:AL26" si="4">AG3-H3</f>
        <v>2.3000000000000043</v>
      </c>
      <c r="AM3" s="15">
        <v>137</v>
      </c>
      <c r="AN3" s="15">
        <v>197</v>
      </c>
      <c r="AO3" s="1"/>
      <c r="AP3" s="1"/>
      <c r="AQ3" s="1"/>
      <c r="AR3" s="1"/>
      <c r="AS3" s="1"/>
    </row>
    <row r="4" spans="1:45" ht="16">
      <c r="A4" s="22">
        <v>2</v>
      </c>
      <c r="B4" s="22" t="s">
        <v>46</v>
      </c>
      <c r="C4" s="22" t="s">
        <v>47</v>
      </c>
      <c r="D4" s="22" t="s">
        <v>49</v>
      </c>
      <c r="E4" s="22">
        <v>30.5</v>
      </c>
      <c r="F4" s="23">
        <v>31.6</v>
      </c>
      <c r="G4" s="23">
        <v>31.5</v>
      </c>
      <c r="H4" s="23">
        <v>30.7</v>
      </c>
      <c r="I4" s="23">
        <v>1.3</v>
      </c>
      <c r="J4" s="23">
        <v>29.04</v>
      </c>
      <c r="K4" s="23">
        <v>0.24</v>
      </c>
      <c r="L4" s="23">
        <v>21.58</v>
      </c>
      <c r="M4" s="24">
        <v>6.1133333333333253</v>
      </c>
      <c r="N4" s="25">
        <v>6.644999999999996</v>
      </c>
      <c r="O4" s="24">
        <v>5.1000000000000041</v>
      </c>
      <c r="P4" s="26">
        <v>3.4633333333333289</v>
      </c>
      <c r="Q4" s="24">
        <v>4.0650000000000048</v>
      </c>
      <c r="R4" s="24">
        <f t="shared" si="0"/>
        <v>3.7641666666666671</v>
      </c>
      <c r="S4" s="22">
        <v>29.7</v>
      </c>
      <c r="T4" s="24">
        <v>4.2033333333333287</v>
      </c>
      <c r="U4" s="25">
        <f t="shared" si="1"/>
        <v>6.3741666666666674</v>
      </c>
      <c r="V4" s="24">
        <f t="shared" si="2"/>
        <v>5.2887499999999985</v>
      </c>
      <c r="W4" s="22">
        <v>30.3</v>
      </c>
      <c r="X4" s="24">
        <v>4.1399999999999961</v>
      </c>
      <c r="Y4" s="27">
        <v>6.3575000000000017</v>
      </c>
      <c r="Z4" s="24">
        <v>4.1399999999999961</v>
      </c>
      <c r="AA4" s="22">
        <v>31.6</v>
      </c>
      <c r="AB4" s="24">
        <v>4.7566666666666606</v>
      </c>
      <c r="AC4" s="24">
        <v>4.2575000000000074</v>
      </c>
      <c r="AD4" s="24">
        <f t="shared" si="3"/>
        <v>4.507083333333334</v>
      </c>
      <c r="AE4" s="22">
        <v>31.7</v>
      </c>
      <c r="AF4" s="22">
        <v>3.0149999999999864</v>
      </c>
      <c r="AG4" s="22">
        <v>31.6</v>
      </c>
      <c r="AH4" s="28">
        <v>3.27</v>
      </c>
      <c r="AI4" s="28">
        <v>28.26</v>
      </c>
      <c r="AJ4" s="28">
        <v>0.17</v>
      </c>
      <c r="AK4" s="28">
        <v>20.16</v>
      </c>
      <c r="AL4" s="22">
        <f t="shared" si="4"/>
        <v>0.90000000000000213</v>
      </c>
      <c r="AM4" s="22">
        <v>147</v>
      </c>
      <c r="AN4" s="22">
        <v>227</v>
      </c>
      <c r="AO4" s="29"/>
      <c r="AP4" s="29"/>
      <c r="AQ4" s="29"/>
      <c r="AR4" s="29"/>
      <c r="AS4" s="29"/>
    </row>
    <row r="5" spans="1:45" ht="16">
      <c r="A5" s="15">
        <v>3</v>
      </c>
      <c r="B5" s="15" t="s">
        <v>46</v>
      </c>
      <c r="C5" s="15" t="s">
        <v>47</v>
      </c>
      <c r="D5" s="15" t="s">
        <v>48</v>
      </c>
      <c r="E5" s="15">
        <v>33.1</v>
      </c>
      <c r="F5" s="16">
        <v>33.700000000000003</v>
      </c>
      <c r="G5" s="16">
        <v>33.700000000000003</v>
      </c>
      <c r="H5" s="16">
        <v>33</v>
      </c>
      <c r="I5" s="16">
        <v>2.84</v>
      </c>
      <c r="J5" s="16">
        <v>30.06</v>
      </c>
      <c r="K5" s="16">
        <v>0.11</v>
      </c>
      <c r="L5" s="16">
        <v>21.68</v>
      </c>
      <c r="M5" s="17">
        <v>6.6366666666666561</v>
      </c>
      <c r="N5" s="18">
        <v>5.32</v>
      </c>
      <c r="O5" s="17">
        <v>5.4599999999999982</v>
      </c>
      <c r="P5" s="19">
        <v>4.7366666666666601</v>
      </c>
      <c r="Q5" s="17">
        <v>5.7974999999999994</v>
      </c>
      <c r="R5" s="17">
        <f t="shared" si="0"/>
        <v>5.2670833333333302</v>
      </c>
      <c r="S5" s="15">
        <v>35.1</v>
      </c>
      <c r="T5" s="17">
        <v>6.503333333333349</v>
      </c>
      <c r="U5" s="18">
        <f t="shared" si="1"/>
        <v>7.1491666666666633</v>
      </c>
      <c r="V5" s="17">
        <f t="shared" si="2"/>
        <v>6.8262500000000061</v>
      </c>
      <c r="W5" s="15">
        <v>35.4</v>
      </c>
      <c r="X5" s="17">
        <v>5.3500000000000041</v>
      </c>
      <c r="Y5" s="20">
        <v>8.0875000000000057</v>
      </c>
      <c r="Z5" s="17">
        <v>5.3500000000000041</v>
      </c>
      <c r="AA5" s="15">
        <v>36.6</v>
      </c>
      <c r="AB5" s="17">
        <v>4.9566666666666679</v>
      </c>
      <c r="AC5" s="17">
        <v>5.0099999999999909</v>
      </c>
      <c r="AD5" s="17">
        <f t="shared" si="3"/>
        <v>4.983333333333329</v>
      </c>
      <c r="AE5" s="15">
        <v>37.4</v>
      </c>
      <c r="AF5" s="15">
        <v>4.0200000000000102</v>
      </c>
      <c r="AG5" s="15">
        <v>37.200000000000003</v>
      </c>
      <c r="AH5" s="21">
        <v>6.79</v>
      </c>
      <c r="AI5" s="21">
        <v>30.11</v>
      </c>
      <c r="AJ5" s="21">
        <v>0.2</v>
      </c>
      <c r="AK5" s="21">
        <v>21.25</v>
      </c>
      <c r="AL5" s="15">
        <f t="shared" si="4"/>
        <v>4.2000000000000028</v>
      </c>
      <c r="AM5" s="15">
        <v>133</v>
      </c>
      <c r="AN5" s="15">
        <v>173</v>
      </c>
      <c r="AO5" s="1"/>
      <c r="AP5" s="1"/>
      <c r="AQ5" s="1"/>
      <c r="AR5" s="1"/>
      <c r="AS5" s="1"/>
    </row>
    <row r="6" spans="1:45" ht="16">
      <c r="A6" s="22">
        <v>4</v>
      </c>
      <c r="B6" s="22" t="s">
        <v>46</v>
      </c>
      <c r="C6" s="22" t="s">
        <v>47</v>
      </c>
      <c r="D6" s="22" t="s">
        <v>49</v>
      </c>
      <c r="E6" s="22">
        <v>30.9</v>
      </c>
      <c r="F6" s="23">
        <v>31.9</v>
      </c>
      <c r="G6" s="23">
        <v>33.299999999999997</v>
      </c>
      <c r="H6" s="23">
        <v>31.5</v>
      </c>
      <c r="I6" s="23">
        <v>1.34</v>
      </c>
      <c r="J6" s="23">
        <v>30.52</v>
      </c>
      <c r="K6" s="23">
        <v>0.27</v>
      </c>
      <c r="L6" s="23">
        <v>23.09</v>
      </c>
      <c r="M6" s="24">
        <v>6.0466666666666624</v>
      </c>
      <c r="N6" s="25">
        <v>4.9325000000000045</v>
      </c>
      <c r="O6" s="24">
        <v>5.6600000000000064</v>
      </c>
      <c r="P6" s="26">
        <v>3.4966666666666697</v>
      </c>
      <c r="Q6" s="24">
        <v>4.8100000000000023</v>
      </c>
      <c r="R6" s="24">
        <f t="shared" si="0"/>
        <v>4.153333333333336</v>
      </c>
      <c r="S6" s="22">
        <v>31.6</v>
      </c>
      <c r="T6" s="24">
        <v>4.7566666666666606</v>
      </c>
      <c r="U6" s="25">
        <f t="shared" si="1"/>
        <v>6.7108333333333352</v>
      </c>
      <c r="V6" s="24">
        <f t="shared" si="2"/>
        <v>5.7337499999999979</v>
      </c>
      <c r="W6" s="22">
        <v>32.700000000000003</v>
      </c>
      <c r="X6" s="24">
        <v>4.3366666666666633</v>
      </c>
      <c r="Y6" s="27">
        <v>6.4025000000000034</v>
      </c>
      <c r="Z6" s="24">
        <v>4.3366666666666633</v>
      </c>
      <c r="AA6" s="22">
        <v>32.4</v>
      </c>
      <c r="AB6" s="24">
        <v>4.8133333333333326</v>
      </c>
      <c r="AC6" s="24">
        <v>4.2100000000000009</v>
      </c>
      <c r="AD6" s="24">
        <f t="shared" si="3"/>
        <v>4.5116666666666667</v>
      </c>
      <c r="AE6" s="22">
        <v>33.4</v>
      </c>
      <c r="AF6" s="22">
        <v>4.7849999999999966</v>
      </c>
      <c r="AG6" s="22">
        <v>33.4</v>
      </c>
      <c r="AH6" s="28">
        <v>3.61</v>
      </c>
      <c r="AI6" s="28">
        <v>28.83</v>
      </c>
      <c r="AJ6" s="28">
        <v>0.31</v>
      </c>
      <c r="AK6" s="28">
        <v>21.28</v>
      </c>
      <c r="AL6" s="22">
        <f t="shared" si="4"/>
        <v>1.8999999999999986</v>
      </c>
      <c r="AM6" s="22">
        <v>173</v>
      </c>
      <c r="AN6" s="22">
        <v>214</v>
      </c>
      <c r="AO6" s="29"/>
      <c r="AP6" s="29"/>
      <c r="AQ6" s="29"/>
      <c r="AR6" s="29"/>
      <c r="AS6" s="29"/>
    </row>
    <row r="7" spans="1:45" ht="16">
      <c r="A7" s="15">
        <v>5</v>
      </c>
      <c r="B7" s="15" t="s">
        <v>46</v>
      </c>
      <c r="C7" s="15" t="s">
        <v>47</v>
      </c>
      <c r="D7" s="15" t="s">
        <v>48</v>
      </c>
      <c r="E7" s="15">
        <v>31</v>
      </c>
      <c r="F7" s="16">
        <v>31.2</v>
      </c>
      <c r="G7" s="16">
        <v>30.4</v>
      </c>
      <c r="H7" s="16">
        <v>30.3</v>
      </c>
      <c r="I7" s="16">
        <v>0.69</v>
      </c>
      <c r="J7" s="16">
        <v>28.47</v>
      </c>
      <c r="K7" s="16">
        <v>0.08</v>
      </c>
      <c r="L7" s="16">
        <v>20.72</v>
      </c>
      <c r="M7" s="17">
        <v>5.3466666666666738</v>
      </c>
      <c r="N7" s="18">
        <v>4.769999999999996</v>
      </c>
      <c r="O7" s="17">
        <v>4.4800000000000182</v>
      </c>
      <c r="P7" s="19">
        <v>4.3899999999999864</v>
      </c>
      <c r="Q7" s="17">
        <v>4.6375000000000028</v>
      </c>
      <c r="R7" s="17">
        <f t="shared" si="0"/>
        <v>4.5137499999999946</v>
      </c>
      <c r="S7" s="15">
        <v>30.2</v>
      </c>
      <c r="T7" s="17">
        <v>4.2900000000000018</v>
      </c>
      <c r="U7" s="18">
        <f t="shared" si="1"/>
        <v>6.4774999999999991</v>
      </c>
      <c r="V7" s="17">
        <f t="shared" si="2"/>
        <v>5.3837500000000009</v>
      </c>
      <c r="W7" s="15">
        <v>30.8</v>
      </c>
      <c r="X7" s="17">
        <v>3.4799999999999991</v>
      </c>
      <c r="Y7" s="20">
        <v>6.6025000000000063</v>
      </c>
      <c r="Z7" s="17">
        <v>3.4799999999999991</v>
      </c>
      <c r="AA7" s="15">
        <v>31.8</v>
      </c>
      <c r="AB7" s="17">
        <v>4.7633333333333399</v>
      </c>
      <c r="AC7" s="17">
        <v>4.3799999999999955</v>
      </c>
      <c r="AD7" s="17">
        <f t="shared" si="3"/>
        <v>4.5716666666666672</v>
      </c>
      <c r="AE7" s="15">
        <v>33</v>
      </c>
      <c r="AF7" s="15">
        <v>3.0849999999999937</v>
      </c>
      <c r="AG7" s="15">
        <v>33.1</v>
      </c>
      <c r="AH7" s="21">
        <v>4.55</v>
      </c>
      <c r="AI7" s="21">
        <v>28.87</v>
      </c>
      <c r="AJ7" s="21">
        <v>0.13</v>
      </c>
      <c r="AK7" s="21">
        <v>20.16</v>
      </c>
      <c r="AL7" s="15">
        <f t="shared" si="4"/>
        <v>2.8000000000000007</v>
      </c>
      <c r="AM7" s="15">
        <v>162</v>
      </c>
      <c r="AN7" s="15">
        <v>208</v>
      </c>
      <c r="AO7" s="1"/>
      <c r="AP7" s="1"/>
      <c r="AQ7" s="1"/>
      <c r="AR7" s="1"/>
      <c r="AS7" s="1"/>
    </row>
    <row r="8" spans="1:45" ht="16">
      <c r="A8" s="22">
        <v>6</v>
      </c>
      <c r="B8" s="22" t="s">
        <v>46</v>
      </c>
      <c r="C8" s="22" t="s">
        <v>47</v>
      </c>
      <c r="D8" s="22" t="s">
        <v>49</v>
      </c>
      <c r="E8" s="22">
        <v>31.3</v>
      </c>
      <c r="F8" s="23">
        <v>32.4</v>
      </c>
      <c r="G8" s="23">
        <v>31.3</v>
      </c>
      <c r="H8" s="23">
        <v>30</v>
      </c>
      <c r="I8" s="23">
        <v>1.05</v>
      </c>
      <c r="J8" s="23">
        <v>28.97</v>
      </c>
      <c r="K8" s="23">
        <v>0.1</v>
      </c>
      <c r="L8" s="23">
        <v>20.91</v>
      </c>
      <c r="M8" s="24">
        <v>5.75</v>
      </c>
      <c r="N8" s="25">
        <v>6.740000000000002</v>
      </c>
      <c r="O8" s="24">
        <v>8.8233333333333235</v>
      </c>
      <c r="P8" s="26">
        <v>7.1200000000000045</v>
      </c>
      <c r="Q8" s="24">
        <v>3.6975000000000051</v>
      </c>
      <c r="R8" s="24">
        <f t="shared" si="0"/>
        <v>5.4087500000000048</v>
      </c>
      <c r="S8" s="22">
        <v>29</v>
      </c>
      <c r="T8" s="24">
        <v>4.1766666666666667</v>
      </c>
      <c r="U8" s="25">
        <f t="shared" si="1"/>
        <v>6.2058333333333335</v>
      </c>
      <c r="V8" s="24">
        <f t="shared" si="2"/>
        <v>5.1912500000000001</v>
      </c>
      <c r="W8" s="22">
        <v>28.9</v>
      </c>
      <c r="X8" s="24">
        <v>3.2399999999999998</v>
      </c>
      <c r="Y8" s="27">
        <v>16.920000000000002</v>
      </c>
      <c r="Z8" s="24">
        <v>3.2399999999999998</v>
      </c>
      <c r="AA8" s="22">
        <v>29.6</v>
      </c>
      <c r="AB8" s="24">
        <v>6.6233333333333348</v>
      </c>
      <c r="AC8" s="24">
        <v>3.5699999999999932</v>
      </c>
      <c r="AD8" s="24">
        <f t="shared" si="3"/>
        <v>5.096666666666664</v>
      </c>
      <c r="AE8" s="22">
        <v>30.5</v>
      </c>
      <c r="AF8" s="22">
        <v>2.9700000000000131</v>
      </c>
      <c r="AG8" s="22">
        <v>30.4</v>
      </c>
      <c r="AH8" s="28">
        <v>2.5</v>
      </c>
      <c r="AI8" s="28">
        <v>27.84</v>
      </c>
      <c r="AJ8" s="28">
        <v>0.11</v>
      </c>
      <c r="AK8" s="28">
        <v>19.64</v>
      </c>
      <c r="AL8" s="22">
        <f t="shared" si="4"/>
        <v>0.39999999999999858</v>
      </c>
      <c r="AM8" s="22">
        <v>148</v>
      </c>
      <c r="AN8" s="22">
        <v>205</v>
      </c>
      <c r="AO8" s="29"/>
      <c r="AP8" s="29"/>
      <c r="AQ8" s="29"/>
      <c r="AR8" s="29"/>
      <c r="AS8" s="29"/>
    </row>
    <row r="9" spans="1:45" ht="16">
      <c r="A9" s="15">
        <v>7</v>
      </c>
      <c r="B9" s="15" t="s">
        <v>46</v>
      </c>
      <c r="C9" s="15" t="s">
        <v>50</v>
      </c>
      <c r="D9" s="15" t="s">
        <v>48</v>
      </c>
      <c r="E9" s="15">
        <v>18.899999999999999</v>
      </c>
      <c r="F9" s="16">
        <v>19.7</v>
      </c>
      <c r="G9" s="16">
        <v>20.7</v>
      </c>
      <c r="H9" s="16">
        <v>20.8</v>
      </c>
      <c r="I9" s="16">
        <v>1.19</v>
      </c>
      <c r="J9" s="16">
        <v>19.100000000000001</v>
      </c>
      <c r="K9" s="16">
        <v>0.06</v>
      </c>
      <c r="L9" s="16">
        <v>14.5</v>
      </c>
      <c r="M9" s="17">
        <v>6.3833333333333258</v>
      </c>
      <c r="N9" s="18">
        <v>13.992500000000007</v>
      </c>
      <c r="O9" s="17">
        <v>7.6800000000000068</v>
      </c>
      <c r="P9" s="19">
        <v>6.7933333333333223</v>
      </c>
      <c r="Q9" s="17">
        <v>7.8049999999999997</v>
      </c>
      <c r="R9" s="17">
        <f t="shared" si="0"/>
        <v>7.299166666666661</v>
      </c>
      <c r="S9" s="15">
        <v>20.6</v>
      </c>
      <c r="T9" s="17">
        <v>7.1833333333333371</v>
      </c>
      <c r="U9" s="18">
        <f t="shared" si="1"/>
        <v>3.3541666666666661</v>
      </c>
      <c r="V9" s="17">
        <f t="shared" si="2"/>
        <v>5.2687500000000016</v>
      </c>
      <c r="W9" s="15">
        <v>21.3</v>
      </c>
      <c r="X9" s="17">
        <v>7.4266666666666667</v>
      </c>
      <c r="Y9" s="20">
        <v>21.244999999999997</v>
      </c>
      <c r="Z9" s="17">
        <v>7.4266666666666667</v>
      </c>
      <c r="AA9" s="15">
        <v>21.7</v>
      </c>
      <c r="AB9" s="17">
        <v>12.959999999999999</v>
      </c>
      <c r="AC9" s="17">
        <v>7.4074999999999989</v>
      </c>
      <c r="AD9" s="17">
        <f t="shared" si="3"/>
        <v>10.18375</v>
      </c>
      <c r="AE9" s="15">
        <v>22.1</v>
      </c>
      <c r="AF9" s="15">
        <v>9.4900000000000091</v>
      </c>
      <c r="AG9" s="15">
        <v>21.7</v>
      </c>
      <c r="AH9" s="21">
        <v>1.45</v>
      </c>
      <c r="AI9" s="21">
        <v>20.03</v>
      </c>
      <c r="AJ9" s="21">
        <v>7.0000000000000007E-2</v>
      </c>
      <c r="AK9" s="21">
        <v>14.24</v>
      </c>
      <c r="AL9" s="15">
        <f t="shared" si="4"/>
        <v>0.89999999999999858</v>
      </c>
      <c r="AM9" s="15">
        <v>103</v>
      </c>
      <c r="AN9" s="15">
        <v>116</v>
      </c>
      <c r="AO9" s="1"/>
      <c r="AP9" s="1"/>
      <c r="AQ9" s="1"/>
      <c r="AR9" s="1"/>
      <c r="AS9" s="1"/>
    </row>
    <row r="10" spans="1:45" ht="16">
      <c r="A10" s="22">
        <v>8</v>
      </c>
      <c r="B10" s="22" t="s">
        <v>46</v>
      </c>
      <c r="C10" s="22" t="s">
        <v>50</v>
      </c>
      <c r="D10" s="22" t="s">
        <v>49</v>
      </c>
      <c r="E10" s="22">
        <v>21.4</v>
      </c>
      <c r="F10" s="23">
        <v>21.3</v>
      </c>
      <c r="G10" s="23">
        <v>22.1</v>
      </c>
      <c r="H10" s="23">
        <v>21.7</v>
      </c>
      <c r="I10" s="23">
        <v>0.9</v>
      </c>
      <c r="J10" s="23">
        <v>20.56</v>
      </c>
      <c r="K10" s="23">
        <v>0.08</v>
      </c>
      <c r="L10" s="23">
        <v>15.01</v>
      </c>
      <c r="M10" s="24">
        <v>4.7533333333333303</v>
      </c>
      <c r="N10" s="25">
        <v>4.0624999999999929</v>
      </c>
      <c r="O10" s="24">
        <v>4.5666666666666629</v>
      </c>
      <c r="P10" s="26">
        <v>3.296666666666662</v>
      </c>
      <c r="Q10" s="24">
        <v>3.8825000000000074</v>
      </c>
      <c r="R10" s="24">
        <f t="shared" si="0"/>
        <v>3.5895833333333345</v>
      </c>
      <c r="S10" s="22">
        <v>21.7</v>
      </c>
      <c r="T10" s="24">
        <v>4.0499999999999927</v>
      </c>
      <c r="U10" s="25">
        <f t="shared" si="1"/>
        <v>4.4125000000000014</v>
      </c>
      <c r="V10" s="24">
        <f t="shared" si="2"/>
        <v>4.2312499999999975</v>
      </c>
      <c r="W10" s="22">
        <v>22.6</v>
      </c>
      <c r="X10" s="24">
        <v>3.6733333333333462</v>
      </c>
      <c r="Y10" s="27">
        <v>5.4275000000000091</v>
      </c>
      <c r="Z10" s="24">
        <v>3.6733333333333462</v>
      </c>
      <c r="AA10" s="22">
        <v>22.6</v>
      </c>
      <c r="AB10" s="24">
        <v>4.3566666666666647</v>
      </c>
      <c r="AC10" s="24">
        <v>3.9675000000000011</v>
      </c>
      <c r="AD10" s="24">
        <f t="shared" si="3"/>
        <v>4.1620833333333334</v>
      </c>
      <c r="AE10" s="22">
        <v>23.3</v>
      </c>
      <c r="AF10" s="22">
        <v>3.1700000000000017</v>
      </c>
      <c r="AG10" s="22">
        <v>23.6</v>
      </c>
      <c r="AH10" s="28">
        <v>1.2</v>
      </c>
      <c r="AI10" s="28">
        <v>21.64</v>
      </c>
      <c r="AJ10" s="28">
        <v>7.0000000000000007E-2</v>
      </c>
      <c r="AK10" s="28">
        <v>16.489999999999998</v>
      </c>
      <c r="AL10" s="22">
        <f t="shared" si="4"/>
        <v>1.9000000000000021</v>
      </c>
      <c r="AM10" s="22">
        <v>113</v>
      </c>
      <c r="AN10" s="22">
        <v>188</v>
      </c>
      <c r="AO10" s="29"/>
      <c r="AP10" s="29"/>
      <c r="AQ10" s="29"/>
      <c r="AR10" s="29"/>
      <c r="AS10" s="29"/>
    </row>
    <row r="11" spans="1:45" ht="16">
      <c r="A11" s="15">
        <v>9</v>
      </c>
      <c r="B11" s="15" t="s">
        <v>46</v>
      </c>
      <c r="C11" s="15" t="s">
        <v>50</v>
      </c>
      <c r="D11" s="15" t="s">
        <v>48</v>
      </c>
      <c r="E11" s="15">
        <v>19.899999999999999</v>
      </c>
      <c r="F11" s="16">
        <v>20.3</v>
      </c>
      <c r="G11" s="16">
        <v>21.2</v>
      </c>
      <c r="H11" s="16">
        <v>20.8</v>
      </c>
      <c r="I11" s="16">
        <v>0.84</v>
      </c>
      <c r="J11" s="16">
        <v>19.32</v>
      </c>
      <c r="K11" s="16">
        <v>7.0000000000000007E-2</v>
      </c>
      <c r="L11" s="16">
        <v>14.76</v>
      </c>
      <c r="M11" s="17">
        <v>6.0899999999999936</v>
      </c>
      <c r="N11" s="18">
        <v>6.0700000000000074</v>
      </c>
      <c r="O11" s="17">
        <v>6.2333333333333298</v>
      </c>
      <c r="P11" s="19">
        <v>4.1433333333333353</v>
      </c>
      <c r="Q11" s="17">
        <v>4.332499999999996</v>
      </c>
      <c r="R11" s="17">
        <f t="shared" si="0"/>
        <v>4.2379166666666652</v>
      </c>
      <c r="S11" s="15">
        <v>21.9</v>
      </c>
      <c r="T11" s="17">
        <v>4.2399999999999993</v>
      </c>
      <c r="U11" s="18">
        <f t="shared" si="1"/>
        <v>4.415</v>
      </c>
      <c r="V11" s="17">
        <f t="shared" si="2"/>
        <v>4.3274999999999997</v>
      </c>
      <c r="W11" s="15">
        <v>23.2</v>
      </c>
      <c r="X11" s="17">
        <v>3.4799999999999991</v>
      </c>
      <c r="Y11" s="20">
        <v>5.18</v>
      </c>
      <c r="Z11" s="17">
        <v>3.4799999999999991</v>
      </c>
      <c r="AA11" s="15">
        <v>22.9</v>
      </c>
      <c r="AB11" s="17">
        <v>5.1733333333333364</v>
      </c>
      <c r="AC11" s="17">
        <v>4.7800000000000011</v>
      </c>
      <c r="AD11" s="17">
        <f t="shared" si="3"/>
        <v>4.9766666666666683</v>
      </c>
      <c r="AE11" s="15">
        <v>22.2</v>
      </c>
      <c r="AF11" s="15">
        <v>2.4449999999999932</v>
      </c>
      <c r="AG11" s="15">
        <v>22.6</v>
      </c>
      <c r="AH11" s="21">
        <v>1.48</v>
      </c>
      <c r="AI11" s="21">
        <v>20.64</v>
      </c>
      <c r="AJ11" s="21">
        <v>0.1</v>
      </c>
      <c r="AK11" s="21">
        <v>15.35</v>
      </c>
      <c r="AL11" s="15">
        <f t="shared" si="4"/>
        <v>1.8000000000000007</v>
      </c>
      <c r="AM11" s="15">
        <v>83</v>
      </c>
      <c r="AN11" s="15">
        <v>94</v>
      </c>
      <c r="AO11" s="1"/>
      <c r="AP11" s="1"/>
      <c r="AQ11" s="1"/>
      <c r="AR11" s="1"/>
      <c r="AS11" s="1"/>
    </row>
    <row r="12" spans="1:45" ht="16">
      <c r="A12" s="22">
        <v>10</v>
      </c>
      <c r="B12" s="22" t="s">
        <v>46</v>
      </c>
      <c r="C12" s="22" t="s">
        <v>50</v>
      </c>
      <c r="D12" s="22" t="s">
        <v>49</v>
      </c>
      <c r="E12" s="22">
        <v>19</v>
      </c>
      <c r="F12" s="23">
        <v>19.5</v>
      </c>
      <c r="G12" s="23">
        <v>20.9</v>
      </c>
      <c r="H12" s="23">
        <v>21.4</v>
      </c>
      <c r="I12" s="23">
        <v>1.22</v>
      </c>
      <c r="J12" s="23">
        <v>19.010000000000002</v>
      </c>
      <c r="K12" s="23">
        <v>7.0000000000000007E-2</v>
      </c>
      <c r="L12" s="23">
        <v>13.86</v>
      </c>
      <c r="M12" s="24">
        <v>6.8400000000000132</v>
      </c>
      <c r="N12" s="25">
        <v>6.9899999999999949</v>
      </c>
      <c r="O12" s="24">
        <v>5.3933333333333353</v>
      </c>
      <c r="P12" s="26">
        <v>3.2599999999999909</v>
      </c>
      <c r="Q12" s="24">
        <v>6.2049999999999983</v>
      </c>
      <c r="R12" s="24">
        <f t="shared" si="0"/>
        <v>4.7324999999999946</v>
      </c>
      <c r="S12" s="22">
        <v>21.5</v>
      </c>
      <c r="T12" s="24">
        <v>4.963333333333348</v>
      </c>
      <c r="U12" s="25">
        <f t="shared" si="1"/>
        <v>4.1341666666666628</v>
      </c>
      <c r="V12" s="24">
        <f t="shared" si="2"/>
        <v>4.5487500000000054</v>
      </c>
      <c r="W12" s="22">
        <v>21.7</v>
      </c>
      <c r="X12" s="24">
        <v>4.6333333333333355</v>
      </c>
      <c r="Y12" s="27">
        <v>10.922499999999999</v>
      </c>
      <c r="Z12" s="24">
        <v>4.6333333333333355</v>
      </c>
      <c r="AA12" s="22">
        <v>21.9</v>
      </c>
      <c r="AB12" s="24">
        <v>6.1499999999999959</v>
      </c>
      <c r="AC12" s="24">
        <v>5.8875000000000028</v>
      </c>
      <c r="AD12" s="24">
        <f t="shared" si="3"/>
        <v>6.0187499999999989</v>
      </c>
      <c r="AE12" s="22">
        <v>22.9</v>
      </c>
      <c r="AF12" s="22">
        <v>2.9649999999999892</v>
      </c>
      <c r="AG12" s="22">
        <v>22.8</v>
      </c>
      <c r="AH12" s="28">
        <v>1.83</v>
      </c>
      <c r="AI12" s="28">
        <v>20.100000000000001</v>
      </c>
      <c r="AJ12" s="28">
        <v>0.1</v>
      </c>
      <c r="AK12" s="28">
        <v>14.76</v>
      </c>
      <c r="AL12" s="22">
        <f t="shared" si="4"/>
        <v>1.4000000000000021</v>
      </c>
      <c r="AM12" s="22">
        <v>120</v>
      </c>
      <c r="AN12" s="22">
        <v>179</v>
      </c>
      <c r="AO12" s="29"/>
      <c r="AP12" s="29"/>
      <c r="AQ12" s="29"/>
      <c r="AR12" s="29"/>
      <c r="AS12" s="29"/>
    </row>
    <row r="13" spans="1:45" ht="16">
      <c r="A13" s="15">
        <v>11</v>
      </c>
      <c r="B13" s="15" t="s">
        <v>46</v>
      </c>
      <c r="C13" s="15" t="s">
        <v>50</v>
      </c>
      <c r="D13" s="15" t="s">
        <v>48</v>
      </c>
      <c r="E13" s="15">
        <v>21.1</v>
      </c>
      <c r="F13" s="16">
        <v>21.6</v>
      </c>
      <c r="G13" s="16">
        <v>22.4</v>
      </c>
      <c r="H13" s="16">
        <v>22</v>
      </c>
      <c r="I13" s="16">
        <v>1.1299999999999999</v>
      </c>
      <c r="J13" s="16">
        <v>20.23</v>
      </c>
      <c r="K13" s="16">
        <v>0.06</v>
      </c>
      <c r="L13" s="16">
        <v>14.44</v>
      </c>
      <c r="M13" s="17">
        <v>9.6533333333333271</v>
      </c>
      <c r="N13" s="18">
        <v>9.0925000000000011</v>
      </c>
      <c r="O13" s="17">
        <v>10.00333333333333</v>
      </c>
      <c r="P13" s="19">
        <v>8.6000000000000032</v>
      </c>
      <c r="Q13" s="17">
        <v>9.539999999999992</v>
      </c>
      <c r="R13" s="17">
        <f t="shared" si="0"/>
        <v>9.0699999999999967</v>
      </c>
      <c r="S13" s="15">
        <v>22.2</v>
      </c>
      <c r="T13" s="17">
        <v>11.453333333333338</v>
      </c>
      <c r="U13" s="18">
        <f t="shared" si="1"/>
        <v>2.6866666666666652</v>
      </c>
      <c r="V13" s="17">
        <f t="shared" si="2"/>
        <v>7.0700000000000021</v>
      </c>
      <c r="W13" s="15">
        <v>22.2</v>
      </c>
      <c r="X13" s="17">
        <v>3.0999999999999943</v>
      </c>
      <c r="Y13" s="20">
        <v>3.3600000000000065</v>
      </c>
      <c r="Z13" s="17">
        <v>3.0999999999999943</v>
      </c>
      <c r="AA13" s="15">
        <v>22.2</v>
      </c>
      <c r="AB13" s="17">
        <v>3.4699999999999989</v>
      </c>
      <c r="AC13" s="17">
        <v>3.4824999999999946</v>
      </c>
      <c r="AD13" s="17">
        <f t="shared" si="3"/>
        <v>3.4762499999999967</v>
      </c>
      <c r="AE13" s="15">
        <v>22.9</v>
      </c>
      <c r="AF13" s="15">
        <v>10.724999999999994</v>
      </c>
      <c r="AG13" s="15">
        <v>23.2</v>
      </c>
      <c r="AH13" s="21">
        <v>1.8</v>
      </c>
      <c r="AI13" s="21">
        <v>20.5</v>
      </c>
      <c r="AJ13" s="21">
        <v>7.0000000000000007E-2</v>
      </c>
      <c r="AK13" s="21">
        <v>15.14</v>
      </c>
      <c r="AL13" s="15">
        <f t="shared" si="4"/>
        <v>1.1999999999999993</v>
      </c>
      <c r="AM13" s="15">
        <v>135</v>
      </c>
      <c r="AN13" s="15">
        <v>215</v>
      </c>
      <c r="AO13" s="1"/>
      <c r="AP13" s="1"/>
      <c r="AQ13" s="1"/>
      <c r="AR13" s="1"/>
      <c r="AS13" s="1"/>
    </row>
    <row r="14" spans="1:45" ht="16">
      <c r="A14" s="22">
        <v>12</v>
      </c>
      <c r="B14" s="22" t="s">
        <v>46</v>
      </c>
      <c r="C14" s="22" t="s">
        <v>50</v>
      </c>
      <c r="D14" s="22" t="s">
        <v>49</v>
      </c>
      <c r="E14" s="22">
        <v>21.7</v>
      </c>
      <c r="F14" s="23">
        <v>22.2</v>
      </c>
      <c r="G14" s="23">
        <v>22.6</v>
      </c>
      <c r="H14" s="23">
        <v>23</v>
      </c>
      <c r="I14" s="23">
        <v>1.47</v>
      </c>
      <c r="J14" s="23">
        <v>20.56</v>
      </c>
      <c r="K14" s="23">
        <v>0.06</v>
      </c>
      <c r="L14" s="23">
        <v>16.53</v>
      </c>
      <c r="M14" s="24">
        <v>11.423333333333327</v>
      </c>
      <c r="N14" s="25">
        <v>7.0549999999999997</v>
      </c>
      <c r="O14" s="24">
        <v>5.1699999999999973</v>
      </c>
      <c r="P14" s="26">
        <v>4.8766666666666652</v>
      </c>
      <c r="Q14" s="24">
        <v>4.5474999999999994</v>
      </c>
      <c r="R14" s="24">
        <f t="shared" si="0"/>
        <v>4.7120833333333323</v>
      </c>
      <c r="S14" s="22">
        <v>23.3</v>
      </c>
      <c r="T14" s="24">
        <v>3.9066666666666663</v>
      </c>
      <c r="U14" s="25">
        <f t="shared" si="1"/>
        <v>4.8483333333333336</v>
      </c>
      <c r="V14" s="24">
        <f t="shared" si="2"/>
        <v>4.3774999999999995</v>
      </c>
      <c r="W14" s="22">
        <v>24.6</v>
      </c>
      <c r="X14" s="24">
        <v>4.5800000000000027</v>
      </c>
      <c r="Y14" s="27">
        <v>11.072500000000005</v>
      </c>
      <c r="Z14" s="24">
        <v>4.5800000000000027</v>
      </c>
      <c r="AA14" s="22">
        <v>24.5</v>
      </c>
      <c r="AB14" s="24">
        <v>6.7099999999999982</v>
      </c>
      <c r="AC14" s="24">
        <v>5.5324999999999989</v>
      </c>
      <c r="AD14" s="24">
        <f t="shared" si="3"/>
        <v>6.1212499999999981</v>
      </c>
      <c r="AE14" s="22">
        <v>25.9</v>
      </c>
      <c r="AF14" s="22">
        <v>3.2149999999999892</v>
      </c>
      <c r="AG14" s="22">
        <v>25.8</v>
      </c>
      <c r="AH14" s="28">
        <v>3.48</v>
      </c>
      <c r="AI14" s="28">
        <v>21.91</v>
      </c>
      <c r="AJ14" s="28">
        <v>7.0000000000000007E-2</v>
      </c>
      <c r="AK14" s="28">
        <v>15.82</v>
      </c>
      <c r="AL14" s="22">
        <f t="shared" si="4"/>
        <v>2.8000000000000007</v>
      </c>
      <c r="AM14" s="22">
        <v>140</v>
      </c>
      <c r="AN14" s="22">
        <v>158</v>
      </c>
      <c r="AO14" s="29"/>
      <c r="AP14" s="29"/>
      <c r="AQ14" s="29"/>
      <c r="AR14" s="29"/>
      <c r="AS14" s="29"/>
    </row>
    <row r="15" spans="1:45" ht="16">
      <c r="A15" s="302">
        <v>13</v>
      </c>
      <c r="B15" s="302" t="s">
        <v>51</v>
      </c>
      <c r="C15" s="302" t="s">
        <v>47</v>
      </c>
      <c r="D15" s="302" t="s">
        <v>48</v>
      </c>
      <c r="E15" s="302">
        <v>52.7</v>
      </c>
      <c r="F15" s="303">
        <v>53.1</v>
      </c>
      <c r="G15" s="16">
        <v>55.2</v>
      </c>
      <c r="H15" s="16">
        <v>52.3</v>
      </c>
      <c r="I15" s="16">
        <v>19.420000000000002</v>
      </c>
      <c r="J15" s="16">
        <v>33.700000000000003</v>
      </c>
      <c r="K15" s="16">
        <v>0.49</v>
      </c>
      <c r="L15" s="16">
        <v>23.53</v>
      </c>
      <c r="M15" s="17">
        <v>6.6199999999999859</v>
      </c>
      <c r="N15" s="18">
        <v>6.7450000000000045</v>
      </c>
      <c r="O15" s="17">
        <v>6.6333333333333258</v>
      </c>
      <c r="P15" s="19">
        <v>7.0233333333333308</v>
      </c>
      <c r="Q15" s="17">
        <v>6.6075000000000017</v>
      </c>
      <c r="R15" s="17">
        <f t="shared" si="0"/>
        <v>6.8154166666666658</v>
      </c>
      <c r="S15" s="15">
        <v>51.6</v>
      </c>
      <c r="T15" s="17">
        <v>6.6133333333333342</v>
      </c>
      <c r="U15" s="18">
        <f t="shared" si="1"/>
        <v>11.246666666666666</v>
      </c>
      <c r="V15" s="17">
        <f t="shared" si="2"/>
        <v>8.93</v>
      </c>
      <c r="W15" s="15">
        <v>50.6</v>
      </c>
      <c r="X15" s="17">
        <v>7.6633333333333367</v>
      </c>
      <c r="Y15" s="20">
        <v>8.6174999999999997</v>
      </c>
      <c r="Z15" s="17">
        <v>7.6633333333333367</v>
      </c>
      <c r="AA15" s="15">
        <v>49.7</v>
      </c>
      <c r="AB15" s="17">
        <v>7.7166666666666686</v>
      </c>
      <c r="AC15" s="17">
        <v>9.0449999999999946</v>
      </c>
      <c r="AD15" s="17">
        <f t="shared" si="3"/>
        <v>8.3808333333333316</v>
      </c>
      <c r="AE15" s="15">
        <v>47.6</v>
      </c>
      <c r="AF15" s="15">
        <v>7.6299999999999955</v>
      </c>
      <c r="AG15" s="15">
        <v>45.7</v>
      </c>
      <c r="AH15" s="21">
        <v>10.8</v>
      </c>
      <c r="AI15" s="21">
        <v>34.28</v>
      </c>
      <c r="AJ15" s="21">
        <v>1.3</v>
      </c>
      <c r="AK15" s="21">
        <v>24.73</v>
      </c>
      <c r="AL15" s="15">
        <f t="shared" si="4"/>
        <v>-6.5999999999999943</v>
      </c>
      <c r="AM15" s="15" t="s">
        <v>52</v>
      </c>
      <c r="AN15" s="15">
        <v>844</v>
      </c>
      <c r="AO15" s="1"/>
      <c r="AP15" s="1"/>
      <c r="AQ15" s="1"/>
      <c r="AR15" s="1"/>
      <c r="AS15" s="1"/>
    </row>
    <row r="16" spans="1:45" ht="16">
      <c r="A16" s="302">
        <v>14</v>
      </c>
      <c r="B16" s="302" t="s">
        <v>51</v>
      </c>
      <c r="C16" s="302" t="s">
        <v>47</v>
      </c>
      <c r="D16" s="302" t="s">
        <v>49</v>
      </c>
      <c r="E16" s="302">
        <v>53.3</v>
      </c>
      <c r="F16" s="303">
        <v>50</v>
      </c>
      <c r="G16" s="23">
        <v>55</v>
      </c>
      <c r="H16" s="23">
        <v>54.1</v>
      </c>
      <c r="I16" s="23">
        <v>16.43</v>
      </c>
      <c r="J16" s="23">
        <v>37.6</v>
      </c>
      <c r="K16" s="23">
        <v>0.28000000000000003</v>
      </c>
      <c r="L16" s="23">
        <v>26.07</v>
      </c>
      <c r="M16" s="24">
        <v>6.553333333333323</v>
      </c>
      <c r="N16" s="25">
        <v>6.9050000000000011</v>
      </c>
      <c r="O16" s="24">
        <v>7.303333333333323</v>
      </c>
      <c r="P16" s="26">
        <v>4.7333333333333485</v>
      </c>
      <c r="Q16" s="24">
        <v>5.4749999999999943</v>
      </c>
      <c r="R16" s="24">
        <f t="shared" si="0"/>
        <v>5.1041666666666714</v>
      </c>
      <c r="S16" s="22">
        <v>53.7</v>
      </c>
      <c r="T16" s="24">
        <v>4.5999999999999943</v>
      </c>
      <c r="U16" s="25">
        <f t="shared" si="1"/>
        <v>12.275000000000002</v>
      </c>
      <c r="V16" s="24">
        <f t="shared" si="2"/>
        <v>8.4374999999999982</v>
      </c>
      <c r="W16" s="22">
        <v>52.4</v>
      </c>
      <c r="X16" s="24">
        <v>6.6933333333333378</v>
      </c>
      <c r="Y16" s="27">
        <v>7.2775000000000034</v>
      </c>
      <c r="Z16" s="24">
        <v>6.6933333333333378</v>
      </c>
      <c r="AA16" s="22">
        <v>51.9</v>
      </c>
      <c r="AB16" s="24">
        <v>9.5499999999999918</v>
      </c>
      <c r="AC16" s="24">
        <v>8.2175000000000082</v>
      </c>
      <c r="AD16" s="24">
        <f t="shared" si="3"/>
        <v>8.8837499999999991</v>
      </c>
      <c r="AE16" s="22">
        <v>50.5</v>
      </c>
      <c r="AF16" s="22">
        <v>6.3900000000000148</v>
      </c>
      <c r="AG16" s="22">
        <v>47.6</v>
      </c>
      <c r="AH16" s="28">
        <v>9.49</v>
      </c>
      <c r="AI16" s="28">
        <v>36.93</v>
      </c>
      <c r="AJ16" s="28">
        <v>0.63</v>
      </c>
      <c r="AK16" s="28">
        <v>26.26</v>
      </c>
      <c r="AL16" s="22">
        <f t="shared" si="4"/>
        <v>-6.5</v>
      </c>
      <c r="AM16" s="22" t="s">
        <v>53</v>
      </c>
      <c r="AN16" s="22">
        <v>866</v>
      </c>
      <c r="AO16" s="29"/>
      <c r="AP16" s="29"/>
      <c r="AQ16" s="29"/>
      <c r="AR16" s="29"/>
      <c r="AS16" s="29"/>
    </row>
    <row r="17" spans="1:45" ht="16">
      <c r="A17" s="302">
        <v>15</v>
      </c>
      <c r="B17" s="302" t="s">
        <v>51</v>
      </c>
      <c r="C17" s="302" t="s">
        <v>47</v>
      </c>
      <c r="D17" s="302" t="s">
        <v>48</v>
      </c>
      <c r="E17" s="302">
        <v>47.8</v>
      </c>
      <c r="F17" s="303">
        <v>49.7</v>
      </c>
      <c r="G17" s="16">
        <v>48.1</v>
      </c>
      <c r="H17" s="16">
        <v>44.2</v>
      </c>
      <c r="I17" s="16">
        <v>11.09</v>
      </c>
      <c r="J17" s="16">
        <v>33.85</v>
      </c>
      <c r="K17" s="16">
        <v>1.06</v>
      </c>
      <c r="L17" s="16">
        <v>25.75</v>
      </c>
      <c r="M17" s="17">
        <v>7.1633333333333367</v>
      </c>
      <c r="N17" s="18">
        <v>8.3299999999999912</v>
      </c>
      <c r="O17" s="17">
        <v>9.193333333333328</v>
      </c>
      <c r="P17" s="19">
        <v>10.080000000000013</v>
      </c>
      <c r="Q17" s="17">
        <v>10.302499999999995</v>
      </c>
      <c r="R17" s="17">
        <f t="shared" si="0"/>
        <v>10.191250000000004</v>
      </c>
      <c r="S17" s="15">
        <v>41.2</v>
      </c>
      <c r="T17" s="17">
        <v>8.6066666666666745</v>
      </c>
      <c r="U17" s="18">
        <f t="shared" si="1"/>
        <v>8.1483333333333317</v>
      </c>
      <c r="V17" s="17">
        <f t="shared" si="2"/>
        <v>8.3775000000000031</v>
      </c>
      <c r="W17" s="15">
        <v>40.6</v>
      </c>
      <c r="X17" s="17">
        <v>11.929999999999998</v>
      </c>
      <c r="Y17" s="20">
        <v>18.057500000000005</v>
      </c>
      <c r="Z17" s="17">
        <v>11.929999999999998</v>
      </c>
      <c r="AA17" s="15">
        <v>40.200000000000003</v>
      </c>
      <c r="AB17" s="17">
        <v>20.360000000000003</v>
      </c>
      <c r="AC17" s="17">
        <v>17.454999999999998</v>
      </c>
      <c r="AD17" s="17">
        <f t="shared" si="3"/>
        <v>18.907499999999999</v>
      </c>
      <c r="AE17" s="15">
        <v>41.3</v>
      </c>
      <c r="AF17" s="15">
        <v>13.125</v>
      </c>
      <c r="AG17" s="15">
        <v>41.4</v>
      </c>
      <c r="AH17" s="30">
        <v>-0.18</v>
      </c>
      <c r="AI17" s="21">
        <v>33.32</v>
      </c>
      <c r="AJ17" s="21">
        <v>3.57</v>
      </c>
      <c r="AK17" s="21">
        <v>27.31</v>
      </c>
      <c r="AL17" s="15">
        <f t="shared" si="4"/>
        <v>-2.8000000000000043</v>
      </c>
      <c r="AM17" s="15">
        <v>464</v>
      </c>
      <c r="AN17" s="15">
        <v>536</v>
      </c>
      <c r="AO17" s="1"/>
      <c r="AP17" s="1"/>
      <c r="AQ17" s="1"/>
      <c r="AR17" s="1"/>
      <c r="AS17" s="1"/>
    </row>
    <row r="18" spans="1:45" ht="16">
      <c r="A18" s="302">
        <v>16</v>
      </c>
      <c r="B18" s="302" t="s">
        <v>51</v>
      </c>
      <c r="C18" s="302" t="s">
        <v>47</v>
      </c>
      <c r="D18" s="302" t="s">
        <v>49</v>
      </c>
      <c r="E18" s="302">
        <v>46.5</v>
      </c>
      <c r="F18" s="303">
        <v>48.7</v>
      </c>
      <c r="G18" s="23">
        <v>50.3</v>
      </c>
      <c r="H18" s="23">
        <v>50</v>
      </c>
      <c r="I18" s="23">
        <v>14.1</v>
      </c>
      <c r="J18" s="23">
        <v>34.89</v>
      </c>
      <c r="K18" s="23">
        <v>0.2</v>
      </c>
      <c r="L18" s="23">
        <v>24.33</v>
      </c>
      <c r="M18" s="24">
        <v>5.0033333333333303</v>
      </c>
      <c r="N18" s="25">
        <v>5.6875</v>
      </c>
      <c r="O18" s="24">
        <v>5.6633333333333367</v>
      </c>
      <c r="P18" s="26">
        <v>4.5266666666666611</v>
      </c>
      <c r="Q18" s="24">
        <v>5.1175000000000068</v>
      </c>
      <c r="R18" s="24">
        <f t="shared" si="0"/>
        <v>4.8220833333333335</v>
      </c>
      <c r="S18" s="22">
        <v>50.9</v>
      </c>
      <c r="T18" s="24">
        <v>5.0699999999999932</v>
      </c>
      <c r="U18" s="25">
        <f t="shared" si="1"/>
        <v>11.457500000000001</v>
      </c>
      <c r="V18" s="24">
        <f t="shared" si="2"/>
        <v>8.2637499999999982</v>
      </c>
      <c r="W18" s="22">
        <v>51.5</v>
      </c>
      <c r="X18" s="24">
        <v>5.4400000000000075</v>
      </c>
      <c r="Y18" s="27">
        <v>6.207499999999996</v>
      </c>
      <c r="Z18" s="24">
        <v>5.4400000000000075</v>
      </c>
      <c r="AA18" s="22">
        <v>52.3</v>
      </c>
      <c r="AB18" s="24">
        <v>5.7066666666666679</v>
      </c>
      <c r="AC18" s="24">
        <v>5.9074999999999989</v>
      </c>
      <c r="AD18" s="24">
        <f t="shared" si="3"/>
        <v>5.8070833333333329</v>
      </c>
      <c r="AE18" s="22">
        <v>53.8</v>
      </c>
      <c r="AF18" s="22">
        <v>6.3449999999999989</v>
      </c>
      <c r="AG18" s="22">
        <v>53.9</v>
      </c>
      <c r="AH18" s="28">
        <v>16.079999999999998</v>
      </c>
      <c r="AI18" s="28">
        <v>34.94</v>
      </c>
      <c r="AJ18" s="28">
        <v>0.31</v>
      </c>
      <c r="AK18" s="28">
        <v>24.46</v>
      </c>
      <c r="AL18" s="22">
        <f t="shared" si="4"/>
        <v>3.8999999999999986</v>
      </c>
      <c r="AM18" s="22">
        <v>109</v>
      </c>
      <c r="AN18" s="22">
        <v>144</v>
      </c>
      <c r="AO18" s="29"/>
      <c r="AP18" s="29"/>
      <c r="AQ18" s="29"/>
      <c r="AR18" s="29"/>
      <c r="AS18" s="29"/>
    </row>
    <row r="19" spans="1:45" ht="16">
      <c r="A19" s="302">
        <v>17</v>
      </c>
      <c r="B19" s="302" t="s">
        <v>51</v>
      </c>
      <c r="C19" s="302" t="s">
        <v>47</v>
      </c>
      <c r="D19" s="302" t="s">
        <v>48</v>
      </c>
      <c r="E19" s="302">
        <v>52.1</v>
      </c>
      <c r="F19" s="303">
        <v>53.8</v>
      </c>
      <c r="G19" s="16">
        <v>55.2</v>
      </c>
      <c r="H19" s="16">
        <v>52.2</v>
      </c>
      <c r="I19" s="16">
        <v>17.78</v>
      </c>
      <c r="J19" s="16">
        <v>35.9</v>
      </c>
      <c r="K19" s="16">
        <v>0.35</v>
      </c>
      <c r="L19" s="16">
        <v>25.82</v>
      </c>
      <c r="M19" s="17">
        <v>7.0800000000000027</v>
      </c>
      <c r="N19" s="18">
        <v>7.5849999999999937</v>
      </c>
      <c r="O19" s="17">
        <v>5.8533333333333246</v>
      </c>
      <c r="P19" s="19">
        <v>6.0400000000000018</v>
      </c>
      <c r="Q19" s="17">
        <v>6.5399999999999991</v>
      </c>
      <c r="R19" s="17">
        <f t="shared" si="0"/>
        <v>6.2900000000000009</v>
      </c>
      <c r="S19" s="15">
        <v>48.8</v>
      </c>
      <c r="T19" s="17">
        <v>8.0700000000000021</v>
      </c>
      <c r="U19" s="18">
        <f t="shared" si="1"/>
        <v>10.182499999999999</v>
      </c>
      <c r="V19" s="17">
        <f t="shared" si="2"/>
        <v>9.1262500000000006</v>
      </c>
      <c r="W19" s="15">
        <v>45.5</v>
      </c>
      <c r="X19" s="17">
        <v>8.3966666666666665</v>
      </c>
      <c r="Y19" s="20">
        <v>10.700000000000003</v>
      </c>
      <c r="Z19" s="17">
        <v>8.3966666666666665</v>
      </c>
      <c r="AA19" s="15">
        <v>44.7</v>
      </c>
      <c r="AB19" s="17">
        <v>11.21666666666666</v>
      </c>
      <c r="AC19" s="17">
        <v>12.200000000000003</v>
      </c>
      <c r="AD19" s="17">
        <f t="shared" si="3"/>
        <v>11.708333333333332</v>
      </c>
      <c r="AE19" s="15">
        <v>43.2</v>
      </c>
      <c r="AF19" s="15">
        <v>14.030000000000001</v>
      </c>
      <c r="AG19" s="15">
        <v>43.6</v>
      </c>
      <c r="AH19" s="21">
        <v>4.05</v>
      </c>
      <c r="AI19" s="21">
        <v>34.58</v>
      </c>
      <c r="AJ19" s="21">
        <v>1.3</v>
      </c>
      <c r="AK19" s="21">
        <v>25.76</v>
      </c>
      <c r="AL19" s="15">
        <f t="shared" si="4"/>
        <v>-8.6000000000000014</v>
      </c>
      <c r="AM19" s="15" t="s">
        <v>53</v>
      </c>
      <c r="AN19" s="15">
        <v>834</v>
      </c>
      <c r="AO19" s="1"/>
      <c r="AP19" s="1"/>
      <c r="AQ19" s="1"/>
      <c r="AR19" s="1"/>
      <c r="AS19" s="1"/>
    </row>
    <row r="20" spans="1:45" ht="16">
      <c r="A20" s="302">
        <v>18</v>
      </c>
      <c r="B20" s="302" t="s">
        <v>51</v>
      </c>
      <c r="C20" s="302" t="s">
        <v>47</v>
      </c>
      <c r="D20" s="302" t="s">
        <v>49</v>
      </c>
      <c r="E20" s="302">
        <v>52.3</v>
      </c>
      <c r="F20" s="303">
        <v>54.9</v>
      </c>
      <c r="G20" s="23">
        <v>56.9</v>
      </c>
      <c r="H20" s="23">
        <v>52.9</v>
      </c>
      <c r="I20" s="23">
        <v>16.21</v>
      </c>
      <c r="J20" s="23">
        <v>38.56</v>
      </c>
      <c r="K20" s="23">
        <v>0.35</v>
      </c>
      <c r="L20" s="23">
        <v>26.79</v>
      </c>
      <c r="M20" s="24">
        <v>6.5566666666666533</v>
      </c>
      <c r="N20" s="25">
        <v>6.8400000000000034</v>
      </c>
      <c r="O20" s="24">
        <v>6.5366666666666715</v>
      </c>
      <c r="P20" s="26">
        <v>5.5033333333333303</v>
      </c>
      <c r="Q20" s="31">
        <v>1.4924999999999899</v>
      </c>
      <c r="R20" s="24">
        <f t="shared" si="0"/>
        <v>3.4979166666666601</v>
      </c>
      <c r="S20" s="22">
        <v>50.8</v>
      </c>
      <c r="T20" s="24">
        <v>5.2966666666666811</v>
      </c>
      <c r="U20" s="25">
        <f t="shared" si="1"/>
        <v>11.375833333333329</v>
      </c>
      <c r="V20" s="24">
        <f t="shared" si="2"/>
        <v>8.336250000000005</v>
      </c>
      <c r="W20" s="22">
        <v>46.5</v>
      </c>
      <c r="X20" s="24">
        <v>9.6566666666666574</v>
      </c>
      <c r="Y20" s="27">
        <v>9.1624999999999943</v>
      </c>
      <c r="Z20" s="24">
        <v>9.6566666666666574</v>
      </c>
      <c r="AA20" s="22">
        <v>47.1</v>
      </c>
      <c r="AB20" s="24">
        <v>9.7900000000000009</v>
      </c>
      <c r="AC20" s="24">
        <v>10.300000000000004</v>
      </c>
      <c r="AD20" s="24">
        <f t="shared" si="3"/>
        <v>10.045000000000002</v>
      </c>
      <c r="AE20" s="22">
        <v>46</v>
      </c>
      <c r="AF20" s="22">
        <v>9.710000000000008</v>
      </c>
      <c r="AG20" s="22">
        <v>44.7</v>
      </c>
      <c r="AH20" s="28">
        <v>3.07</v>
      </c>
      <c r="AI20" s="28">
        <v>37.18</v>
      </c>
      <c r="AJ20" s="28">
        <v>1.67</v>
      </c>
      <c r="AK20" s="28">
        <v>28.47</v>
      </c>
      <c r="AL20" s="22">
        <f t="shared" si="4"/>
        <v>-8.1999999999999957</v>
      </c>
      <c r="AM20" s="22">
        <v>560</v>
      </c>
      <c r="AN20" s="22">
        <v>737</v>
      </c>
      <c r="AO20" s="29"/>
      <c r="AP20" s="29"/>
      <c r="AQ20" s="29"/>
      <c r="AR20" s="29"/>
      <c r="AS20" s="29"/>
    </row>
    <row r="21" spans="1:45" ht="15.75" customHeight="1">
      <c r="A21" s="302">
        <v>19</v>
      </c>
      <c r="B21" s="302" t="s">
        <v>51</v>
      </c>
      <c r="C21" s="302" t="s">
        <v>50</v>
      </c>
      <c r="D21" s="302" t="s">
        <v>48</v>
      </c>
      <c r="E21" s="302">
        <v>43.2</v>
      </c>
      <c r="F21" s="303">
        <v>43.5</v>
      </c>
      <c r="G21" s="16">
        <v>42.9</v>
      </c>
      <c r="H21" s="16">
        <v>42.6</v>
      </c>
      <c r="I21" s="16">
        <v>15.43</v>
      </c>
      <c r="J21" s="16">
        <v>26.33</v>
      </c>
      <c r="K21" s="16">
        <v>0.14000000000000001</v>
      </c>
      <c r="L21" s="32">
        <v>18.37</v>
      </c>
      <c r="M21" s="17">
        <v>4.2433333333333394</v>
      </c>
      <c r="N21" s="18">
        <v>5.0499999999999972</v>
      </c>
      <c r="O21" s="17">
        <v>5.0699999999999932</v>
      </c>
      <c r="P21" s="19">
        <v>4.416666666666667</v>
      </c>
      <c r="Q21" s="17">
        <v>5.2750000000000057</v>
      </c>
      <c r="R21" s="17">
        <f t="shared" si="0"/>
        <v>4.8458333333333368</v>
      </c>
      <c r="S21" s="15">
        <v>43.5</v>
      </c>
      <c r="T21" s="17">
        <v>4.9799999999999995</v>
      </c>
      <c r="U21" s="18">
        <f t="shared" si="1"/>
        <v>9.6300000000000008</v>
      </c>
      <c r="V21" s="17">
        <f t="shared" si="2"/>
        <v>7.3049999999999997</v>
      </c>
      <c r="W21" s="15">
        <v>45</v>
      </c>
      <c r="X21" s="17">
        <v>4.5433333333333321</v>
      </c>
      <c r="Y21" s="20">
        <v>6.2949999999999875</v>
      </c>
      <c r="Z21" s="17">
        <v>4.5433333333333321</v>
      </c>
      <c r="AA21" s="15">
        <v>46</v>
      </c>
      <c r="AB21" s="17">
        <v>5.0066666666666793</v>
      </c>
      <c r="AC21" s="17">
        <v>4.7724999999999937</v>
      </c>
      <c r="AD21" s="17">
        <f t="shared" si="3"/>
        <v>4.8895833333333361</v>
      </c>
      <c r="AE21" s="15">
        <v>46.5</v>
      </c>
      <c r="AF21" s="15">
        <v>4.8550000000000182</v>
      </c>
      <c r="AG21" s="15">
        <v>46.6</v>
      </c>
      <c r="AH21" s="21">
        <v>18.37</v>
      </c>
      <c r="AI21" s="21">
        <v>25.88</v>
      </c>
      <c r="AJ21" s="21">
        <v>0.12</v>
      </c>
      <c r="AK21" s="21">
        <v>17.91</v>
      </c>
      <c r="AL21" s="15">
        <f t="shared" si="4"/>
        <v>4</v>
      </c>
      <c r="AM21" s="15">
        <v>121</v>
      </c>
      <c r="AN21" s="15">
        <v>156</v>
      </c>
      <c r="AO21" s="1"/>
      <c r="AP21" s="1"/>
      <c r="AQ21" s="1"/>
      <c r="AR21" s="1"/>
      <c r="AS21" s="1"/>
    </row>
    <row r="22" spans="1:45" ht="15.75" customHeight="1">
      <c r="A22" s="302">
        <v>20</v>
      </c>
      <c r="B22" s="302" t="s">
        <v>51</v>
      </c>
      <c r="C22" s="302" t="s">
        <v>50</v>
      </c>
      <c r="D22" s="302" t="s">
        <v>49</v>
      </c>
      <c r="E22" s="302">
        <v>45.3</v>
      </c>
      <c r="F22" s="303">
        <v>46</v>
      </c>
      <c r="G22" s="23">
        <v>46.3</v>
      </c>
      <c r="H22" s="23">
        <v>46.1</v>
      </c>
      <c r="I22" s="23">
        <v>17.440000000000001</v>
      </c>
      <c r="J22" s="23">
        <v>27.78</v>
      </c>
      <c r="K22" s="23">
        <v>0.27</v>
      </c>
      <c r="L22" s="23">
        <v>19.38</v>
      </c>
      <c r="M22" s="24">
        <v>5.109999999999995</v>
      </c>
      <c r="N22" s="25">
        <v>5.7724999999999937</v>
      </c>
      <c r="O22" s="24">
        <v>5.3633333333333439</v>
      </c>
      <c r="P22" s="26">
        <v>3.9266666666666574</v>
      </c>
      <c r="Q22" s="24">
        <v>4.3500000000000085</v>
      </c>
      <c r="R22" s="24">
        <f t="shared" si="0"/>
        <v>4.1383333333333328</v>
      </c>
      <c r="S22" s="22">
        <v>45.1</v>
      </c>
      <c r="T22" s="24">
        <v>4.5699999999999932</v>
      </c>
      <c r="U22" s="25">
        <f t="shared" si="1"/>
        <v>10.132500000000002</v>
      </c>
      <c r="V22" s="24">
        <f t="shared" si="2"/>
        <v>7.3512499999999976</v>
      </c>
      <c r="W22" s="22">
        <v>44.2</v>
      </c>
      <c r="X22" s="24">
        <v>4.6766666666666667</v>
      </c>
      <c r="Y22" s="27">
        <v>5.1850000000000023</v>
      </c>
      <c r="Z22" s="24">
        <v>4.6766666666666667</v>
      </c>
      <c r="AA22" s="22">
        <v>44.7</v>
      </c>
      <c r="AB22" s="24">
        <v>4.8099999999999836</v>
      </c>
      <c r="AC22" s="24">
        <v>5.355000000000004</v>
      </c>
      <c r="AD22" s="24">
        <f t="shared" si="3"/>
        <v>5.0824999999999942</v>
      </c>
      <c r="AE22" s="22">
        <v>44.1</v>
      </c>
      <c r="AF22" s="22">
        <v>5.1099999999999852</v>
      </c>
      <c r="AG22" s="22">
        <v>46.8</v>
      </c>
      <c r="AH22" s="28">
        <v>17.98</v>
      </c>
      <c r="AI22" s="28">
        <v>28.14</v>
      </c>
      <c r="AJ22" s="28">
        <v>0.24</v>
      </c>
      <c r="AK22" s="28">
        <v>18.7</v>
      </c>
      <c r="AL22" s="22">
        <f t="shared" si="4"/>
        <v>0.69999999999999574</v>
      </c>
      <c r="AM22" s="22">
        <v>112</v>
      </c>
      <c r="AN22" s="22">
        <v>124</v>
      </c>
      <c r="AO22" s="29"/>
      <c r="AP22" s="29"/>
      <c r="AQ22" s="29"/>
      <c r="AR22" s="29"/>
      <c r="AS22" s="29"/>
    </row>
    <row r="23" spans="1:45" ht="15.75" customHeight="1">
      <c r="A23" s="302">
        <v>21</v>
      </c>
      <c r="B23" s="302" t="s">
        <v>51</v>
      </c>
      <c r="C23" s="302" t="s">
        <v>50</v>
      </c>
      <c r="D23" s="302" t="s">
        <v>48</v>
      </c>
      <c r="E23" s="302">
        <v>44</v>
      </c>
      <c r="F23" s="303">
        <v>45</v>
      </c>
      <c r="G23" s="16">
        <v>44.4</v>
      </c>
      <c r="H23" s="16">
        <v>45.9</v>
      </c>
      <c r="I23" s="16">
        <v>17.829999999999998</v>
      </c>
      <c r="J23" s="16">
        <v>26.34</v>
      </c>
      <c r="K23" s="16">
        <v>0.16</v>
      </c>
      <c r="L23" s="16">
        <v>18.350000000000001</v>
      </c>
      <c r="M23" s="17">
        <v>5.4033333333333262</v>
      </c>
      <c r="N23" s="18">
        <v>5.3500000000000085</v>
      </c>
      <c r="O23" s="17">
        <v>4.9566666666666679</v>
      </c>
      <c r="P23" s="19">
        <v>5.2433333333333394</v>
      </c>
      <c r="Q23" s="17">
        <v>5.2599999999999909</v>
      </c>
      <c r="R23" s="17">
        <f t="shared" si="0"/>
        <v>5.2516666666666652</v>
      </c>
      <c r="S23" s="15">
        <v>47.3</v>
      </c>
      <c r="T23" s="17">
        <v>5.3200000000000118</v>
      </c>
      <c r="U23" s="18">
        <f t="shared" si="1"/>
        <v>10.494999999999996</v>
      </c>
      <c r="V23" s="17">
        <f t="shared" si="2"/>
        <v>7.9075000000000042</v>
      </c>
      <c r="W23" s="15">
        <v>48.3</v>
      </c>
      <c r="X23" s="17">
        <v>5.2166666666666686</v>
      </c>
      <c r="Y23" s="20">
        <v>6.9724999999999966</v>
      </c>
      <c r="Z23" s="17">
        <v>5.2166666666666686</v>
      </c>
      <c r="AA23" s="15">
        <v>49.5</v>
      </c>
      <c r="AB23" s="17">
        <v>5.3933333333333451</v>
      </c>
      <c r="AC23" s="17">
        <v>5.7999999999999972</v>
      </c>
      <c r="AD23" s="17">
        <f t="shared" si="3"/>
        <v>5.5966666666666711</v>
      </c>
      <c r="AE23" s="15">
        <v>51.7</v>
      </c>
      <c r="AF23" s="15">
        <v>5.460000000000008</v>
      </c>
      <c r="AG23" s="15">
        <v>52.5</v>
      </c>
      <c r="AH23" s="21">
        <v>23.41</v>
      </c>
      <c r="AI23" s="21">
        <v>28.12</v>
      </c>
      <c r="AJ23" s="21">
        <v>0.26</v>
      </c>
      <c r="AK23" s="21">
        <v>19.079999999999998</v>
      </c>
      <c r="AL23" s="15">
        <f t="shared" si="4"/>
        <v>6.6000000000000014</v>
      </c>
      <c r="AM23" s="15">
        <v>129</v>
      </c>
      <c r="AN23" s="15">
        <v>177</v>
      </c>
      <c r="AO23" s="1"/>
      <c r="AP23" s="1"/>
      <c r="AQ23" s="1"/>
      <c r="AR23" s="1"/>
      <c r="AS23" s="1"/>
    </row>
    <row r="24" spans="1:45" ht="15.75" customHeight="1">
      <c r="A24" s="302">
        <v>22</v>
      </c>
      <c r="B24" s="302" t="s">
        <v>51</v>
      </c>
      <c r="C24" s="302" t="s">
        <v>50</v>
      </c>
      <c r="D24" s="302" t="s">
        <v>49</v>
      </c>
      <c r="E24" s="302">
        <v>41.6</v>
      </c>
      <c r="F24" s="303">
        <v>39</v>
      </c>
      <c r="G24" s="23">
        <v>39.6</v>
      </c>
      <c r="H24" s="23">
        <v>39.5</v>
      </c>
      <c r="I24" s="23">
        <v>10.95</v>
      </c>
      <c r="J24" s="23">
        <v>27.15</v>
      </c>
      <c r="K24" s="23">
        <v>0.12</v>
      </c>
      <c r="L24" s="23">
        <v>19.48</v>
      </c>
      <c r="M24" s="24">
        <v>2.9666666666666779</v>
      </c>
      <c r="N24" s="25">
        <v>3.2874999999999943</v>
      </c>
      <c r="O24" s="24">
        <v>5.0233333333333308</v>
      </c>
      <c r="P24" s="26">
        <v>5.3666666666666742</v>
      </c>
      <c r="Q24" s="24">
        <v>4.1599999999999966</v>
      </c>
      <c r="R24" s="24">
        <f t="shared" si="0"/>
        <v>4.7633333333333354</v>
      </c>
      <c r="S24" s="22">
        <v>40.9</v>
      </c>
      <c r="T24" s="24">
        <v>4.6399999999999961</v>
      </c>
      <c r="U24" s="25">
        <f t="shared" si="1"/>
        <v>9.0650000000000013</v>
      </c>
      <c r="V24" s="24">
        <f t="shared" si="2"/>
        <v>6.8524999999999991</v>
      </c>
      <c r="W24" s="22">
        <v>39.6</v>
      </c>
      <c r="X24" s="24">
        <v>4.486666666666669</v>
      </c>
      <c r="Y24" s="27">
        <v>3.6975000000000051</v>
      </c>
      <c r="Z24" s="24">
        <v>4.486666666666669</v>
      </c>
      <c r="AA24" s="22">
        <v>40.9</v>
      </c>
      <c r="AB24" s="24">
        <v>4.9866666666666601</v>
      </c>
      <c r="AC24" s="24">
        <v>5.0049999999999955</v>
      </c>
      <c r="AD24" s="24">
        <f t="shared" si="3"/>
        <v>4.9958333333333282</v>
      </c>
      <c r="AE24" s="22">
        <v>41.5</v>
      </c>
      <c r="AF24" s="22">
        <v>5.125</v>
      </c>
      <c r="AG24" s="22">
        <v>43.2</v>
      </c>
      <c r="AH24" s="28">
        <v>15.53</v>
      </c>
      <c r="AI24" s="28">
        <v>25.75</v>
      </c>
      <c r="AJ24" s="28">
        <v>0.28000000000000003</v>
      </c>
      <c r="AK24" s="28">
        <v>19.09</v>
      </c>
      <c r="AL24" s="22">
        <f t="shared" si="4"/>
        <v>3.7000000000000028</v>
      </c>
      <c r="AM24" s="22">
        <v>92</v>
      </c>
      <c r="AN24" s="22">
        <v>92</v>
      </c>
      <c r="AO24" s="29"/>
      <c r="AP24" s="29"/>
      <c r="AQ24" s="29"/>
      <c r="AR24" s="29"/>
      <c r="AS24" s="29"/>
    </row>
    <row r="25" spans="1:45" ht="15.75" customHeight="1">
      <c r="A25" s="302">
        <v>23</v>
      </c>
      <c r="B25" s="302" t="s">
        <v>51</v>
      </c>
      <c r="C25" s="302" t="s">
        <v>50</v>
      </c>
      <c r="D25" s="302" t="s">
        <v>48</v>
      </c>
      <c r="E25" s="302">
        <v>47.1</v>
      </c>
      <c r="F25" s="303">
        <v>44.4</v>
      </c>
      <c r="G25" s="16">
        <v>45.4</v>
      </c>
      <c r="H25" s="16">
        <v>46.3</v>
      </c>
      <c r="I25" s="16">
        <v>15.1</v>
      </c>
      <c r="J25" s="16">
        <v>29.03</v>
      </c>
      <c r="K25" s="16">
        <v>0.19</v>
      </c>
      <c r="L25" s="16">
        <v>20.56</v>
      </c>
      <c r="M25" s="17">
        <v>4.4399999999999977</v>
      </c>
      <c r="N25" s="18">
        <v>3.9675000000000011</v>
      </c>
      <c r="O25" s="17">
        <v>6.806666666666672</v>
      </c>
      <c r="P25" s="19">
        <v>5.0566666666666533</v>
      </c>
      <c r="Q25" s="17">
        <v>5.5750000000000028</v>
      </c>
      <c r="R25" s="17">
        <f t="shared" si="0"/>
        <v>5.3158333333333285</v>
      </c>
      <c r="S25" s="15">
        <v>49.9</v>
      </c>
      <c r="T25" s="17">
        <v>6.8166666666666726</v>
      </c>
      <c r="U25" s="18">
        <f t="shared" si="1"/>
        <v>10.770833333333332</v>
      </c>
      <c r="V25" s="17">
        <f t="shared" si="2"/>
        <v>8.7937500000000028</v>
      </c>
      <c r="W25" s="15">
        <v>52.8</v>
      </c>
      <c r="X25" s="17">
        <v>6.1399999999999961</v>
      </c>
      <c r="Y25" s="20">
        <v>6.5349999999999966</v>
      </c>
      <c r="Z25" s="17">
        <v>6.1399999999999961</v>
      </c>
      <c r="AA25" s="15">
        <v>55.4</v>
      </c>
      <c r="AB25" s="17">
        <v>6.3166666666666629</v>
      </c>
      <c r="AC25" s="17">
        <v>6.0150000000000006</v>
      </c>
      <c r="AD25" s="17">
        <f t="shared" si="3"/>
        <v>6.1658333333333317</v>
      </c>
      <c r="AE25" s="15">
        <v>58.4</v>
      </c>
      <c r="AF25" s="15">
        <v>5.9549999999999841</v>
      </c>
      <c r="AG25" s="15">
        <v>58.9</v>
      </c>
      <c r="AH25" s="21">
        <v>27.45</v>
      </c>
      <c r="AI25" s="21">
        <v>30.66</v>
      </c>
      <c r="AJ25" s="21">
        <v>0.2</v>
      </c>
      <c r="AK25" s="21">
        <v>21.2</v>
      </c>
      <c r="AL25" s="15">
        <f t="shared" si="4"/>
        <v>12.600000000000001</v>
      </c>
      <c r="AM25" s="15">
        <v>98</v>
      </c>
      <c r="AN25" s="15">
        <v>89</v>
      </c>
      <c r="AO25" s="1"/>
      <c r="AP25" s="1"/>
      <c r="AQ25" s="1"/>
      <c r="AR25" s="1"/>
      <c r="AS25" s="1"/>
    </row>
    <row r="26" spans="1:45" ht="15.75" customHeight="1">
      <c r="A26" s="302">
        <v>24</v>
      </c>
      <c r="B26" s="302" t="s">
        <v>51</v>
      </c>
      <c r="C26" s="302" t="s">
        <v>50</v>
      </c>
      <c r="D26" s="302" t="s">
        <v>49</v>
      </c>
      <c r="E26" s="302">
        <v>45</v>
      </c>
      <c r="F26" s="303">
        <v>42.8</v>
      </c>
      <c r="G26" s="23">
        <v>43.8</v>
      </c>
      <c r="H26" s="23">
        <v>44.6</v>
      </c>
      <c r="I26" s="23">
        <v>13.58</v>
      </c>
      <c r="J26" s="23">
        <v>28.46</v>
      </c>
      <c r="K26" s="23">
        <v>0.21</v>
      </c>
      <c r="L26" s="23">
        <v>20.48</v>
      </c>
      <c r="M26" s="24">
        <v>4.1433333333333353</v>
      </c>
      <c r="N26" s="25">
        <v>3.5499999999999972</v>
      </c>
      <c r="O26" s="24">
        <v>5.3600000000000136</v>
      </c>
      <c r="P26" s="26">
        <v>4.916666666666667</v>
      </c>
      <c r="Q26" s="24">
        <v>5.0074999999999932</v>
      </c>
      <c r="R26" s="24">
        <f t="shared" si="0"/>
        <v>4.9620833333333305</v>
      </c>
      <c r="S26" s="22">
        <v>45.9</v>
      </c>
      <c r="T26" s="24">
        <v>4.0233333333333308</v>
      </c>
      <c r="U26" s="25">
        <f t="shared" si="1"/>
        <v>10.469166666666666</v>
      </c>
      <c r="V26" s="24">
        <f t="shared" si="2"/>
        <v>7.2462499999999981</v>
      </c>
      <c r="W26" s="22">
        <v>44.2</v>
      </c>
      <c r="X26" s="24">
        <v>5.0233333333333405</v>
      </c>
      <c r="Y26" s="27">
        <v>4.5925000000000011</v>
      </c>
      <c r="Z26" s="24">
        <v>5.0233333333333405</v>
      </c>
      <c r="AA26" s="22">
        <v>45.9</v>
      </c>
      <c r="AB26" s="24">
        <v>5.306666666666672</v>
      </c>
      <c r="AC26" s="24">
        <v>5.2125000000000057</v>
      </c>
      <c r="AD26" s="24">
        <f t="shared" si="3"/>
        <v>5.2595833333333388</v>
      </c>
      <c r="AE26" s="22">
        <v>45.9</v>
      </c>
      <c r="AF26" s="22">
        <v>5.3050000000000068</v>
      </c>
      <c r="AG26" s="22">
        <v>47.4</v>
      </c>
      <c r="AH26" s="28">
        <v>17.510000000000002</v>
      </c>
      <c r="AI26" s="28">
        <v>28.48</v>
      </c>
      <c r="AJ26" s="28">
        <v>0.52</v>
      </c>
      <c r="AK26" s="28">
        <v>20.62</v>
      </c>
      <c r="AL26" s="22">
        <f t="shared" si="4"/>
        <v>2.7999999999999972</v>
      </c>
      <c r="AM26" s="22">
        <v>124</v>
      </c>
      <c r="AN26" s="22">
        <v>152</v>
      </c>
      <c r="AO26" s="29"/>
      <c r="AP26" s="29"/>
      <c r="AQ26" s="29"/>
      <c r="AR26" s="29"/>
      <c r="AS26" s="29"/>
    </row>
    <row r="27" spans="1:4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ht="15.75" customHeight="1">
      <c r="A28" s="33" t="s">
        <v>54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ht="15.75" customHeight="1">
      <c r="A29" s="33" t="s">
        <v>55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ht="15.75" customHeight="1">
      <c r="A30" s="33" t="s">
        <v>56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ht="15.75" customHeight="1">
      <c r="A31" s="33" t="s">
        <v>57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ht="15.75" customHeight="1">
      <c r="A32" s="33" t="s">
        <v>58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ht="15.75" customHeight="1">
      <c r="A34" s="228" t="s">
        <v>59</v>
      </c>
      <c r="B34" s="228" t="s">
        <v>0</v>
      </c>
      <c r="C34" s="228" t="s">
        <v>1</v>
      </c>
      <c r="D34" s="228" t="s">
        <v>2</v>
      </c>
      <c r="E34" s="230" t="s">
        <v>3</v>
      </c>
      <c r="F34" s="231"/>
      <c r="G34" s="231"/>
      <c r="H34" s="231"/>
      <c r="I34" s="231"/>
      <c r="J34" s="232"/>
      <c r="K34" s="34"/>
      <c r="L34" s="237" t="s">
        <v>4</v>
      </c>
      <c r="M34" s="231"/>
      <c r="N34" s="231"/>
      <c r="O34" s="232"/>
      <c r="P34" s="1"/>
      <c r="Q34" s="238" t="s">
        <v>5</v>
      </c>
      <c r="R34" s="231"/>
      <c r="S34" s="231"/>
      <c r="T34" s="232"/>
      <c r="U34" s="1"/>
      <c r="V34" s="233" t="s">
        <v>6</v>
      </c>
      <c r="W34" s="231"/>
      <c r="X34" s="231"/>
      <c r="Y34" s="232"/>
      <c r="Z34" s="1"/>
      <c r="AA34" s="234" t="s">
        <v>60</v>
      </c>
      <c r="AB34" s="231"/>
      <c r="AC34" s="231"/>
      <c r="AD34" s="232"/>
      <c r="AE34" s="1"/>
      <c r="AF34" s="235" t="s">
        <v>61</v>
      </c>
      <c r="AG34" s="231"/>
      <c r="AH34" s="231"/>
      <c r="AI34" s="232"/>
      <c r="AJ34" s="1"/>
      <c r="AK34" s="236" t="s">
        <v>9</v>
      </c>
      <c r="AL34" s="231"/>
      <c r="AM34" s="231"/>
      <c r="AN34" s="231"/>
      <c r="AO34" s="231"/>
      <c r="AP34" s="231"/>
      <c r="AQ34" s="232"/>
      <c r="AR34" s="1"/>
      <c r="AS34" s="1"/>
    </row>
    <row r="35" spans="1:45" ht="15.75" customHeight="1">
      <c r="A35" s="229"/>
      <c r="B35" s="229"/>
      <c r="C35" s="229"/>
      <c r="D35" s="229"/>
      <c r="E35" s="2" t="s">
        <v>62</v>
      </c>
      <c r="F35" s="2" t="s">
        <v>63</v>
      </c>
      <c r="G35" s="2" t="s">
        <v>64</v>
      </c>
      <c r="H35" s="2" t="s">
        <v>65</v>
      </c>
      <c r="I35" s="2" t="s">
        <v>66</v>
      </c>
      <c r="J35" s="2" t="s">
        <v>67</v>
      </c>
      <c r="K35" s="1"/>
      <c r="L35" s="3" t="s">
        <v>68</v>
      </c>
      <c r="M35" s="3" t="s">
        <v>69</v>
      </c>
      <c r="N35" s="4" t="s">
        <v>23</v>
      </c>
      <c r="O35" s="4" t="s">
        <v>70</v>
      </c>
      <c r="P35" s="1"/>
      <c r="Q35" s="35" t="s">
        <v>71</v>
      </c>
      <c r="R35" s="35" t="s">
        <v>72</v>
      </c>
      <c r="S35" s="36" t="s">
        <v>27</v>
      </c>
      <c r="T35" s="36" t="s">
        <v>73</v>
      </c>
      <c r="U35" s="1"/>
      <c r="V35" s="37" t="s">
        <v>74</v>
      </c>
      <c r="W35" s="37" t="s">
        <v>75</v>
      </c>
      <c r="X35" s="38" t="s">
        <v>76</v>
      </c>
      <c r="Y35" s="38" t="s">
        <v>77</v>
      </c>
      <c r="Z35" s="1"/>
      <c r="AA35" s="39" t="s">
        <v>78</v>
      </c>
      <c r="AB35" s="39" t="s">
        <v>79</v>
      </c>
      <c r="AC35" s="40" t="s">
        <v>35</v>
      </c>
      <c r="AD35" s="40" t="s">
        <v>80</v>
      </c>
      <c r="AE35" s="1"/>
      <c r="AF35" s="41" t="s">
        <v>81</v>
      </c>
      <c r="AG35" s="41" t="s">
        <v>82</v>
      </c>
      <c r="AH35" s="42" t="s">
        <v>83</v>
      </c>
      <c r="AI35" s="42" t="s">
        <v>84</v>
      </c>
      <c r="AJ35" s="1"/>
      <c r="AK35" s="43" t="s">
        <v>85</v>
      </c>
      <c r="AL35" s="44" t="s">
        <v>86</v>
      </c>
      <c r="AM35" s="44" t="s">
        <v>87</v>
      </c>
      <c r="AN35" s="45" t="s">
        <v>88</v>
      </c>
      <c r="AO35" s="46" t="s">
        <v>43</v>
      </c>
      <c r="AP35" s="47" t="s">
        <v>44</v>
      </c>
      <c r="AQ35" s="47" t="s">
        <v>89</v>
      </c>
      <c r="AR35" s="1" t="s">
        <v>90</v>
      </c>
      <c r="AS35" s="1"/>
    </row>
    <row r="36" spans="1:45" ht="15.75" customHeight="1">
      <c r="A36" s="15">
        <v>25</v>
      </c>
      <c r="B36" s="15" t="s">
        <v>46</v>
      </c>
      <c r="C36" s="15" t="s">
        <v>47</v>
      </c>
      <c r="D36" s="15" t="s">
        <v>48</v>
      </c>
      <c r="E36" s="21">
        <v>2.16</v>
      </c>
      <c r="F36" s="21">
        <v>28.3</v>
      </c>
      <c r="G36" s="21">
        <v>0.08</v>
      </c>
      <c r="H36" s="21">
        <v>20.18</v>
      </c>
      <c r="I36" s="15">
        <v>30.18</v>
      </c>
      <c r="J36" s="17">
        <v>6.3433333333333435</v>
      </c>
      <c r="K36" s="1"/>
      <c r="L36" s="17">
        <v>5.0875000000000057</v>
      </c>
      <c r="M36" s="17">
        <v>4.3633333333333253</v>
      </c>
      <c r="N36" s="17">
        <f t="shared" ref="N36:N50" si="5">AVERAGE(L36:M36)</f>
        <v>4.7254166666666659</v>
      </c>
      <c r="O36" s="15">
        <v>31.5</v>
      </c>
      <c r="P36" s="1"/>
      <c r="Q36" s="17">
        <v>4.7475000000000023</v>
      </c>
      <c r="R36" s="17">
        <v>4.0100000000000007</v>
      </c>
      <c r="S36" s="17">
        <f t="shared" ref="S36:S50" si="6">AVERAGE(Q36:R36)</f>
        <v>4.3787500000000019</v>
      </c>
      <c r="T36" s="15">
        <v>32.6</v>
      </c>
      <c r="U36" s="1"/>
      <c r="V36" s="17">
        <v>7.9899999999999949</v>
      </c>
      <c r="W36" s="17">
        <v>5.1033333333333344</v>
      </c>
      <c r="X36" s="17">
        <f t="shared" ref="X36:X59" si="7">AVERAGE(V36:W36)</f>
        <v>6.5466666666666651</v>
      </c>
      <c r="Y36" s="15">
        <v>33.299999999999997</v>
      </c>
      <c r="Z36" s="1"/>
      <c r="AA36" s="17">
        <v>4.4650000000000034</v>
      </c>
      <c r="AB36" s="17">
        <v>4.9533333333333376</v>
      </c>
      <c r="AC36" s="17">
        <f t="shared" ref="AC36:AC59" si="8">AVERAGE(AA36:AB36)</f>
        <v>4.7091666666666701</v>
      </c>
      <c r="AD36" s="15">
        <v>34.299999999999997</v>
      </c>
      <c r="AE36" s="1"/>
      <c r="AF36" s="48">
        <v>7.5150000000000148</v>
      </c>
      <c r="AG36" s="17">
        <v>4.2549999999999955</v>
      </c>
      <c r="AH36" s="17">
        <v>4.2549999999999955</v>
      </c>
      <c r="AI36" s="15">
        <v>32.9</v>
      </c>
      <c r="AJ36" s="1"/>
      <c r="AK36" s="21">
        <v>4.54</v>
      </c>
      <c r="AL36" s="21">
        <v>27.78</v>
      </c>
      <c r="AM36" s="21">
        <v>0.09</v>
      </c>
      <c r="AN36" s="21">
        <v>19.91</v>
      </c>
      <c r="AO36" s="15">
        <f t="shared" ref="AO36:AO59" si="9">AI36-I36</f>
        <v>2.7199999999999989</v>
      </c>
      <c r="AP36" s="15">
        <v>109</v>
      </c>
      <c r="AQ36" s="49" t="s">
        <v>91</v>
      </c>
      <c r="AR36" s="1">
        <f t="shared" ref="AR36:AR48" si="10">((AK36/AI36)*100)</f>
        <v>13.799392097264437</v>
      </c>
      <c r="AS36" s="1"/>
    </row>
    <row r="37" spans="1:45" ht="15.75" customHeight="1">
      <c r="A37" s="22">
        <v>26</v>
      </c>
      <c r="B37" s="22" t="s">
        <v>46</v>
      </c>
      <c r="C37" s="22" t="s">
        <v>47</v>
      </c>
      <c r="D37" s="22" t="s">
        <v>49</v>
      </c>
      <c r="E37" s="28">
        <v>2.33</v>
      </c>
      <c r="F37" s="28">
        <v>28.55</v>
      </c>
      <c r="G37" s="28">
        <v>0.11</v>
      </c>
      <c r="H37" s="28">
        <v>20.399999999999999</v>
      </c>
      <c r="I37" s="22">
        <v>30.9</v>
      </c>
      <c r="J37" s="24">
        <v>8.1299999999999955</v>
      </c>
      <c r="K37" s="29"/>
      <c r="L37" s="24">
        <v>6.5174999999999983</v>
      </c>
      <c r="M37" s="24">
        <v>5.1633333333333367</v>
      </c>
      <c r="N37" s="24">
        <f t="shared" si="5"/>
        <v>5.8404166666666679</v>
      </c>
      <c r="O37" s="22">
        <v>32.799999999999997</v>
      </c>
      <c r="P37" s="29"/>
      <c r="Q37" s="24">
        <v>4.2875000000000014</v>
      </c>
      <c r="R37" s="24">
        <v>3.7733333333333405</v>
      </c>
      <c r="S37" s="24">
        <f t="shared" si="6"/>
        <v>4.030416666666671</v>
      </c>
      <c r="T37" s="22">
        <v>33.4</v>
      </c>
      <c r="U37" s="29"/>
      <c r="V37" s="24">
        <v>4.0150000000000006</v>
      </c>
      <c r="W37" s="24">
        <v>4.693333333333328</v>
      </c>
      <c r="X37" s="24">
        <f t="shared" si="7"/>
        <v>4.3541666666666643</v>
      </c>
      <c r="Y37" s="22">
        <v>33.6</v>
      </c>
      <c r="Z37" s="29"/>
      <c r="AA37" s="24">
        <v>3.4699999999999989</v>
      </c>
      <c r="AB37" s="24">
        <v>4.833333333333333</v>
      </c>
      <c r="AC37" s="24">
        <f t="shared" si="8"/>
        <v>4.1516666666666655</v>
      </c>
      <c r="AD37" s="22">
        <v>34</v>
      </c>
      <c r="AE37" s="29"/>
      <c r="AF37" s="31">
        <v>9.5699999999999932</v>
      </c>
      <c r="AG37" s="24">
        <v>3.4724999999999966</v>
      </c>
      <c r="AH37" s="24">
        <v>3.4724999999999966</v>
      </c>
      <c r="AI37" s="22">
        <v>33.799999999999997</v>
      </c>
      <c r="AJ37" s="29"/>
      <c r="AK37" s="28">
        <v>4.6100000000000003</v>
      </c>
      <c r="AL37" s="28">
        <v>28.18</v>
      </c>
      <c r="AM37" s="28">
        <v>0.24</v>
      </c>
      <c r="AN37" s="28">
        <v>19.989999999999998</v>
      </c>
      <c r="AO37" s="22">
        <f t="shared" si="9"/>
        <v>2.8999999999999986</v>
      </c>
      <c r="AP37" s="22">
        <v>123</v>
      </c>
      <c r="AQ37" s="50" t="s">
        <v>92</v>
      </c>
      <c r="AR37" s="29">
        <f t="shared" si="10"/>
        <v>13.639053254437872</v>
      </c>
      <c r="AS37" s="29"/>
    </row>
    <row r="38" spans="1:45" ht="15.75" customHeight="1">
      <c r="A38" s="15">
        <v>27</v>
      </c>
      <c r="B38" s="15" t="s">
        <v>46</v>
      </c>
      <c r="C38" s="15" t="s">
        <v>47</v>
      </c>
      <c r="D38" s="15" t="s">
        <v>48</v>
      </c>
      <c r="E38" s="21">
        <v>1.65</v>
      </c>
      <c r="F38" s="21">
        <v>27.09</v>
      </c>
      <c r="G38" s="21">
        <v>0.06</v>
      </c>
      <c r="H38" s="21">
        <v>20.27</v>
      </c>
      <c r="I38" s="15">
        <v>28.84</v>
      </c>
      <c r="J38" s="17">
        <v>8.2399999999999896</v>
      </c>
      <c r="K38" s="1"/>
      <c r="L38" s="17">
        <v>6.6925000000000026</v>
      </c>
      <c r="M38" s="17">
        <v>6.1166666666666645</v>
      </c>
      <c r="N38" s="17">
        <f t="shared" si="5"/>
        <v>6.4045833333333331</v>
      </c>
      <c r="O38" s="15">
        <v>29.7</v>
      </c>
      <c r="P38" s="1"/>
      <c r="Q38" s="17">
        <v>5.0500000000000043</v>
      </c>
      <c r="R38" s="17">
        <v>4.8399999999999936</v>
      </c>
      <c r="S38" s="17">
        <f t="shared" si="6"/>
        <v>4.9449999999999985</v>
      </c>
      <c r="T38" s="15">
        <v>30.2</v>
      </c>
      <c r="U38" s="1"/>
      <c r="V38" s="17">
        <v>5.6225000000000023</v>
      </c>
      <c r="W38" s="17">
        <v>6.403333333333336</v>
      </c>
      <c r="X38" s="17">
        <f t="shared" si="7"/>
        <v>6.0129166666666691</v>
      </c>
      <c r="Y38" s="15">
        <v>30.8</v>
      </c>
      <c r="Z38" s="1"/>
      <c r="AA38" s="17">
        <v>5.1049999999999969</v>
      </c>
      <c r="AB38" s="17">
        <v>7.1166666666666645</v>
      </c>
      <c r="AC38" s="17">
        <f t="shared" si="8"/>
        <v>6.1108333333333302</v>
      </c>
      <c r="AD38" s="15">
        <v>30.9</v>
      </c>
      <c r="AE38" s="1"/>
      <c r="AF38" s="48">
        <v>7.8300000000000125</v>
      </c>
      <c r="AG38" s="17">
        <v>5.289999999999992</v>
      </c>
      <c r="AH38" s="17">
        <v>5.289999999999992</v>
      </c>
      <c r="AI38" s="15">
        <v>30.9</v>
      </c>
      <c r="AJ38" s="1"/>
      <c r="AK38" s="21">
        <v>2.95</v>
      </c>
      <c r="AL38" s="21">
        <v>26.4</v>
      </c>
      <c r="AM38" s="21">
        <v>0.19</v>
      </c>
      <c r="AN38" s="21">
        <v>18.93</v>
      </c>
      <c r="AO38" s="15">
        <f t="shared" si="9"/>
        <v>2.0599999999999987</v>
      </c>
      <c r="AP38" s="15">
        <v>128</v>
      </c>
      <c r="AQ38" s="51" t="s">
        <v>93</v>
      </c>
      <c r="AR38" s="1">
        <f t="shared" si="10"/>
        <v>9.5469255663430417</v>
      </c>
      <c r="AS38" s="1"/>
    </row>
    <row r="39" spans="1:45" ht="15.75" customHeight="1">
      <c r="A39" s="22">
        <v>28</v>
      </c>
      <c r="B39" s="22" t="s">
        <v>46</v>
      </c>
      <c r="C39" s="22" t="s">
        <v>47</v>
      </c>
      <c r="D39" s="22" t="s">
        <v>49</v>
      </c>
      <c r="E39" s="28">
        <v>2.72</v>
      </c>
      <c r="F39" s="28">
        <v>24.12</v>
      </c>
      <c r="G39" s="28">
        <v>7.0000000000000007E-2</v>
      </c>
      <c r="H39" s="28">
        <v>16.87</v>
      </c>
      <c r="I39" s="22">
        <v>26.09</v>
      </c>
      <c r="J39" s="24">
        <v>10.433333333333318</v>
      </c>
      <c r="K39" s="29"/>
      <c r="L39" s="24">
        <v>8.8300000000000054</v>
      </c>
      <c r="M39" s="24">
        <v>7.3200000000000029</v>
      </c>
      <c r="N39" s="24">
        <f t="shared" si="5"/>
        <v>8.0750000000000046</v>
      </c>
      <c r="O39" s="22">
        <v>27.1</v>
      </c>
      <c r="P39" s="29"/>
      <c r="Q39" s="24">
        <v>6.4499999999999957</v>
      </c>
      <c r="R39" s="24">
        <v>5.3500000000000041</v>
      </c>
      <c r="S39" s="24">
        <f t="shared" si="6"/>
        <v>5.9</v>
      </c>
      <c r="T39" s="22">
        <v>27.7</v>
      </c>
      <c r="U39" s="29"/>
      <c r="V39" s="24">
        <v>5.707499999999996</v>
      </c>
      <c r="W39" s="24">
        <v>4.6200000000000045</v>
      </c>
      <c r="X39" s="24">
        <f t="shared" si="7"/>
        <v>5.1637500000000003</v>
      </c>
      <c r="Y39" s="22">
        <v>28.6</v>
      </c>
      <c r="Z39" s="29"/>
      <c r="AA39" s="24">
        <v>5.2274999999999991</v>
      </c>
      <c r="AB39" s="24">
        <v>8.1166666666666742</v>
      </c>
      <c r="AC39" s="24">
        <f t="shared" si="8"/>
        <v>6.6720833333333367</v>
      </c>
      <c r="AD39" s="22">
        <v>29.5</v>
      </c>
      <c r="AE39" s="29"/>
      <c r="AF39" s="31">
        <v>13.144999999999996</v>
      </c>
      <c r="AG39" s="24">
        <v>5.6049999999999969</v>
      </c>
      <c r="AH39" s="24">
        <v>5.6049999999999969</v>
      </c>
      <c r="AI39" s="22">
        <v>29.4</v>
      </c>
      <c r="AJ39" s="29"/>
      <c r="AK39" s="28">
        <v>3.98</v>
      </c>
      <c r="AL39" s="28">
        <v>24.37</v>
      </c>
      <c r="AM39" s="28">
        <v>0.1</v>
      </c>
      <c r="AN39" s="28">
        <v>18.11</v>
      </c>
      <c r="AO39" s="22">
        <f t="shared" si="9"/>
        <v>3.3099999999999987</v>
      </c>
      <c r="AP39" s="22">
        <v>134</v>
      </c>
      <c r="AQ39" s="50" t="s">
        <v>94</v>
      </c>
      <c r="AR39" s="29">
        <f t="shared" si="10"/>
        <v>13.537414965986393</v>
      </c>
      <c r="AS39" s="29"/>
    </row>
    <row r="40" spans="1:45" ht="15.75" customHeight="1">
      <c r="A40" s="22">
        <v>29</v>
      </c>
      <c r="B40" s="22" t="s">
        <v>46</v>
      </c>
      <c r="C40" s="22" t="s">
        <v>47</v>
      </c>
      <c r="D40" s="22" t="s">
        <v>49</v>
      </c>
      <c r="E40" s="28">
        <v>1.59</v>
      </c>
      <c r="F40" s="28">
        <v>26.12</v>
      </c>
      <c r="G40" s="28">
        <v>0.16</v>
      </c>
      <c r="H40" s="28">
        <v>19.13</v>
      </c>
      <c r="I40" s="22">
        <v>27.8</v>
      </c>
      <c r="J40" s="24">
        <v>6.7433333333333394</v>
      </c>
      <c r="K40" s="29"/>
      <c r="L40" s="24">
        <v>4.6099999999999994</v>
      </c>
      <c r="M40" s="24">
        <v>4.2733333333333308</v>
      </c>
      <c r="N40" s="24">
        <f t="shared" si="5"/>
        <v>4.4416666666666647</v>
      </c>
      <c r="O40" s="22">
        <v>28.4</v>
      </c>
      <c r="P40" s="29"/>
      <c r="Q40" s="24">
        <v>4.1200000000000045</v>
      </c>
      <c r="R40" s="24">
        <v>3.2066666666666683</v>
      </c>
      <c r="S40" s="24">
        <f t="shared" si="6"/>
        <v>3.6633333333333367</v>
      </c>
      <c r="T40" s="22">
        <v>29.3</v>
      </c>
      <c r="U40" s="29"/>
      <c r="V40" s="24">
        <v>3.3174999999999955</v>
      </c>
      <c r="W40" s="24">
        <v>4.2166666666666686</v>
      </c>
      <c r="X40" s="24">
        <f t="shared" si="7"/>
        <v>3.767083333333332</v>
      </c>
      <c r="Y40" s="22">
        <v>29.1</v>
      </c>
      <c r="Z40" s="29"/>
      <c r="AA40" s="24">
        <v>3.3175000000000026</v>
      </c>
      <c r="AB40" s="24">
        <v>4.3666666666666645</v>
      </c>
      <c r="AC40" s="24">
        <f t="shared" si="8"/>
        <v>3.8420833333333335</v>
      </c>
      <c r="AD40" s="22">
        <v>29.5</v>
      </c>
      <c r="AE40" s="29"/>
      <c r="AF40" s="31">
        <v>2.1349999999999909</v>
      </c>
      <c r="AG40" s="24">
        <v>3.8599999999999994</v>
      </c>
      <c r="AH40" s="24">
        <v>3.8599999999999994</v>
      </c>
      <c r="AI40" s="22">
        <v>29.1</v>
      </c>
      <c r="AJ40" s="29"/>
      <c r="AK40" s="28">
        <v>2.4900000000000002</v>
      </c>
      <c r="AL40" s="28">
        <v>25.92</v>
      </c>
      <c r="AM40" s="28">
        <v>0.17</v>
      </c>
      <c r="AN40" s="28">
        <v>18.260000000000002</v>
      </c>
      <c r="AO40" s="22">
        <f t="shared" si="9"/>
        <v>1.3000000000000007</v>
      </c>
      <c r="AP40" s="22">
        <v>116</v>
      </c>
      <c r="AQ40" s="50">
        <v>107</v>
      </c>
      <c r="AR40" s="29">
        <f t="shared" si="10"/>
        <v>8.5567010309278349</v>
      </c>
      <c r="AS40" s="29"/>
    </row>
    <row r="41" spans="1:45" ht="15.75" customHeight="1">
      <c r="A41" s="52">
        <v>30</v>
      </c>
      <c r="B41" s="52" t="s">
        <v>46</v>
      </c>
      <c r="C41" s="52" t="s">
        <v>47</v>
      </c>
      <c r="D41" s="15" t="s">
        <v>48</v>
      </c>
      <c r="E41" s="53">
        <v>3.86</v>
      </c>
      <c r="F41" s="53">
        <v>23.63</v>
      </c>
      <c r="G41" s="53">
        <v>0.14000000000000001</v>
      </c>
      <c r="H41" s="53">
        <v>16.829999999999998</v>
      </c>
      <c r="I41" s="52">
        <v>26.28</v>
      </c>
      <c r="J41" s="54">
        <v>9.6400000000000059</v>
      </c>
      <c r="K41" s="55"/>
      <c r="L41" s="54">
        <v>9.64</v>
      </c>
      <c r="M41" s="54">
        <v>5.8233333333333235</v>
      </c>
      <c r="N41" s="17">
        <f t="shared" si="5"/>
        <v>7.731666666666662</v>
      </c>
      <c r="O41" s="52">
        <v>27.3</v>
      </c>
      <c r="P41" s="55"/>
      <c r="Q41" s="54">
        <v>5.3475000000000037</v>
      </c>
      <c r="R41" s="54">
        <v>4.0766666666666636</v>
      </c>
      <c r="S41" s="17">
        <f t="shared" si="6"/>
        <v>4.7120833333333341</v>
      </c>
      <c r="T41" s="52">
        <v>28.5</v>
      </c>
      <c r="U41" s="55"/>
      <c r="V41" s="54">
        <v>5.4975000000000023</v>
      </c>
      <c r="W41" s="54">
        <v>5.2400000000000091</v>
      </c>
      <c r="X41" s="17">
        <f t="shared" si="7"/>
        <v>5.3687500000000057</v>
      </c>
      <c r="Y41" s="52">
        <v>29.2</v>
      </c>
      <c r="Z41" s="55"/>
      <c r="AA41" s="54">
        <v>4.1724999999999994</v>
      </c>
      <c r="AB41" s="54">
        <v>4.7066666666666679</v>
      </c>
      <c r="AC41" s="17">
        <f t="shared" si="8"/>
        <v>4.4395833333333332</v>
      </c>
      <c r="AD41" s="52">
        <v>30.3</v>
      </c>
      <c r="AE41" s="55"/>
      <c r="AF41" s="56">
        <v>6.9699999999999989</v>
      </c>
      <c r="AG41" s="54">
        <v>4.0024999999999977</v>
      </c>
      <c r="AH41" s="54">
        <v>4.0024999999999977</v>
      </c>
      <c r="AI41" s="52">
        <v>29.3</v>
      </c>
      <c r="AJ41" s="55"/>
      <c r="AK41" s="21">
        <v>5.7</v>
      </c>
      <c r="AL41" s="21">
        <v>23.21</v>
      </c>
      <c r="AM41" s="21">
        <v>0.14000000000000001</v>
      </c>
      <c r="AN41" s="21">
        <v>16.07</v>
      </c>
      <c r="AO41" s="15">
        <f t="shared" si="9"/>
        <v>3.0199999999999996</v>
      </c>
      <c r="AP41" s="52">
        <v>166</v>
      </c>
      <c r="AQ41" s="51" t="s">
        <v>95</v>
      </c>
      <c r="AR41" s="1">
        <f t="shared" si="10"/>
        <v>19.453924914675767</v>
      </c>
      <c r="AS41" s="55"/>
    </row>
    <row r="42" spans="1:45" ht="15.75" customHeight="1">
      <c r="A42" s="15">
        <v>31</v>
      </c>
      <c r="B42" s="15" t="s">
        <v>46</v>
      </c>
      <c r="C42" s="15" t="s">
        <v>50</v>
      </c>
      <c r="D42" s="15" t="s">
        <v>48</v>
      </c>
      <c r="E42" s="21">
        <v>0.85</v>
      </c>
      <c r="F42" s="21">
        <v>18.170000000000002</v>
      </c>
      <c r="G42" s="21">
        <v>0.1</v>
      </c>
      <c r="H42" s="21">
        <v>13.41</v>
      </c>
      <c r="I42" s="15">
        <v>19.95</v>
      </c>
      <c r="J42" s="17">
        <v>6.2233333333333194</v>
      </c>
      <c r="K42" s="1"/>
      <c r="L42" s="17">
        <v>4.3150000000000119</v>
      </c>
      <c r="M42" s="17">
        <v>3.6599999999999873</v>
      </c>
      <c r="N42" s="17">
        <f t="shared" si="5"/>
        <v>3.9874999999999998</v>
      </c>
      <c r="O42" s="15">
        <v>20.37</v>
      </c>
      <c r="P42" s="1"/>
      <c r="Q42" s="17">
        <v>3.7974999999999994</v>
      </c>
      <c r="R42" s="17">
        <v>3.0733333333333426</v>
      </c>
      <c r="S42" s="17">
        <f t="shared" si="6"/>
        <v>3.4354166666666712</v>
      </c>
      <c r="T42" s="15">
        <v>20.7</v>
      </c>
      <c r="U42" s="1"/>
      <c r="V42" s="17">
        <v>4.8549999999999969</v>
      </c>
      <c r="W42" s="17">
        <v>3.9399999999999977</v>
      </c>
      <c r="X42" s="17">
        <f t="shared" si="7"/>
        <v>4.3974999999999973</v>
      </c>
      <c r="Y42" s="15">
        <v>21.1</v>
      </c>
      <c r="Z42" s="1"/>
      <c r="AA42" s="17">
        <v>3.1925000000000026</v>
      </c>
      <c r="AB42" s="17">
        <v>3.6833333333333278</v>
      </c>
      <c r="AC42" s="17">
        <f t="shared" si="8"/>
        <v>3.4379166666666654</v>
      </c>
      <c r="AD42" s="15">
        <v>20.8</v>
      </c>
      <c r="AE42" s="1"/>
      <c r="AF42" s="48">
        <v>6.9799999999999898</v>
      </c>
      <c r="AG42" s="17">
        <v>3.3850000000000051</v>
      </c>
      <c r="AH42" s="17">
        <v>3.3850000000000051</v>
      </c>
      <c r="AI42" s="15">
        <v>21.1</v>
      </c>
      <c r="AJ42" s="1"/>
      <c r="AK42" s="21">
        <v>1.25</v>
      </c>
      <c r="AL42" s="21">
        <v>18.71</v>
      </c>
      <c r="AM42" s="21">
        <v>0.1</v>
      </c>
      <c r="AN42" s="21">
        <v>14.31</v>
      </c>
      <c r="AO42" s="15">
        <f t="shared" si="9"/>
        <v>1.1500000000000021</v>
      </c>
      <c r="AP42" s="15">
        <v>122</v>
      </c>
      <c r="AQ42" s="51">
        <v>115</v>
      </c>
      <c r="AR42" s="1">
        <f t="shared" si="10"/>
        <v>5.9241706161137433</v>
      </c>
      <c r="AS42" s="1"/>
    </row>
    <row r="43" spans="1:45" ht="15.75" customHeight="1">
      <c r="A43" s="22">
        <v>32</v>
      </c>
      <c r="B43" s="22" t="s">
        <v>46</v>
      </c>
      <c r="C43" s="22" t="s">
        <v>50</v>
      </c>
      <c r="D43" s="22" t="s">
        <v>49</v>
      </c>
      <c r="E43" s="28">
        <v>0.8</v>
      </c>
      <c r="F43" s="28">
        <v>18.62</v>
      </c>
      <c r="G43" s="28">
        <v>0.04</v>
      </c>
      <c r="H43" s="28">
        <v>13.69</v>
      </c>
      <c r="I43" s="22">
        <v>20.53</v>
      </c>
      <c r="J43" s="24">
        <v>4.9566666666666679</v>
      </c>
      <c r="K43" s="29"/>
      <c r="L43" s="24">
        <v>4.1199999999999903</v>
      </c>
      <c r="M43" s="24">
        <v>3.4466666666666677</v>
      </c>
      <c r="N43" s="24">
        <f t="shared" si="5"/>
        <v>3.7833333333333288</v>
      </c>
      <c r="O43" s="22">
        <v>20.82</v>
      </c>
      <c r="P43" s="29"/>
      <c r="Q43" s="24">
        <v>3.730000000000004</v>
      </c>
      <c r="R43" s="24">
        <v>2.7133333333333289</v>
      </c>
      <c r="S43" s="24">
        <f t="shared" si="6"/>
        <v>3.2216666666666667</v>
      </c>
      <c r="T43" s="22">
        <v>20.6</v>
      </c>
      <c r="U43" s="29"/>
      <c r="V43" s="24">
        <v>2.8500000000000014</v>
      </c>
      <c r="W43" s="24">
        <v>3.7099999999999986</v>
      </c>
      <c r="X43" s="24">
        <f t="shared" si="7"/>
        <v>3.2800000000000002</v>
      </c>
      <c r="Y43" s="22">
        <v>20.7</v>
      </c>
      <c r="Z43" s="29"/>
      <c r="AA43" s="24">
        <v>3.009999999999998</v>
      </c>
      <c r="AB43" s="24">
        <v>3.75</v>
      </c>
      <c r="AC43" s="24">
        <f t="shared" si="8"/>
        <v>3.379999999999999</v>
      </c>
      <c r="AD43" s="22">
        <v>20.8</v>
      </c>
      <c r="AE43" s="29"/>
      <c r="AF43" s="31">
        <v>6.835000000000008</v>
      </c>
      <c r="AG43" s="24">
        <v>3.1824999999999903</v>
      </c>
      <c r="AH43" s="24">
        <v>3.1824999999999903</v>
      </c>
      <c r="AI43" s="22">
        <v>20.7</v>
      </c>
      <c r="AJ43" s="29"/>
      <c r="AK43" s="28">
        <v>1.05</v>
      </c>
      <c r="AL43" s="28">
        <v>18.91</v>
      </c>
      <c r="AM43" s="28">
        <v>0.09</v>
      </c>
      <c r="AN43" s="28">
        <v>14.37</v>
      </c>
      <c r="AO43" s="22">
        <f t="shared" si="9"/>
        <v>0.16999999999999815</v>
      </c>
      <c r="AP43" s="22">
        <v>104</v>
      </c>
      <c r="AQ43" s="50" t="s">
        <v>96</v>
      </c>
      <c r="AR43" s="29">
        <f t="shared" si="10"/>
        <v>5.0724637681159424</v>
      </c>
      <c r="AS43" s="29"/>
    </row>
    <row r="44" spans="1:45" ht="15.75" customHeight="1">
      <c r="A44" s="15">
        <v>33</v>
      </c>
      <c r="B44" s="15" t="s">
        <v>46</v>
      </c>
      <c r="C44" s="15" t="s">
        <v>50</v>
      </c>
      <c r="D44" s="15" t="s">
        <v>48</v>
      </c>
      <c r="E44" s="21">
        <v>1.24</v>
      </c>
      <c r="F44" s="21">
        <v>18.61</v>
      </c>
      <c r="G44" s="21">
        <v>7.0000000000000007E-2</v>
      </c>
      <c r="H44" s="21">
        <v>14.07</v>
      </c>
      <c r="I44" s="15">
        <v>21.28</v>
      </c>
      <c r="J44" s="17">
        <v>6.083333333333333</v>
      </c>
      <c r="K44" s="1"/>
      <c r="L44" s="17">
        <v>4.7950000000000017</v>
      </c>
      <c r="M44" s="17">
        <v>4.4100000000000064</v>
      </c>
      <c r="N44" s="17">
        <f t="shared" si="5"/>
        <v>4.6025000000000045</v>
      </c>
      <c r="O44" s="15">
        <v>21.6</v>
      </c>
      <c r="P44" s="1"/>
      <c r="Q44" s="17">
        <v>4.4675000000000011</v>
      </c>
      <c r="R44" s="17">
        <v>3.5099999999999909</v>
      </c>
      <c r="S44" s="17">
        <f t="shared" si="6"/>
        <v>3.988749999999996</v>
      </c>
      <c r="T44" s="15">
        <v>21.05</v>
      </c>
      <c r="U44" s="1"/>
      <c r="V44" s="17">
        <v>7.490000000000002</v>
      </c>
      <c r="W44" s="17">
        <v>5.0899999999999936</v>
      </c>
      <c r="X44" s="17">
        <f t="shared" si="7"/>
        <v>6.2899999999999974</v>
      </c>
      <c r="Y44" s="15">
        <v>21.8</v>
      </c>
      <c r="Z44" s="1"/>
      <c r="AA44" s="17">
        <v>3.447499999999998</v>
      </c>
      <c r="AB44" s="17">
        <v>4.9699999999999989</v>
      </c>
      <c r="AC44" s="17">
        <f t="shared" si="8"/>
        <v>4.2087499999999984</v>
      </c>
      <c r="AD44" s="15">
        <v>21.6</v>
      </c>
      <c r="AE44" s="1"/>
      <c r="AF44" s="48">
        <v>7.9550000000000125</v>
      </c>
      <c r="AG44" s="17">
        <v>4.7374999999999972</v>
      </c>
      <c r="AH44" s="17">
        <v>4.7374999999999972</v>
      </c>
      <c r="AI44" s="15">
        <v>21.7</v>
      </c>
      <c r="AJ44" s="1"/>
      <c r="AK44" s="21">
        <v>1.52</v>
      </c>
      <c r="AL44" s="21">
        <v>19.510000000000002</v>
      </c>
      <c r="AM44" s="21">
        <v>0.09</v>
      </c>
      <c r="AN44" s="21">
        <v>15.1</v>
      </c>
      <c r="AO44" s="15">
        <f t="shared" si="9"/>
        <v>0.41999999999999815</v>
      </c>
      <c r="AP44" s="15">
        <v>111</v>
      </c>
      <c r="AQ44" s="51" t="s">
        <v>97</v>
      </c>
      <c r="AR44" s="1">
        <f t="shared" si="10"/>
        <v>7.0046082949308754</v>
      </c>
      <c r="AS44" s="1"/>
    </row>
    <row r="45" spans="1:45" ht="15.75" customHeight="1">
      <c r="A45" s="22">
        <v>34</v>
      </c>
      <c r="B45" s="22" t="s">
        <v>46</v>
      </c>
      <c r="C45" s="22" t="s">
        <v>50</v>
      </c>
      <c r="D45" s="22" t="s">
        <v>49</v>
      </c>
      <c r="E45" s="28">
        <v>1.28</v>
      </c>
      <c r="F45" s="28">
        <v>19.260000000000002</v>
      </c>
      <c r="G45" s="28">
        <v>0.1</v>
      </c>
      <c r="H45" s="28">
        <v>14.5</v>
      </c>
      <c r="I45" s="22">
        <v>21.62</v>
      </c>
      <c r="J45" s="24">
        <v>6.5100000000000096</v>
      </c>
      <c r="K45" s="29"/>
      <c r="L45" s="24">
        <v>5.7324999999999875</v>
      </c>
      <c r="M45" s="24">
        <v>5.2900000000000107</v>
      </c>
      <c r="N45" s="24">
        <f t="shared" si="5"/>
        <v>5.5112499999999986</v>
      </c>
      <c r="O45" s="22">
        <v>22.47</v>
      </c>
      <c r="P45" s="29"/>
      <c r="Q45" s="24">
        <v>4.8449999999999989</v>
      </c>
      <c r="R45" s="24">
        <v>3.7366666666666695</v>
      </c>
      <c r="S45" s="24">
        <f t="shared" si="6"/>
        <v>4.2908333333333344</v>
      </c>
      <c r="T45" s="22">
        <v>22.7</v>
      </c>
      <c r="U45" s="29"/>
      <c r="V45" s="24">
        <v>3.644999999999996</v>
      </c>
      <c r="W45" s="24">
        <v>4.8466666666666738</v>
      </c>
      <c r="X45" s="24">
        <f t="shared" si="7"/>
        <v>4.2458333333333353</v>
      </c>
      <c r="Y45" s="22">
        <v>22.4</v>
      </c>
      <c r="Z45" s="29"/>
      <c r="AA45" s="24">
        <v>3.6424999999999983</v>
      </c>
      <c r="AB45" s="24">
        <v>4.8700000000000045</v>
      </c>
      <c r="AC45" s="24">
        <f t="shared" si="8"/>
        <v>4.2562500000000014</v>
      </c>
      <c r="AD45" s="22">
        <v>23.4</v>
      </c>
      <c r="AE45" s="29"/>
      <c r="AF45" s="31">
        <v>7.7099999999999795</v>
      </c>
      <c r="AG45" s="24">
        <v>4.5799999999999983</v>
      </c>
      <c r="AH45" s="24">
        <v>4.5799999999999983</v>
      </c>
      <c r="AI45" s="22">
        <v>23.1</v>
      </c>
      <c r="AJ45" s="29"/>
      <c r="AK45" s="28">
        <v>1.79</v>
      </c>
      <c r="AL45" s="28">
        <v>20.07</v>
      </c>
      <c r="AM45" s="28">
        <v>0.08</v>
      </c>
      <c r="AN45" s="28">
        <v>14.8</v>
      </c>
      <c r="AO45" s="22">
        <f t="shared" si="9"/>
        <v>1.4800000000000004</v>
      </c>
      <c r="AP45" s="22">
        <v>138</v>
      </c>
      <c r="AQ45" s="50" t="s">
        <v>98</v>
      </c>
      <c r="AR45" s="29">
        <f t="shared" si="10"/>
        <v>7.7489177489177479</v>
      </c>
      <c r="AS45" s="29"/>
    </row>
    <row r="46" spans="1:45" ht="15.75" customHeight="1">
      <c r="A46" s="15">
        <v>35</v>
      </c>
      <c r="B46" s="15" t="s">
        <v>46</v>
      </c>
      <c r="C46" s="15" t="s">
        <v>50</v>
      </c>
      <c r="D46" s="15" t="s">
        <v>48</v>
      </c>
      <c r="E46" s="21">
        <v>1.93</v>
      </c>
      <c r="F46" s="21">
        <v>20.21</v>
      </c>
      <c r="G46" s="21">
        <v>0.05</v>
      </c>
      <c r="H46" s="21">
        <v>15.24</v>
      </c>
      <c r="I46" s="15">
        <v>22.95</v>
      </c>
      <c r="J46" s="17">
        <v>6.8166666666666629</v>
      </c>
      <c r="K46" s="1"/>
      <c r="L46" s="17">
        <v>4.9050000000000011</v>
      </c>
      <c r="M46" s="17">
        <v>4.390000000000005</v>
      </c>
      <c r="N46" s="17">
        <f t="shared" si="5"/>
        <v>4.6475000000000026</v>
      </c>
      <c r="O46" s="15">
        <v>23.8</v>
      </c>
      <c r="P46" s="1"/>
      <c r="Q46" s="17">
        <v>4.3125</v>
      </c>
      <c r="R46" s="17">
        <v>4.5366666666666715</v>
      </c>
      <c r="S46" s="17">
        <f t="shared" si="6"/>
        <v>4.4245833333333362</v>
      </c>
      <c r="T46" s="15">
        <v>24.2</v>
      </c>
      <c r="U46" s="1"/>
      <c r="V46" s="17">
        <v>3.947499999999998</v>
      </c>
      <c r="W46" s="17">
        <v>4.3233333333333333</v>
      </c>
      <c r="X46" s="17">
        <f t="shared" si="7"/>
        <v>4.1354166666666661</v>
      </c>
      <c r="Y46" s="15">
        <v>25.5</v>
      </c>
      <c r="Z46" s="1"/>
      <c r="AA46" s="17">
        <v>3.7299999999999969</v>
      </c>
      <c r="AB46" s="17">
        <v>4.5166666666666702</v>
      </c>
      <c r="AC46" s="17">
        <f t="shared" si="8"/>
        <v>4.1233333333333331</v>
      </c>
      <c r="AD46" s="15">
        <v>26.5</v>
      </c>
      <c r="AE46" s="1"/>
      <c r="AF46" s="48">
        <v>6.5349999999999966</v>
      </c>
      <c r="AG46" s="17">
        <v>3.7950000000000017</v>
      </c>
      <c r="AH46" s="17">
        <v>3.7950000000000017</v>
      </c>
      <c r="AI46" s="15">
        <v>24.6</v>
      </c>
      <c r="AJ46" s="1"/>
      <c r="AK46" s="21">
        <v>3.43</v>
      </c>
      <c r="AL46" s="21">
        <v>20.2</v>
      </c>
      <c r="AM46" s="21">
        <v>0.05</v>
      </c>
      <c r="AN46" s="21">
        <v>15.17</v>
      </c>
      <c r="AO46" s="15">
        <f t="shared" si="9"/>
        <v>1.6500000000000021</v>
      </c>
      <c r="AP46" s="15">
        <v>129</v>
      </c>
      <c r="AQ46" s="51" t="s">
        <v>99</v>
      </c>
      <c r="AR46" s="1">
        <f t="shared" si="10"/>
        <v>13.943089430894309</v>
      </c>
      <c r="AS46" s="1"/>
    </row>
    <row r="47" spans="1:45" ht="15.75" customHeight="1">
      <c r="A47" s="22">
        <v>36</v>
      </c>
      <c r="B47" s="22" t="s">
        <v>46</v>
      </c>
      <c r="C47" s="22" t="s">
        <v>50</v>
      </c>
      <c r="D47" s="22" t="s">
        <v>49</v>
      </c>
      <c r="E47" s="28">
        <v>1.1000000000000001</v>
      </c>
      <c r="F47" s="28">
        <v>20.18</v>
      </c>
      <c r="G47" s="28">
        <v>0.06</v>
      </c>
      <c r="H47" s="28">
        <v>15.3</v>
      </c>
      <c r="I47" s="22">
        <v>21.85</v>
      </c>
      <c r="J47" s="24">
        <v>7.1333333333333258</v>
      </c>
      <c r="K47" s="29"/>
      <c r="L47" s="24">
        <v>5.25</v>
      </c>
      <c r="M47" s="24">
        <v>4.3800000000000052</v>
      </c>
      <c r="N47" s="24">
        <f t="shared" si="5"/>
        <v>4.8150000000000031</v>
      </c>
      <c r="O47" s="22">
        <v>23.2</v>
      </c>
      <c r="P47" s="29"/>
      <c r="Q47" s="24">
        <v>4.57</v>
      </c>
      <c r="R47" s="24">
        <v>3.4199999999999968</v>
      </c>
      <c r="S47" s="24">
        <f t="shared" si="6"/>
        <v>3.9949999999999983</v>
      </c>
      <c r="T47" s="22">
        <v>23.7</v>
      </c>
      <c r="U47" s="29"/>
      <c r="V47" s="24">
        <v>3.6400000000000006</v>
      </c>
      <c r="W47" s="24">
        <v>4.2333333333333387</v>
      </c>
      <c r="X47" s="24">
        <f t="shared" si="7"/>
        <v>3.9366666666666696</v>
      </c>
      <c r="Y47" s="22">
        <v>24</v>
      </c>
      <c r="Z47" s="29"/>
      <c r="AA47" s="24">
        <v>3.4050000000000011</v>
      </c>
      <c r="AB47" s="24">
        <v>4.8833333333333355</v>
      </c>
      <c r="AC47" s="24">
        <f t="shared" si="8"/>
        <v>4.1441666666666688</v>
      </c>
      <c r="AD47" s="22">
        <v>24</v>
      </c>
      <c r="AE47" s="29"/>
      <c r="AF47" s="31">
        <v>8.7449999999999761</v>
      </c>
      <c r="AG47" s="24">
        <v>4.3475000000000108</v>
      </c>
      <c r="AH47" s="24">
        <v>4.3475000000000108</v>
      </c>
      <c r="AI47" s="22">
        <v>23.7</v>
      </c>
      <c r="AJ47" s="29"/>
      <c r="AK47" s="28">
        <v>1.41</v>
      </c>
      <c r="AL47" s="28">
        <v>21.55</v>
      </c>
      <c r="AM47" s="28">
        <v>0.16</v>
      </c>
      <c r="AN47" s="28">
        <v>15.61</v>
      </c>
      <c r="AO47" s="22">
        <f t="shared" si="9"/>
        <v>1.8499999999999979</v>
      </c>
      <c r="AP47" s="22">
        <v>112</v>
      </c>
      <c r="AQ47" s="50" t="s">
        <v>100</v>
      </c>
      <c r="AR47" s="29">
        <f t="shared" si="10"/>
        <v>5.9493670886075947</v>
      </c>
      <c r="AS47" s="29"/>
    </row>
    <row r="48" spans="1:45" ht="15.75" customHeight="1">
      <c r="A48" s="15">
        <v>37</v>
      </c>
      <c r="B48" s="15" t="s">
        <v>51</v>
      </c>
      <c r="C48" s="15" t="s">
        <v>47</v>
      </c>
      <c r="D48" s="15" t="s">
        <v>48</v>
      </c>
      <c r="E48" s="21">
        <v>15.73</v>
      </c>
      <c r="F48" s="21">
        <v>36.03</v>
      </c>
      <c r="G48" s="21">
        <v>0.16</v>
      </c>
      <c r="H48" s="21">
        <v>26.42</v>
      </c>
      <c r="I48" s="15">
        <v>51.98</v>
      </c>
      <c r="J48" s="17">
        <v>9.073333333333343</v>
      </c>
      <c r="K48" s="1"/>
      <c r="L48" s="17">
        <v>6.6199999999999974</v>
      </c>
      <c r="M48" s="17">
        <v>5.7333333333333387</v>
      </c>
      <c r="N48" s="17">
        <f t="shared" si="5"/>
        <v>6.1766666666666676</v>
      </c>
      <c r="O48" s="15">
        <v>51.92</v>
      </c>
      <c r="P48" s="1"/>
      <c r="Q48" s="17">
        <v>6.5300000000000011</v>
      </c>
      <c r="R48" s="17">
        <v>6.1033333333333344</v>
      </c>
      <c r="S48" s="17">
        <f t="shared" si="6"/>
        <v>6.3166666666666682</v>
      </c>
      <c r="T48" s="15">
        <v>52.1</v>
      </c>
      <c r="U48" s="1"/>
      <c r="V48" s="17">
        <v>11.587499999999999</v>
      </c>
      <c r="W48" s="17">
        <v>6.9733333333333389</v>
      </c>
      <c r="X48" s="17">
        <f t="shared" si="7"/>
        <v>9.2804166666666692</v>
      </c>
      <c r="Y48" s="15">
        <v>49.3</v>
      </c>
      <c r="Z48" s="1"/>
      <c r="AA48" s="17">
        <v>7.6924999999999955</v>
      </c>
      <c r="AB48" s="17">
        <v>8.2966666666666722</v>
      </c>
      <c r="AC48" s="17">
        <f t="shared" si="8"/>
        <v>7.9945833333333338</v>
      </c>
      <c r="AD48" s="15">
        <v>47.1</v>
      </c>
      <c r="AE48" s="1"/>
      <c r="AF48" s="48">
        <v>9.105000000000004</v>
      </c>
      <c r="AG48" s="17">
        <v>11.728000000000009</v>
      </c>
      <c r="AH48" s="17">
        <v>11.728000000000009</v>
      </c>
      <c r="AI48" s="15">
        <v>46.2</v>
      </c>
      <c r="AJ48" s="1"/>
      <c r="AK48" s="21">
        <v>6.56</v>
      </c>
      <c r="AL48" s="21">
        <v>36.43</v>
      </c>
      <c r="AM48" s="21">
        <v>0.54</v>
      </c>
      <c r="AN48" s="21">
        <v>26.05</v>
      </c>
      <c r="AO48" s="15">
        <f t="shared" si="9"/>
        <v>-5.779999999999994</v>
      </c>
      <c r="AP48" s="15" t="s">
        <v>53</v>
      </c>
      <c r="AQ48" s="51">
        <v>828</v>
      </c>
      <c r="AR48" s="1">
        <f t="shared" si="10"/>
        <v>14.199134199134198</v>
      </c>
      <c r="AS48" s="1"/>
    </row>
    <row r="49" spans="1:45" ht="15.75" customHeight="1">
      <c r="A49" s="22">
        <v>38</v>
      </c>
      <c r="B49" s="22" t="s">
        <v>51</v>
      </c>
      <c r="C49" s="22" t="s">
        <v>47</v>
      </c>
      <c r="D49" s="22" t="s">
        <v>49</v>
      </c>
      <c r="E49" s="28">
        <v>12.46</v>
      </c>
      <c r="F49" s="28">
        <v>33.979999999999997</v>
      </c>
      <c r="G49" s="28">
        <v>0.19</v>
      </c>
      <c r="H49" s="28">
        <v>25.01</v>
      </c>
      <c r="I49" s="22">
        <v>45.82</v>
      </c>
      <c r="J49" s="24">
        <v>9.8466666666666551</v>
      </c>
      <c r="K49" s="29"/>
      <c r="L49" s="24">
        <v>8.7025000000000006</v>
      </c>
      <c r="M49" s="24">
        <v>8.170000000000007</v>
      </c>
      <c r="N49" s="24">
        <f t="shared" si="5"/>
        <v>8.4362500000000047</v>
      </c>
      <c r="O49" s="22">
        <v>42.68</v>
      </c>
      <c r="P49" s="29"/>
      <c r="Q49" s="24">
        <v>9.68</v>
      </c>
      <c r="R49" s="24">
        <v>9.073333333333343</v>
      </c>
      <c r="S49" s="24">
        <f t="shared" si="6"/>
        <v>9.3766666666666723</v>
      </c>
      <c r="T49" s="22">
        <v>41.4</v>
      </c>
      <c r="U49" s="29"/>
      <c r="V49" s="24">
        <v>14.234999999999999</v>
      </c>
      <c r="W49" s="24">
        <v>14.029999999999992</v>
      </c>
      <c r="X49" s="24">
        <f t="shared" si="7"/>
        <v>14.132499999999997</v>
      </c>
      <c r="Y49" s="22">
        <v>40</v>
      </c>
      <c r="Z49" s="29"/>
      <c r="AA49" s="24">
        <v>12.837499999999999</v>
      </c>
      <c r="AB49" s="24">
        <v>12.676666666666668</v>
      </c>
      <c r="AC49" s="24">
        <f t="shared" si="8"/>
        <v>12.757083333333334</v>
      </c>
      <c r="AD49" s="22">
        <v>39.5</v>
      </c>
      <c r="AE49" s="29"/>
      <c r="AF49" s="31">
        <v>13.734999999999999</v>
      </c>
      <c r="AG49" s="24">
        <v>15.174000000000001</v>
      </c>
      <c r="AH49" s="24">
        <v>15.174000000000001</v>
      </c>
      <c r="AI49" s="22">
        <v>39.1</v>
      </c>
      <c r="AJ49" s="29"/>
      <c r="AK49" s="28">
        <v>1.76</v>
      </c>
      <c r="AL49" s="28">
        <v>34.54</v>
      </c>
      <c r="AM49" s="28">
        <v>0.97</v>
      </c>
      <c r="AN49" s="28">
        <v>25.18</v>
      </c>
      <c r="AO49" s="22">
        <f t="shared" si="9"/>
        <v>-6.7199999999999989</v>
      </c>
      <c r="AP49" s="22" t="s">
        <v>53</v>
      </c>
      <c r="AQ49" s="50" t="s">
        <v>101</v>
      </c>
      <c r="AR49" s="57"/>
      <c r="AS49" s="29"/>
    </row>
    <row r="50" spans="1:45" ht="15.75" customHeight="1">
      <c r="A50" s="15">
        <v>39</v>
      </c>
      <c r="B50" s="15" t="s">
        <v>51</v>
      </c>
      <c r="C50" s="15" t="s">
        <v>47</v>
      </c>
      <c r="D50" s="15" t="s">
        <v>48</v>
      </c>
      <c r="E50" s="21">
        <v>14.16</v>
      </c>
      <c r="F50" s="21">
        <v>37.229999999999997</v>
      </c>
      <c r="G50" s="21">
        <v>0.16</v>
      </c>
      <c r="H50" s="21">
        <v>26.2</v>
      </c>
      <c r="I50" s="15">
        <v>50.65</v>
      </c>
      <c r="J50" s="17">
        <v>6.7700000000000005</v>
      </c>
      <c r="K50" s="1"/>
      <c r="L50" s="17">
        <v>7.6200000000000045</v>
      </c>
      <c r="M50" s="17">
        <v>7.7566666666666606</v>
      </c>
      <c r="N50" s="17">
        <f t="shared" si="5"/>
        <v>7.6883333333333326</v>
      </c>
      <c r="O50" s="15">
        <v>49.53</v>
      </c>
      <c r="P50" s="1"/>
      <c r="Q50" s="17">
        <v>8.0225000000000009</v>
      </c>
      <c r="R50" s="17">
        <v>8.1166666666666654</v>
      </c>
      <c r="S50" s="17">
        <f t="shared" si="6"/>
        <v>8.069583333333334</v>
      </c>
      <c r="T50" s="15">
        <v>47.05</v>
      </c>
      <c r="U50" s="1"/>
      <c r="V50" s="17">
        <v>11.284999999999997</v>
      </c>
      <c r="W50" s="17">
        <v>11.379999999999995</v>
      </c>
      <c r="X50" s="17">
        <f t="shared" si="7"/>
        <v>11.332499999999996</v>
      </c>
      <c r="Y50" s="15">
        <v>48.1</v>
      </c>
      <c r="Z50" s="1"/>
      <c r="AA50" s="17">
        <v>10.495000000000005</v>
      </c>
      <c r="AB50" s="17">
        <v>9.7666666666666604</v>
      </c>
      <c r="AC50" s="17">
        <f t="shared" si="8"/>
        <v>10.130833333333332</v>
      </c>
      <c r="AD50" s="15">
        <v>45</v>
      </c>
      <c r="AE50" s="1"/>
      <c r="AF50" s="48">
        <v>16.064999999999998</v>
      </c>
      <c r="AG50" s="17">
        <v>12.601999999999999</v>
      </c>
      <c r="AH50" s="17">
        <v>12.601999999999999</v>
      </c>
      <c r="AI50" s="15">
        <v>44.1</v>
      </c>
      <c r="AJ50" s="1"/>
      <c r="AK50" s="21">
        <v>4.07</v>
      </c>
      <c r="AL50" s="21">
        <v>37.590000000000003</v>
      </c>
      <c r="AM50" s="21">
        <v>0.96</v>
      </c>
      <c r="AN50" s="21">
        <v>27.39</v>
      </c>
      <c r="AO50" s="15">
        <f t="shared" si="9"/>
        <v>-6.5499999999999972</v>
      </c>
      <c r="AP50" s="15" t="s">
        <v>53</v>
      </c>
      <c r="AQ50" s="51" t="s">
        <v>102</v>
      </c>
      <c r="AR50" s="1">
        <f>((AK50/AI50)*100)</f>
        <v>9.2290249433106588</v>
      </c>
      <c r="AS50" s="1"/>
    </row>
    <row r="51" spans="1:45" ht="15.75" customHeight="1">
      <c r="A51" s="22">
        <v>40</v>
      </c>
      <c r="B51" s="22" t="s">
        <v>51</v>
      </c>
      <c r="C51" s="22" t="s">
        <v>47</v>
      </c>
      <c r="D51" s="22" t="s">
        <v>49</v>
      </c>
      <c r="E51" s="28">
        <v>15.09</v>
      </c>
      <c r="F51" s="28">
        <v>31.97</v>
      </c>
      <c r="G51" s="28">
        <v>0.14000000000000001</v>
      </c>
      <c r="H51" s="28">
        <v>22.83</v>
      </c>
      <c r="I51" s="22">
        <v>45.3</v>
      </c>
      <c r="J51" s="24">
        <v>8.7733333333333317</v>
      </c>
      <c r="K51" s="29"/>
      <c r="L51" s="31">
        <v>-1.9925000000000068</v>
      </c>
      <c r="M51" s="24">
        <v>8.7600000000000104</v>
      </c>
      <c r="N51" s="22">
        <v>8.76</v>
      </c>
      <c r="O51" s="22">
        <v>43.88</v>
      </c>
      <c r="P51" s="29"/>
      <c r="Q51" s="58">
        <v>7.5524999999999949</v>
      </c>
      <c r="R51" s="24">
        <v>9.3133333333333415</v>
      </c>
      <c r="S51" s="22">
        <v>8.76</v>
      </c>
      <c r="T51" s="22">
        <v>40.4</v>
      </c>
      <c r="U51" s="29"/>
      <c r="V51" s="24">
        <v>11.530000000000001</v>
      </c>
      <c r="W51" s="24">
        <v>10.99666666666667</v>
      </c>
      <c r="X51" s="24">
        <f t="shared" si="7"/>
        <v>11.263333333333335</v>
      </c>
      <c r="Y51" s="22">
        <v>42.1</v>
      </c>
      <c r="Z51" s="29"/>
      <c r="AA51" s="24">
        <v>11.200000000000003</v>
      </c>
      <c r="AB51" s="24">
        <v>11.619999999999996</v>
      </c>
      <c r="AC51" s="24">
        <f t="shared" si="8"/>
        <v>11.41</v>
      </c>
      <c r="AD51" s="22">
        <v>40.799999999999997</v>
      </c>
      <c r="AE51" s="29"/>
      <c r="AF51" s="31">
        <v>11.614999999999995</v>
      </c>
      <c r="AG51" s="24">
        <v>13.129999999999995</v>
      </c>
      <c r="AH51" s="24">
        <v>13.129999999999995</v>
      </c>
      <c r="AI51" s="22">
        <v>39.1</v>
      </c>
      <c r="AJ51" s="29"/>
      <c r="AK51" s="28">
        <v>2.82</v>
      </c>
      <c r="AL51" s="28">
        <v>33.700000000000003</v>
      </c>
      <c r="AM51" s="28">
        <v>0.71</v>
      </c>
      <c r="AN51" s="28">
        <v>24.45</v>
      </c>
      <c r="AO51" s="22">
        <f t="shared" si="9"/>
        <v>-6.1999999999999957</v>
      </c>
      <c r="AP51" s="22" t="s">
        <v>53</v>
      </c>
      <c r="AQ51" s="50" t="s">
        <v>103</v>
      </c>
      <c r="AR51" s="57"/>
      <c r="AS51" s="29"/>
    </row>
    <row r="52" spans="1:45" ht="15.75" customHeight="1">
      <c r="A52" s="15">
        <v>41</v>
      </c>
      <c r="B52" s="15" t="s">
        <v>51</v>
      </c>
      <c r="C52" s="15" t="s">
        <v>47</v>
      </c>
      <c r="D52" s="15" t="s">
        <v>48</v>
      </c>
      <c r="E52" s="21">
        <v>15.15</v>
      </c>
      <c r="F52" s="21">
        <v>34.39</v>
      </c>
      <c r="G52" s="21">
        <v>0.28999999999999998</v>
      </c>
      <c r="H52" s="21">
        <v>23.81</v>
      </c>
      <c r="I52" s="15">
        <v>48.22</v>
      </c>
      <c r="J52" s="17">
        <v>8.2866666666666706</v>
      </c>
      <c r="K52" s="1"/>
      <c r="L52" s="17">
        <v>6.7275000000000063</v>
      </c>
      <c r="M52" s="17">
        <v>7.5333333333333217</v>
      </c>
      <c r="N52" s="17">
        <f t="shared" ref="N52:N59" si="11">AVERAGE(L52:M52)</f>
        <v>7.1304166666666635</v>
      </c>
      <c r="O52" s="15">
        <v>44.88</v>
      </c>
      <c r="P52" s="1"/>
      <c r="Q52" s="17">
        <v>9.3174999999999955</v>
      </c>
      <c r="R52" s="17">
        <v>8.7500000000000089</v>
      </c>
      <c r="S52" s="17">
        <f t="shared" ref="S52:S59" si="12">AVERAGE(Q52:R52)</f>
        <v>9.0337500000000013</v>
      </c>
      <c r="T52" s="15">
        <v>44.7</v>
      </c>
      <c r="U52" s="1"/>
      <c r="V52" s="17">
        <v>14.335000000000001</v>
      </c>
      <c r="W52" s="17">
        <v>9.1966666666666779</v>
      </c>
      <c r="X52" s="17">
        <f t="shared" si="7"/>
        <v>11.76583333333334</v>
      </c>
      <c r="Y52" s="15">
        <v>43</v>
      </c>
      <c r="Z52" s="1"/>
      <c r="AA52" s="17">
        <v>13.752499999999998</v>
      </c>
      <c r="AB52" s="17">
        <v>11.023333333333332</v>
      </c>
      <c r="AC52" s="17">
        <f t="shared" si="8"/>
        <v>12.387916666666666</v>
      </c>
      <c r="AD52" s="15">
        <v>43.7</v>
      </c>
      <c r="AE52" s="1"/>
      <c r="AF52" s="48">
        <v>12.885000000000005</v>
      </c>
      <c r="AG52" s="17">
        <v>15.317999999999994</v>
      </c>
      <c r="AH52" s="17">
        <v>15.317999999999994</v>
      </c>
      <c r="AI52" s="15">
        <v>43.6</v>
      </c>
      <c r="AJ52" s="1"/>
      <c r="AK52" s="21">
        <v>2.48</v>
      </c>
      <c r="AL52" s="21">
        <v>37.31</v>
      </c>
      <c r="AM52" s="21">
        <v>1.19</v>
      </c>
      <c r="AN52" s="21">
        <v>28</v>
      </c>
      <c r="AO52" s="15">
        <f t="shared" si="9"/>
        <v>-4.6199999999999974</v>
      </c>
      <c r="AP52" s="15" t="s">
        <v>53</v>
      </c>
      <c r="AQ52" s="51" t="s">
        <v>104</v>
      </c>
      <c r="AR52" s="1">
        <f>((AK52/AI52)*100)</f>
        <v>5.6880733944954125</v>
      </c>
      <c r="AS52" s="1"/>
    </row>
    <row r="53" spans="1:45" ht="15.75" customHeight="1">
      <c r="A53" s="22">
        <v>42</v>
      </c>
      <c r="B53" s="22" t="s">
        <v>51</v>
      </c>
      <c r="C53" s="22" t="s">
        <v>47</v>
      </c>
      <c r="D53" s="22" t="s">
        <v>49</v>
      </c>
      <c r="E53" s="28">
        <v>16.329999999999998</v>
      </c>
      <c r="F53" s="28">
        <v>29.57</v>
      </c>
      <c r="G53" s="28">
        <v>0.21</v>
      </c>
      <c r="H53" s="28">
        <v>21.51</v>
      </c>
      <c r="I53" s="22">
        <v>44.7</v>
      </c>
      <c r="J53" s="24">
        <v>7.0699999999999932</v>
      </c>
      <c r="K53" s="29"/>
      <c r="L53" s="24">
        <v>6.3425000000000011</v>
      </c>
      <c r="M53" s="24">
        <v>6.333333333333333</v>
      </c>
      <c r="N53" s="24">
        <f t="shared" si="11"/>
        <v>6.3379166666666666</v>
      </c>
      <c r="O53" s="22">
        <v>46.46</v>
      </c>
      <c r="P53" s="29"/>
      <c r="Q53" s="24">
        <v>6.1400000000000006</v>
      </c>
      <c r="R53" s="24">
        <v>6.1699999999999973</v>
      </c>
      <c r="S53" s="24">
        <f t="shared" si="12"/>
        <v>6.1549999999999994</v>
      </c>
      <c r="T53" s="22">
        <v>45.4</v>
      </c>
      <c r="U53" s="29"/>
      <c r="V53" s="24">
        <v>6.7199999999999989</v>
      </c>
      <c r="W53" s="24">
        <v>7.7999999999999927</v>
      </c>
      <c r="X53" s="24">
        <f t="shared" si="7"/>
        <v>7.2599999999999962</v>
      </c>
      <c r="Y53" s="22">
        <v>46.9</v>
      </c>
      <c r="Z53" s="29"/>
      <c r="AA53" s="24">
        <v>6.9150000000000063</v>
      </c>
      <c r="AB53" s="24">
        <v>6.9900000000000091</v>
      </c>
      <c r="AC53" s="24">
        <f t="shared" si="8"/>
        <v>6.9525000000000077</v>
      </c>
      <c r="AD53" s="22">
        <v>48.6</v>
      </c>
      <c r="AE53" s="29"/>
      <c r="AF53" s="31">
        <v>7.5799999999999983</v>
      </c>
      <c r="AG53" s="24">
        <v>8.0759999999999987</v>
      </c>
      <c r="AH53" s="24">
        <v>8.0759999999999987</v>
      </c>
      <c r="AI53" s="22">
        <v>50.2</v>
      </c>
      <c r="AJ53" s="29"/>
      <c r="AK53" s="28">
        <v>18.14</v>
      </c>
      <c r="AL53" s="28">
        <v>31.78</v>
      </c>
      <c r="AM53" s="28">
        <v>0.32</v>
      </c>
      <c r="AN53" s="28">
        <v>23.06</v>
      </c>
      <c r="AO53" s="22">
        <f t="shared" si="9"/>
        <v>5.5</v>
      </c>
      <c r="AP53" s="22">
        <v>220</v>
      </c>
      <c r="AQ53" s="50" t="s">
        <v>105</v>
      </c>
      <c r="AR53" s="57"/>
      <c r="AS53" s="29"/>
    </row>
    <row r="54" spans="1:45" ht="15.75" customHeight="1">
      <c r="A54" s="15">
        <v>43</v>
      </c>
      <c r="B54" s="15" t="s">
        <v>51</v>
      </c>
      <c r="C54" s="15" t="s">
        <v>50</v>
      </c>
      <c r="D54" s="15" t="s">
        <v>48</v>
      </c>
      <c r="E54" s="21">
        <v>21.76</v>
      </c>
      <c r="F54" s="21">
        <v>30</v>
      </c>
      <c r="G54" s="21">
        <v>0.34</v>
      </c>
      <c r="H54" s="21">
        <v>20.9</v>
      </c>
      <c r="I54" s="15">
        <v>52.05</v>
      </c>
      <c r="J54" s="17">
        <v>6.7999999999999927</v>
      </c>
      <c r="K54" s="1"/>
      <c r="L54" s="17">
        <v>6.0625</v>
      </c>
      <c r="M54" s="17">
        <v>5.8400000000000034</v>
      </c>
      <c r="N54" s="17">
        <f t="shared" si="11"/>
        <v>5.9512500000000017</v>
      </c>
      <c r="O54" s="15">
        <v>52.48</v>
      </c>
      <c r="P54" s="1"/>
      <c r="Q54" s="17">
        <v>6.9600000000000009</v>
      </c>
      <c r="R54" s="17">
        <v>5.3833333333333355</v>
      </c>
      <c r="S54" s="17">
        <f t="shared" si="12"/>
        <v>6.1716666666666686</v>
      </c>
      <c r="T54" s="15">
        <v>55.6</v>
      </c>
      <c r="U54" s="1"/>
      <c r="V54" s="17">
        <v>5.9525000000000006</v>
      </c>
      <c r="W54" s="17">
        <v>7.2066666666666679</v>
      </c>
      <c r="X54" s="17">
        <f t="shared" si="7"/>
        <v>6.5795833333333338</v>
      </c>
      <c r="Y54" s="15">
        <v>57.2</v>
      </c>
      <c r="Z54" s="1"/>
      <c r="AA54" s="17">
        <v>5.9450000000000003</v>
      </c>
      <c r="AB54" s="17">
        <v>6.6000000000000041</v>
      </c>
      <c r="AC54" s="17">
        <f t="shared" si="8"/>
        <v>6.2725000000000026</v>
      </c>
      <c r="AD54" s="15">
        <v>58</v>
      </c>
      <c r="AE54" s="1"/>
      <c r="AF54" s="48">
        <v>6.664999999999992</v>
      </c>
      <c r="AG54" s="17">
        <v>6.3100000000000023</v>
      </c>
      <c r="AH54" s="17">
        <v>6.3100000000000023</v>
      </c>
      <c r="AI54" s="15">
        <v>59.5</v>
      </c>
      <c r="AJ54" s="1"/>
      <c r="AK54" s="21">
        <v>27.19</v>
      </c>
      <c r="AL54" s="21">
        <v>30.71</v>
      </c>
      <c r="AM54" s="21">
        <v>0.25</v>
      </c>
      <c r="AN54" s="21">
        <v>21.71</v>
      </c>
      <c r="AO54" s="15">
        <f t="shared" si="9"/>
        <v>7.4500000000000028</v>
      </c>
      <c r="AP54" s="15">
        <v>192</v>
      </c>
      <c r="AQ54" s="51" t="s">
        <v>106</v>
      </c>
      <c r="AR54" s="1">
        <f>((AK54/AI54)*100)</f>
        <v>45.69747899159664</v>
      </c>
      <c r="AS54" s="1"/>
    </row>
    <row r="55" spans="1:45" ht="15.75" customHeight="1">
      <c r="A55" s="22">
        <v>44</v>
      </c>
      <c r="B55" s="22" t="s">
        <v>51</v>
      </c>
      <c r="C55" s="22" t="s">
        <v>50</v>
      </c>
      <c r="D55" s="22" t="s">
        <v>49</v>
      </c>
      <c r="E55" s="28">
        <v>18.899999999999999</v>
      </c>
      <c r="F55" s="28">
        <v>28.12</v>
      </c>
      <c r="G55" s="28">
        <v>0.18</v>
      </c>
      <c r="H55" s="28">
        <v>20.440000000000001</v>
      </c>
      <c r="I55" s="22">
        <v>47.39</v>
      </c>
      <c r="J55" s="24">
        <v>6.5733333333333333</v>
      </c>
      <c r="K55" s="29"/>
      <c r="L55" s="24">
        <v>6.0649999999999977</v>
      </c>
      <c r="M55" s="24">
        <v>4.7800000000000011</v>
      </c>
      <c r="N55" s="24">
        <f t="shared" si="11"/>
        <v>5.4224999999999994</v>
      </c>
      <c r="O55" s="22">
        <v>50</v>
      </c>
      <c r="P55" s="29"/>
      <c r="Q55" s="24">
        <v>5.3299999999999983</v>
      </c>
      <c r="R55" s="24">
        <v>5.1433333333333353</v>
      </c>
      <c r="S55" s="24">
        <f t="shared" si="12"/>
        <v>5.2366666666666664</v>
      </c>
      <c r="T55" s="22">
        <v>50.5</v>
      </c>
      <c r="U55" s="29"/>
      <c r="V55" s="24">
        <v>7.3575000000000017</v>
      </c>
      <c r="W55" s="24">
        <v>6.193333333333328</v>
      </c>
      <c r="X55" s="24">
        <f t="shared" si="7"/>
        <v>6.7754166666666649</v>
      </c>
      <c r="Y55" s="22">
        <v>52.3</v>
      </c>
      <c r="Z55" s="29"/>
      <c r="AA55" s="24">
        <v>5.1750000000000043</v>
      </c>
      <c r="AB55" s="24">
        <v>6.4966666666666599</v>
      </c>
      <c r="AC55" s="24">
        <f t="shared" si="8"/>
        <v>5.8358333333333317</v>
      </c>
      <c r="AD55" s="22">
        <v>53</v>
      </c>
      <c r="AE55" s="29"/>
      <c r="AF55" s="31">
        <v>5.8650000000000091</v>
      </c>
      <c r="AG55" s="24">
        <v>5.3480000000000016</v>
      </c>
      <c r="AH55" s="24">
        <v>5.3480000000000016</v>
      </c>
      <c r="AI55" s="22">
        <v>53.9</v>
      </c>
      <c r="AJ55" s="29"/>
      <c r="AK55" s="28">
        <v>22.23</v>
      </c>
      <c r="AL55" s="28">
        <v>28.95</v>
      </c>
      <c r="AM55" s="28">
        <v>0.18</v>
      </c>
      <c r="AN55" s="28">
        <v>20.41</v>
      </c>
      <c r="AO55" s="22">
        <f t="shared" si="9"/>
        <v>6.509999999999998</v>
      </c>
      <c r="AP55" s="22">
        <v>125</v>
      </c>
      <c r="AQ55" s="50" t="s">
        <v>107</v>
      </c>
      <c r="AR55" s="57"/>
      <c r="AS55" s="29"/>
    </row>
    <row r="56" spans="1:45" ht="15.75" customHeight="1">
      <c r="A56" s="15">
        <v>45</v>
      </c>
      <c r="B56" s="15" t="s">
        <v>51</v>
      </c>
      <c r="C56" s="15" t="s">
        <v>50</v>
      </c>
      <c r="D56" s="15" t="s">
        <v>48</v>
      </c>
      <c r="E56" s="21">
        <v>19.43</v>
      </c>
      <c r="F56" s="21">
        <v>30.75</v>
      </c>
      <c r="G56" s="21">
        <v>0.28000000000000003</v>
      </c>
      <c r="H56" s="21">
        <v>21.26</v>
      </c>
      <c r="I56" s="15">
        <v>48.92</v>
      </c>
      <c r="J56" s="17">
        <v>6.0300000000000011</v>
      </c>
      <c r="K56" s="1"/>
      <c r="L56" s="17">
        <v>5.6125000000000043</v>
      </c>
      <c r="M56" s="17">
        <v>5.2799999999999914</v>
      </c>
      <c r="N56" s="17">
        <f t="shared" si="11"/>
        <v>5.4462499999999974</v>
      </c>
      <c r="O56" s="15">
        <v>50.74</v>
      </c>
      <c r="P56" s="1"/>
      <c r="Q56" s="17">
        <v>5.7650000000000006</v>
      </c>
      <c r="R56" s="17">
        <v>5.0000000000000098</v>
      </c>
      <c r="S56" s="17">
        <f t="shared" si="12"/>
        <v>5.3825000000000056</v>
      </c>
      <c r="T56" s="15">
        <v>52</v>
      </c>
      <c r="U56" s="1"/>
      <c r="V56" s="17">
        <v>10.197499999999998</v>
      </c>
      <c r="W56" s="17">
        <v>6.2166666666666686</v>
      </c>
      <c r="X56" s="17">
        <f t="shared" si="7"/>
        <v>8.2070833333333333</v>
      </c>
      <c r="Y56" s="15">
        <v>53.8</v>
      </c>
      <c r="Z56" s="1"/>
      <c r="AA56" s="17">
        <v>5.2474999999999952</v>
      </c>
      <c r="AB56" s="17">
        <v>5.9266666666666667</v>
      </c>
      <c r="AC56" s="17">
        <f t="shared" si="8"/>
        <v>5.5870833333333305</v>
      </c>
      <c r="AD56" s="15">
        <v>54.1</v>
      </c>
      <c r="AE56" s="1"/>
      <c r="AF56" s="48">
        <v>5.5100000000000051</v>
      </c>
      <c r="AG56" s="17">
        <v>6.9179999999999948</v>
      </c>
      <c r="AH56" s="17">
        <v>6.9179999999999948</v>
      </c>
      <c r="AI56" s="15">
        <v>55.4</v>
      </c>
      <c r="AJ56" s="1"/>
      <c r="AK56" s="21">
        <v>22.62</v>
      </c>
      <c r="AL56" s="21">
        <v>30.7</v>
      </c>
      <c r="AM56" s="21">
        <v>0.27</v>
      </c>
      <c r="AN56" s="21">
        <v>22.25</v>
      </c>
      <c r="AO56" s="15">
        <f t="shared" si="9"/>
        <v>6.4799999999999969</v>
      </c>
      <c r="AP56" s="15">
        <v>154</v>
      </c>
      <c r="AQ56" s="51" t="s">
        <v>108</v>
      </c>
      <c r="AR56" s="1">
        <f>((AK56/AI56)*100)</f>
        <v>40.830324909747297</v>
      </c>
      <c r="AS56" s="1"/>
    </row>
    <row r="57" spans="1:45" ht="15.75" customHeight="1">
      <c r="A57" s="22">
        <v>46</v>
      </c>
      <c r="B57" s="22" t="s">
        <v>51</v>
      </c>
      <c r="C57" s="22" t="s">
        <v>50</v>
      </c>
      <c r="D57" s="22" t="s">
        <v>49</v>
      </c>
      <c r="E57" s="28">
        <v>17.79</v>
      </c>
      <c r="F57" s="28">
        <v>27.37</v>
      </c>
      <c r="G57" s="28">
        <v>0.19</v>
      </c>
      <c r="H57" s="28">
        <v>18.96</v>
      </c>
      <c r="I57" s="22">
        <v>44.74</v>
      </c>
      <c r="J57" s="24">
        <v>8.1733333333333267</v>
      </c>
      <c r="K57" s="29"/>
      <c r="L57" s="24">
        <v>6.3099999999999952</v>
      </c>
      <c r="M57" s="24">
        <v>5.986666666666669</v>
      </c>
      <c r="N57" s="24">
        <f t="shared" si="11"/>
        <v>6.1483333333333317</v>
      </c>
      <c r="O57" s="22">
        <v>46.59</v>
      </c>
      <c r="P57" s="29"/>
      <c r="Q57" s="24">
        <v>5.7800000000000011</v>
      </c>
      <c r="R57" s="24">
        <v>5.2033333333333189</v>
      </c>
      <c r="S57" s="24">
        <f t="shared" si="12"/>
        <v>5.49166666666666</v>
      </c>
      <c r="T57" s="22">
        <v>49.3</v>
      </c>
      <c r="U57" s="29"/>
      <c r="V57" s="24">
        <v>4.9575000000000031</v>
      </c>
      <c r="W57" s="24">
        <v>6.0733333333333333</v>
      </c>
      <c r="X57" s="24">
        <f t="shared" si="7"/>
        <v>5.5154166666666686</v>
      </c>
      <c r="Y57" s="22">
        <v>49.2</v>
      </c>
      <c r="Z57" s="29"/>
      <c r="AA57" s="24">
        <v>5.4675000000000011</v>
      </c>
      <c r="AB57" s="24">
        <v>5.7399999999999993</v>
      </c>
      <c r="AC57" s="24">
        <f t="shared" si="8"/>
        <v>5.6037499999999998</v>
      </c>
      <c r="AD57" s="22">
        <v>49.6</v>
      </c>
      <c r="AE57" s="29"/>
      <c r="AF57" s="31">
        <v>7.2600000000000051</v>
      </c>
      <c r="AG57" s="24">
        <v>6.0059999999999949</v>
      </c>
      <c r="AH57" s="24">
        <v>6.0059999999999949</v>
      </c>
      <c r="AI57" s="22">
        <v>51</v>
      </c>
      <c r="AJ57" s="29"/>
      <c r="AK57" s="28">
        <v>20.37</v>
      </c>
      <c r="AL57" s="28">
        <v>28.77</v>
      </c>
      <c r="AM57" s="28">
        <v>0.24</v>
      </c>
      <c r="AN57" s="28">
        <v>19.98</v>
      </c>
      <c r="AO57" s="22">
        <f t="shared" si="9"/>
        <v>6.259999999999998</v>
      </c>
      <c r="AP57" s="22">
        <v>138</v>
      </c>
      <c r="AQ57" s="50" t="s">
        <v>109</v>
      </c>
      <c r="AR57" s="57"/>
      <c r="AS57" s="29"/>
    </row>
    <row r="58" spans="1:45" ht="15.75" customHeight="1">
      <c r="A58" s="59">
        <v>47</v>
      </c>
      <c r="B58" s="59" t="s">
        <v>51</v>
      </c>
      <c r="C58" s="59" t="s">
        <v>50</v>
      </c>
      <c r="D58" s="59" t="s">
        <v>49</v>
      </c>
      <c r="E58" s="60">
        <v>21.75</v>
      </c>
      <c r="F58" s="60">
        <v>30.03</v>
      </c>
      <c r="G58" s="60">
        <v>0.27</v>
      </c>
      <c r="H58" s="60">
        <v>21.03</v>
      </c>
      <c r="I58" s="59">
        <v>50.2</v>
      </c>
      <c r="J58" s="58">
        <v>8.5</v>
      </c>
      <c r="K58" s="61"/>
      <c r="L58" s="58">
        <v>7.6225000000000023</v>
      </c>
      <c r="M58" s="58">
        <v>6.6733333333333276</v>
      </c>
      <c r="N58" s="24">
        <f t="shared" si="11"/>
        <v>7.1479166666666654</v>
      </c>
      <c r="O58" s="59">
        <v>53.89</v>
      </c>
      <c r="P58" s="61"/>
      <c r="Q58" s="58">
        <v>7.1749999999999972</v>
      </c>
      <c r="R58" s="58">
        <v>6.4666666666666686</v>
      </c>
      <c r="S58" s="24">
        <f t="shared" si="12"/>
        <v>6.8208333333333329</v>
      </c>
      <c r="T58" s="59">
        <v>56.9</v>
      </c>
      <c r="U58" s="61"/>
      <c r="V58" s="58">
        <v>13.660000000000004</v>
      </c>
      <c r="W58" s="58">
        <v>7.3233333333333421</v>
      </c>
      <c r="X58" s="24">
        <f t="shared" si="7"/>
        <v>10.491666666666672</v>
      </c>
      <c r="Y58" s="59">
        <v>58.9</v>
      </c>
      <c r="Z58" s="61"/>
      <c r="AA58" s="58">
        <v>6.8774999999999977</v>
      </c>
      <c r="AB58" s="58">
        <v>6.6599999999999966</v>
      </c>
      <c r="AC58" s="24">
        <f t="shared" si="8"/>
        <v>6.7687499999999972</v>
      </c>
      <c r="AD58" s="59">
        <v>60.5</v>
      </c>
      <c r="AE58" s="61"/>
      <c r="AF58" s="31">
        <v>7.1750000000000114</v>
      </c>
      <c r="AG58" s="58">
        <v>6.7919999999999963</v>
      </c>
      <c r="AH58" s="58">
        <v>6.7919999999999963</v>
      </c>
      <c r="AI58" s="59">
        <v>60.4</v>
      </c>
      <c r="AJ58" s="61"/>
      <c r="AK58" s="28">
        <v>28.85</v>
      </c>
      <c r="AL58" s="28">
        <v>31.01</v>
      </c>
      <c r="AM58" s="28">
        <v>0.41</v>
      </c>
      <c r="AN58" s="28">
        <v>21.08</v>
      </c>
      <c r="AO58" s="22">
        <f t="shared" si="9"/>
        <v>10.199999999999996</v>
      </c>
      <c r="AP58" s="59">
        <v>131</v>
      </c>
      <c r="AQ58" s="50">
        <v>125</v>
      </c>
      <c r="AR58" s="57"/>
      <c r="AS58" s="61"/>
    </row>
    <row r="59" spans="1:45" ht="15.75" customHeight="1">
      <c r="A59" s="62">
        <v>48</v>
      </c>
      <c r="B59" s="62" t="s">
        <v>51</v>
      </c>
      <c r="C59" s="62" t="s">
        <v>50</v>
      </c>
      <c r="D59" s="62" t="s">
        <v>48</v>
      </c>
      <c r="E59" s="63">
        <v>16.77</v>
      </c>
      <c r="F59" s="63">
        <v>25.17</v>
      </c>
      <c r="G59" s="63">
        <v>0.26</v>
      </c>
      <c r="H59" s="63">
        <v>18.440000000000001</v>
      </c>
      <c r="I59" s="62">
        <v>43</v>
      </c>
      <c r="J59" s="64">
        <v>5.7733333333333308</v>
      </c>
      <c r="K59" s="65"/>
      <c r="L59" s="64">
        <v>4.5625</v>
      </c>
      <c r="M59" s="64">
        <v>4.803333333333323</v>
      </c>
      <c r="N59" s="17">
        <f t="shared" si="11"/>
        <v>4.682916666666662</v>
      </c>
      <c r="O59" s="62">
        <v>43.41</v>
      </c>
      <c r="P59" s="65"/>
      <c r="Q59" s="64">
        <v>4.9200000000000017</v>
      </c>
      <c r="R59" s="64">
        <v>3.7633333333333403</v>
      </c>
      <c r="S59" s="17">
        <f t="shared" si="12"/>
        <v>4.3416666666666712</v>
      </c>
      <c r="T59" s="62">
        <v>43.5</v>
      </c>
      <c r="U59" s="65"/>
      <c r="V59" s="64">
        <v>6.625</v>
      </c>
      <c r="W59" s="64">
        <v>5.6366666666666747</v>
      </c>
      <c r="X59" s="17">
        <f t="shared" si="7"/>
        <v>6.1308333333333369</v>
      </c>
      <c r="Y59" s="62">
        <v>44</v>
      </c>
      <c r="Z59" s="65"/>
      <c r="AA59" s="64">
        <v>4.7049999999999983</v>
      </c>
      <c r="AB59" s="64">
        <v>5.1033333333333344</v>
      </c>
      <c r="AC59" s="17">
        <f t="shared" si="8"/>
        <v>4.9041666666666668</v>
      </c>
      <c r="AD59" s="62">
        <v>44.8</v>
      </c>
      <c r="AE59" s="65"/>
      <c r="AF59" s="56">
        <v>4.7099999999999937</v>
      </c>
      <c r="AG59" s="64">
        <v>5.6440000000000055</v>
      </c>
      <c r="AH59" s="64">
        <v>5.6440000000000055</v>
      </c>
      <c r="AI59" s="62">
        <v>46.4</v>
      </c>
      <c r="AJ59" s="65"/>
      <c r="AK59" s="21">
        <v>18.09</v>
      </c>
      <c r="AL59" s="21">
        <v>26.78</v>
      </c>
      <c r="AM59" s="21">
        <v>0.26</v>
      </c>
      <c r="AN59" s="21">
        <v>18.86</v>
      </c>
      <c r="AO59" s="15">
        <f t="shared" si="9"/>
        <v>3.3999999999999986</v>
      </c>
      <c r="AP59" s="62">
        <v>116</v>
      </c>
      <c r="AQ59" s="51" t="s">
        <v>110</v>
      </c>
      <c r="AR59" s="1">
        <f>((AK59/AI59)*100)</f>
        <v>38.987068965517238</v>
      </c>
      <c r="AS59" s="65"/>
    </row>
    <row r="60" spans="1:4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66" t="s">
        <v>111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67" t="s">
        <v>112</v>
      </c>
      <c r="AG60" s="1" t="s">
        <v>113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5.75" customHeight="1">
      <c r="A61" s="68" t="s">
        <v>59</v>
      </c>
      <c r="B61" s="68" t="s">
        <v>0</v>
      </c>
      <c r="C61" s="68" t="s">
        <v>1</v>
      </c>
      <c r="D61" s="68" t="s">
        <v>2</v>
      </c>
      <c r="E61" s="230" t="s">
        <v>3</v>
      </c>
      <c r="F61" s="231"/>
      <c r="G61" s="231"/>
      <c r="H61" s="231"/>
      <c r="I61" s="231"/>
      <c r="J61" s="231"/>
      <c r="K61" s="232"/>
      <c r="L61" s="237" t="s">
        <v>4</v>
      </c>
      <c r="M61" s="231"/>
      <c r="N61" s="231"/>
      <c r="O61" s="232"/>
      <c r="P61" s="1"/>
      <c r="Q61" s="238" t="s">
        <v>5</v>
      </c>
      <c r="R61" s="231"/>
      <c r="S61" s="231"/>
      <c r="T61" s="232"/>
      <c r="U61" s="1"/>
      <c r="V61" s="233" t="s">
        <v>6</v>
      </c>
      <c r="W61" s="231"/>
      <c r="X61" s="231"/>
      <c r="Y61" s="232"/>
      <c r="Z61" s="1"/>
      <c r="AA61" s="234" t="s">
        <v>60</v>
      </c>
      <c r="AB61" s="231"/>
      <c r="AC61" s="231"/>
      <c r="AD61" s="232"/>
      <c r="AE61" s="1"/>
      <c r="AF61" s="235" t="s">
        <v>61</v>
      </c>
      <c r="AG61" s="231"/>
      <c r="AH61" s="231"/>
      <c r="AI61" s="232"/>
      <c r="AJ61" s="1"/>
      <c r="AK61" s="236" t="s">
        <v>9</v>
      </c>
      <c r="AL61" s="231"/>
      <c r="AM61" s="231"/>
      <c r="AN61" s="231"/>
      <c r="AO61" s="231"/>
      <c r="AP61" s="231"/>
      <c r="AQ61" s="232"/>
      <c r="AR61" s="1"/>
      <c r="AS61" s="1"/>
    </row>
    <row r="62" spans="1:45" ht="15.75" customHeight="1">
      <c r="A62" s="69" t="s">
        <v>114</v>
      </c>
      <c r="B62" s="69" t="s">
        <v>0</v>
      </c>
      <c r="C62" s="69" t="s">
        <v>1</v>
      </c>
      <c r="D62" s="69" t="s">
        <v>2</v>
      </c>
      <c r="E62" s="2" t="s">
        <v>115</v>
      </c>
      <c r="F62" s="2" t="s">
        <v>116</v>
      </c>
      <c r="G62" s="2" t="s">
        <v>117</v>
      </c>
      <c r="H62" s="2" t="s">
        <v>118</v>
      </c>
      <c r="I62" s="2" t="s">
        <v>119</v>
      </c>
      <c r="J62" s="2" t="s">
        <v>120</v>
      </c>
      <c r="L62" s="70" t="s">
        <v>121</v>
      </c>
      <c r="M62" s="70" t="s">
        <v>122</v>
      </c>
      <c r="N62" s="71" t="s">
        <v>23</v>
      </c>
      <c r="O62" s="71" t="s">
        <v>123</v>
      </c>
      <c r="P62" s="72"/>
      <c r="Q62" s="73" t="s">
        <v>124</v>
      </c>
      <c r="R62" s="73" t="s">
        <v>125</v>
      </c>
      <c r="S62" s="74" t="s">
        <v>27</v>
      </c>
      <c r="T62" s="74" t="s">
        <v>126</v>
      </c>
      <c r="U62" s="72"/>
      <c r="V62" s="75" t="s">
        <v>127</v>
      </c>
      <c r="W62" s="75" t="s">
        <v>128</v>
      </c>
      <c r="X62" s="76" t="s">
        <v>76</v>
      </c>
      <c r="Y62" s="76" t="s">
        <v>129</v>
      </c>
      <c r="Z62" s="72"/>
      <c r="AA62" s="77" t="s">
        <v>130</v>
      </c>
      <c r="AB62" s="77" t="s">
        <v>131</v>
      </c>
      <c r="AC62" s="78" t="s">
        <v>35</v>
      </c>
      <c r="AD62" s="78" t="s">
        <v>132</v>
      </c>
      <c r="AE62" s="72"/>
      <c r="AF62" s="79" t="s">
        <v>133</v>
      </c>
      <c r="AG62" s="79" t="s">
        <v>134</v>
      </c>
      <c r="AH62" s="80" t="s">
        <v>83</v>
      </c>
      <c r="AI62" s="80" t="s">
        <v>135</v>
      </c>
      <c r="AJ62" s="72"/>
      <c r="AK62" s="46" t="s">
        <v>136</v>
      </c>
      <c r="AL62" s="46" t="s">
        <v>137</v>
      </c>
      <c r="AM62" s="46" t="s">
        <v>138</v>
      </c>
      <c r="AN62" s="46" t="s">
        <v>139</v>
      </c>
      <c r="AO62" s="46" t="s">
        <v>43</v>
      </c>
      <c r="AP62" s="46" t="s">
        <v>44</v>
      </c>
      <c r="AQ62" s="45" t="s">
        <v>140</v>
      </c>
      <c r="AR62" s="81"/>
      <c r="AS62" s="81"/>
    </row>
    <row r="63" spans="1:45" ht="15.75" customHeight="1" outlineLevel="1">
      <c r="A63" s="82">
        <v>49</v>
      </c>
      <c r="B63" s="82" t="s">
        <v>46</v>
      </c>
      <c r="C63" s="82" t="s">
        <v>50</v>
      </c>
      <c r="D63" s="82"/>
      <c r="E63" s="83">
        <v>1.19</v>
      </c>
      <c r="F63" s="83">
        <v>19.489999999999998</v>
      </c>
      <c r="G63" s="83">
        <v>0.06</v>
      </c>
      <c r="H63" s="83">
        <v>14.8</v>
      </c>
      <c r="I63" s="84">
        <v>21</v>
      </c>
      <c r="J63" s="84">
        <v>6.3500000000000041</v>
      </c>
      <c r="K63" s="84"/>
      <c r="L63" s="85">
        <v>4.2374999999999972</v>
      </c>
      <c r="M63" s="86">
        <v>3.605000000000004</v>
      </c>
      <c r="N63" s="85">
        <f t="shared" ref="N63:N85" si="13">AVERAGE(L63:M63)</f>
        <v>3.9212500000000006</v>
      </c>
      <c r="O63" s="87">
        <v>21.8</v>
      </c>
      <c r="P63" s="85"/>
      <c r="Q63" s="85">
        <v>4.1450000000000031</v>
      </c>
      <c r="R63" s="82">
        <v>4.3066666666666622</v>
      </c>
      <c r="S63" s="85">
        <f t="shared" ref="S63:S85" si="14">AVERAGE(Q63:R63)</f>
        <v>4.2258333333333322</v>
      </c>
      <c r="T63" s="86">
        <v>21.9</v>
      </c>
      <c r="U63" s="82"/>
      <c r="V63" s="86">
        <f t="shared" ref="V63:V85" si="15">((T63-U63)/4)</f>
        <v>5.4749999999999996</v>
      </c>
      <c r="W63" s="85">
        <v>4.1966666666666681</v>
      </c>
      <c r="X63" s="88">
        <f t="shared" ref="X63:X85" si="16">AVERAGE(V63:W63)</f>
        <v>4.8358333333333334</v>
      </c>
      <c r="Y63" s="85">
        <v>22.8</v>
      </c>
      <c r="Z63" s="82"/>
      <c r="AA63" s="85"/>
      <c r="AB63" s="85"/>
      <c r="AC63" s="82">
        <v>3.67</v>
      </c>
      <c r="AD63" s="82">
        <v>22.8</v>
      </c>
      <c r="AE63" s="82"/>
      <c r="AF63" s="82"/>
      <c r="AG63" s="89"/>
      <c r="AH63" s="89">
        <v>1</v>
      </c>
      <c r="AI63" s="89">
        <v>22.9</v>
      </c>
      <c r="AJ63" s="89"/>
      <c r="AK63" s="82"/>
      <c r="AL63" s="82"/>
      <c r="AM63" s="82"/>
      <c r="AN63" s="82"/>
      <c r="AO63" s="82">
        <f t="shared" ref="AO63:AO85" si="17">(AI63-I63)</f>
        <v>1.8999999999999986</v>
      </c>
      <c r="AP63" s="82"/>
      <c r="AQ63" s="82"/>
      <c r="AR63" s="90"/>
      <c r="AS63" s="90"/>
    </row>
    <row r="64" spans="1:45" ht="15.75" customHeight="1" outlineLevel="1">
      <c r="A64" s="15">
        <v>50</v>
      </c>
      <c r="B64" s="15" t="s">
        <v>46</v>
      </c>
      <c r="C64" s="15" t="s">
        <v>50</v>
      </c>
      <c r="D64" s="52"/>
      <c r="E64" s="91">
        <v>1.41</v>
      </c>
      <c r="F64" s="91">
        <v>20.88</v>
      </c>
      <c r="G64" s="91">
        <v>0.1</v>
      </c>
      <c r="H64" s="91">
        <v>15.46</v>
      </c>
      <c r="I64" s="92">
        <v>22.6</v>
      </c>
      <c r="J64" s="92">
        <v>6.56</v>
      </c>
      <c r="K64" s="92"/>
      <c r="L64" s="54">
        <v>7.772500000000008</v>
      </c>
      <c r="M64" s="93">
        <v>4.2749999999999986</v>
      </c>
      <c r="N64" s="94">
        <f t="shared" si="13"/>
        <v>6.0237500000000033</v>
      </c>
      <c r="O64" s="95">
        <v>21.8</v>
      </c>
      <c r="P64" s="54"/>
      <c r="Q64" s="54">
        <v>5.0775000000000006</v>
      </c>
      <c r="R64" s="52">
        <v>5.2333333333333298</v>
      </c>
      <c r="S64" s="17">
        <f t="shared" si="14"/>
        <v>5.1554166666666656</v>
      </c>
      <c r="T64" s="93">
        <v>22</v>
      </c>
      <c r="U64" s="52"/>
      <c r="V64" s="18">
        <f t="shared" si="15"/>
        <v>5.5</v>
      </c>
      <c r="W64" s="54">
        <v>4.6266666666666652</v>
      </c>
      <c r="X64" s="96">
        <f t="shared" si="16"/>
        <v>5.0633333333333326</v>
      </c>
      <c r="Y64" s="54">
        <v>22.4</v>
      </c>
      <c r="Z64" s="52"/>
      <c r="AA64" s="54"/>
      <c r="AB64" s="54"/>
      <c r="AC64" s="52">
        <v>3.7</v>
      </c>
      <c r="AD64" s="52">
        <v>22.4</v>
      </c>
      <c r="AE64" s="52"/>
      <c r="AF64" s="52"/>
      <c r="AG64" s="53"/>
      <c r="AH64" s="53"/>
      <c r="AI64" s="53">
        <v>23.5</v>
      </c>
      <c r="AJ64" s="53"/>
      <c r="AK64" s="52"/>
      <c r="AL64" s="52"/>
      <c r="AM64" s="52"/>
      <c r="AN64" s="52"/>
      <c r="AO64" s="15">
        <f t="shared" si="17"/>
        <v>0.89999999999999858</v>
      </c>
      <c r="AP64" s="52"/>
      <c r="AQ64" s="52"/>
      <c r="AR64" s="1"/>
      <c r="AS64" s="1"/>
    </row>
    <row r="65" spans="1:45" ht="15.75" customHeight="1" outlineLevel="1">
      <c r="A65" s="15">
        <v>51</v>
      </c>
      <c r="B65" s="15" t="s">
        <v>46</v>
      </c>
      <c r="C65" s="15" t="s">
        <v>50</v>
      </c>
      <c r="D65" s="52"/>
      <c r="E65" s="91">
        <v>1.58</v>
      </c>
      <c r="F65" s="91">
        <v>20.010000000000002</v>
      </c>
      <c r="G65" s="91">
        <v>0.08</v>
      </c>
      <c r="H65" s="91">
        <v>14.31</v>
      </c>
      <c r="I65" s="92">
        <v>20.8</v>
      </c>
      <c r="J65" s="92">
        <v>11.2</v>
      </c>
      <c r="K65" s="92"/>
      <c r="L65" s="54">
        <v>7.3524999999999991</v>
      </c>
      <c r="M65" s="93">
        <v>3.8725000000000023</v>
      </c>
      <c r="N65" s="94">
        <f t="shared" si="13"/>
        <v>5.6125000000000007</v>
      </c>
      <c r="O65" s="95">
        <v>21.3</v>
      </c>
      <c r="P65" s="54"/>
      <c r="Q65" s="54">
        <v>4.4074999999999989</v>
      </c>
      <c r="R65" s="52">
        <v>3.1933333333333374</v>
      </c>
      <c r="S65" s="17">
        <f t="shared" si="14"/>
        <v>3.8004166666666679</v>
      </c>
      <c r="T65" s="93">
        <v>22.2</v>
      </c>
      <c r="U65" s="52"/>
      <c r="V65" s="18">
        <f t="shared" si="15"/>
        <v>5.55</v>
      </c>
      <c r="W65" s="54">
        <v>7.0666666666666629</v>
      </c>
      <c r="X65" s="96">
        <f t="shared" si="16"/>
        <v>6.3083333333333318</v>
      </c>
      <c r="Y65" s="54">
        <v>22.3</v>
      </c>
      <c r="Z65" s="52"/>
      <c r="AA65" s="54"/>
      <c r="AB65" s="54"/>
      <c r="AC65" s="52">
        <v>2.96</v>
      </c>
      <c r="AD65" s="52">
        <v>22.5</v>
      </c>
      <c r="AE65" s="52"/>
      <c r="AF65" s="52"/>
      <c r="AG65" s="53"/>
      <c r="AH65" s="53"/>
      <c r="AI65" s="53">
        <v>23</v>
      </c>
      <c r="AJ65" s="53"/>
      <c r="AK65" s="52"/>
      <c r="AL65" s="52"/>
      <c r="AM65" s="52"/>
      <c r="AN65" s="52"/>
      <c r="AO65" s="15">
        <f t="shared" si="17"/>
        <v>2.1999999999999993</v>
      </c>
      <c r="AP65" s="52"/>
      <c r="AQ65" s="52"/>
      <c r="AR65" s="1"/>
      <c r="AS65" s="1"/>
    </row>
    <row r="66" spans="1:45" ht="15.75" customHeight="1" outlineLevel="1">
      <c r="A66" s="15">
        <v>52</v>
      </c>
      <c r="B66" s="15" t="s">
        <v>46</v>
      </c>
      <c r="C66" s="15" t="s">
        <v>50</v>
      </c>
      <c r="D66" s="52"/>
      <c r="E66" s="91">
        <v>1.43</v>
      </c>
      <c r="F66" s="91">
        <v>19.25</v>
      </c>
      <c r="G66" s="91">
        <v>7.0000000000000007E-2</v>
      </c>
      <c r="H66" s="91">
        <v>15.18</v>
      </c>
      <c r="I66" s="92">
        <v>21.5</v>
      </c>
      <c r="J66" s="92">
        <v>11.23</v>
      </c>
      <c r="K66" s="92"/>
      <c r="L66" s="54">
        <v>4.6850000000000023</v>
      </c>
      <c r="M66" s="93">
        <v>2.5875000000000057</v>
      </c>
      <c r="N66" s="94">
        <f t="shared" si="13"/>
        <v>3.636250000000004</v>
      </c>
      <c r="O66" s="95">
        <v>20.8</v>
      </c>
      <c r="P66" s="54"/>
      <c r="Q66" s="54">
        <v>2.9675000000000011</v>
      </c>
      <c r="R66" s="52">
        <v>4.5633333333333326</v>
      </c>
      <c r="S66" s="17">
        <f t="shared" si="14"/>
        <v>3.7654166666666669</v>
      </c>
      <c r="T66" s="93">
        <v>20.7</v>
      </c>
      <c r="U66" s="52"/>
      <c r="V66" s="18">
        <f t="shared" si="15"/>
        <v>5.1749999999999998</v>
      </c>
      <c r="W66" s="54">
        <v>4.7733333333333308</v>
      </c>
      <c r="X66" s="96">
        <f t="shared" si="16"/>
        <v>4.9741666666666653</v>
      </c>
      <c r="Y66" s="54">
        <v>21.1</v>
      </c>
      <c r="Z66" s="52"/>
      <c r="AA66" s="54"/>
      <c r="AB66" s="54"/>
      <c r="AC66" s="52">
        <v>3.1</v>
      </c>
      <c r="AD66" s="52">
        <v>21.2</v>
      </c>
      <c r="AE66" s="52"/>
      <c r="AF66" s="52"/>
      <c r="AG66" s="53"/>
      <c r="AH66" s="53"/>
      <c r="AI66" s="53">
        <v>21.8</v>
      </c>
      <c r="AJ66" s="53"/>
      <c r="AK66" s="52"/>
      <c r="AL66" s="52"/>
      <c r="AM66" s="52"/>
      <c r="AN66" s="52"/>
      <c r="AO66" s="15">
        <f t="shared" si="17"/>
        <v>0.30000000000000071</v>
      </c>
      <c r="AP66" s="52"/>
      <c r="AQ66" s="52"/>
      <c r="AR66" s="1"/>
      <c r="AS66" s="1"/>
    </row>
    <row r="67" spans="1:45" ht="15.75" customHeight="1" outlineLevel="1">
      <c r="A67" s="15">
        <v>53</v>
      </c>
      <c r="B67" s="15" t="s">
        <v>46</v>
      </c>
      <c r="C67" s="15" t="s">
        <v>50</v>
      </c>
      <c r="D67" s="52"/>
      <c r="E67" s="91">
        <v>1.56</v>
      </c>
      <c r="F67" s="91">
        <v>20.04</v>
      </c>
      <c r="G67" s="91">
        <v>0.05</v>
      </c>
      <c r="H67" s="91">
        <v>15.45</v>
      </c>
      <c r="I67" s="92">
        <v>22.5</v>
      </c>
      <c r="J67" s="92">
        <v>6.4500000000000073</v>
      </c>
      <c r="K67" s="92"/>
      <c r="L67" s="54">
        <v>6.6850000000000023</v>
      </c>
      <c r="M67" s="93">
        <v>-3.5075000000000074</v>
      </c>
      <c r="N67" s="94">
        <f t="shared" si="13"/>
        <v>1.5887499999999974</v>
      </c>
      <c r="O67" s="95">
        <v>22.6</v>
      </c>
      <c r="P67" s="54"/>
      <c r="Q67" s="54">
        <v>2.897500000000008</v>
      </c>
      <c r="R67" s="52">
        <v>4.3533333333333344</v>
      </c>
      <c r="S67" s="17">
        <f t="shared" si="14"/>
        <v>3.6254166666666712</v>
      </c>
      <c r="T67" s="93">
        <v>23.6</v>
      </c>
      <c r="U67" s="52"/>
      <c r="V67" s="18">
        <f t="shared" si="15"/>
        <v>5.9</v>
      </c>
      <c r="W67" s="54">
        <v>4.0266666666666611</v>
      </c>
      <c r="X67" s="96">
        <f t="shared" si="16"/>
        <v>4.9633333333333312</v>
      </c>
      <c r="Y67" s="54">
        <v>23.5</v>
      </c>
      <c r="Z67" s="52"/>
      <c r="AA67" s="54"/>
      <c r="AB67" s="54"/>
      <c r="AC67" s="52">
        <v>3.8</v>
      </c>
      <c r="AD67" s="52">
        <v>24</v>
      </c>
      <c r="AE67" s="52"/>
      <c r="AF67" s="52"/>
      <c r="AG67" s="53"/>
      <c r="AH67" s="53"/>
      <c r="AI67" s="53">
        <v>24.3</v>
      </c>
      <c r="AJ67" s="53"/>
      <c r="AK67" s="52"/>
      <c r="AL67" s="52"/>
      <c r="AM67" s="52"/>
      <c r="AN67" s="52"/>
      <c r="AO67" s="15">
        <f t="shared" si="17"/>
        <v>1.8000000000000007</v>
      </c>
      <c r="AP67" s="52"/>
      <c r="AQ67" s="52"/>
      <c r="AR67" s="1"/>
      <c r="AS67" s="1"/>
    </row>
    <row r="68" spans="1:45" ht="15.75" customHeight="1" outlineLevel="1">
      <c r="A68" s="82">
        <v>54</v>
      </c>
      <c r="B68" s="82" t="s">
        <v>46</v>
      </c>
      <c r="C68" s="82" t="s">
        <v>50</v>
      </c>
      <c r="D68" s="82"/>
      <c r="E68" s="83">
        <v>1.32</v>
      </c>
      <c r="F68" s="83">
        <v>20.93</v>
      </c>
      <c r="G68" s="83">
        <v>0.13</v>
      </c>
      <c r="H68" s="83">
        <v>15.04</v>
      </c>
      <c r="I68" s="84">
        <v>22.4</v>
      </c>
      <c r="J68" s="84">
        <v>5.84</v>
      </c>
      <c r="K68" s="84"/>
      <c r="L68" s="85">
        <v>3.6099999999999994</v>
      </c>
      <c r="M68" s="86">
        <v>3.0250000000000057</v>
      </c>
      <c r="N68" s="85">
        <f t="shared" si="13"/>
        <v>3.3175000000000026</v>
      </c>
      <c r="O68" s="87">
        <v>22.4</v>
      </c>
      <c r="P68" s="85"/>
      <c r="Q68" s="85">
        <v>3.1974999999999909</v>
      </c>
      <c r="R68" s="82">
        <v>3.6900000000000071</v>
      </c>
      <c r="S68" s="85">
        <f t="shared" si="14"/>
        <v>3.4437499999999988</v>
      </c>
      <c r="T68" s="86">
        <v>22.2</v>
      </c>
      <c r="U68" s="82"/>
      <c r="V68" s="86">
        <f t="shared" si="15"/>
        <v>5.55</v>
      </c>
      <c r="W68" s="85">
        <v>3.8300000000000032</v>
      </c>
      <c r="X68" s="88">
        <f t="shared" si="16"/>
        <v>4.6900000000000013</v>
      </c>
      <c r="Y68" s="85">
        <v>23</v>
      </c>
      <c r="Z68" s="82"/>
      <c r="AA68" s="85"/>
      <c r="AB68" s="85"/>
      <c r="AC68" s="82">
        <v>3.62</v>
      </c>
      <c r="AD68" s="82">
        <v>23</v>
      </c>
      <c r="AE68" s="82"/>
      <c r="AF68" s="82"/>
      <c r="AG68" s="89"/>
      <c r="AH68" s="89"/>
      <c r="AI68" s="89">
        <v>23.7</v>
      </c>
      <c r="AJ68" s="89"/>
      <c r="AK68" s="82"/>
      <c r="AL68" s="82"/>
      <c r="AM68" s="82"/>
      <c r="AN68" s="82"/>
      <c r="AO68" s="82">
        <f t="shared" si="17"/>
        <v>1.3000000000000007</v>
      </c>
      <c r="AP68" s="82"/>
      <c r="AQ68" s="82"/>
      <c r="AR68" s="90"/>
      <c r="AS68" s="90"/>
    </row>
    <row r="69" spans="1:45" ht="15.75" customHeight="1" outlineLevel="1">
      <c r="A69" s="82">
        <v>55</v>
      </c>
      <c r="B69" s="82" t="s">
        <v>46</v>
      </c>
      <c r="C69" s="82" t="s">
        <v>50</v>
      </c>
      <c r="D69" s="82"/>
      <c r="E69" s="83">
        <v>0.96</v>
      </c>
      <c r="F69" s="83">
        <v>20.77</v>
      </c>
      <c r="G69" s="83">
        <v>0.08</v>
      </c>
      <c r="H69" s="83">
        <v>15.97</v>
      </c>
      <c r="I69" s="84">
        <v>22.8</v>
      </c>
      <c r="J69" s="84">
        <v>12.380000000000015</v>
      </c>
      <c r="K69" s="84"/>
      <c r="L69" s="85">
        <v>7.2249999999999943</v>
      </c>
      <c r="M69" s="86">
        <v>7.2950000000000017</v>
      </c>
      <c r="N69" s="85">
        <f t="shared" si="13"/>
        <v>7.259999999999998</v>
      </c>
      <c r="O69" s="87">
        <v>23</v>
      </c>
      <c r="P69" s="85"/>
      <c r="Q69" s="85">
        <v>3.6700000000000017</v>
      </c>
      <c r="R69" s="82">
        <v>8.4766666666666595</v>
      </c>
      <c r="S69" s="85">
        <f t="shared" si="14"/>
        <v>6.0733333333333306</v>
      </c>
      <c r="T69" s="86">
        <v>19.3</v>
      </c>
      <c r="U69" s="82"/>
      <c r="V69" s="86">
        <f t="shared" si="15"/>
        <v>4.8250000000000002</v>
      </c>
      <c r="W69" s="85">
        <v>4.173333333333332</v>
      </c>
      <c r="X69" s="88">
        <f t="shared" si="16"/>
        <v>4.4991666666666656</v>
      </c>
      <c r="Y69" s="85">
        <v>23.3</v>
      </c>
      <c r="Z69" s="82"/>
      <c r="AA69" s="85"/>
      <c r="AB69" s="85"/>
      <c r="AC69" s="82">
        <v>4.29</v>
      </c>
      <c r="AD69" s="82">
        <v>23.4</v>
      </c>
      <c r="AE69" s="82"/>
      <c r="AF69" s="82"/>
      <c r="AG69" s="89"/>
      <c r="AH69" s="89"/>
      <c r="AI69" s="89">
        <v>23.6</v>
      </c>
      <c r="AJ69" s="89"/>
      <c r="AK69" s="82"/>
      <c r="AL69" s="82"/>
      <c r="AM69" s="82"/>
      <c r="AN69" s="82"/>
      <c r="AO69" s="82">
        <f t="shared" si="17"/>
        <v>0.80000000000000071</v>
      </c>
      <c r="AP69" s="82"/>
      <c r="AQ69" s="82"/>
      <c r="AR69" s="90"/>
      <c r="AS69" s="90"/>
    </row>
    <row r="70" spans="1:45" ht="15.75" customHeight="1" outlineLevel="1">
      <c r="A70" s="15">
        <v>56</v>
      </c>
      <c r="B70" s="15" t="s">
        <v>46</v>
      </c>
      <c r="C70" s="15" t="s">
        <v>50</v>
      </c>
      <c r="D70" s="52"/>
      <c r="E70" s="91">
        <v>1.63</v>
      </c>
      <c r="F70" s="91">
        <v>20.21</v>
      </c>
      <c r="G70" s="91">
        <v>7.0000000000000007E-2</v>
      </c>
      <c r="H70" s="91">
        <v>15.11</v>
      </c>
      <c r="I70" s="92">
        <v>22</v>
      </c>
      <c r="J70" s="92">
        <v>15</v>
      </c>
      <c r="K70" s="92"/>
      <c r="L70" s="54">
        <v>7.4699999999999989</v>
      </c>
      <c r="M70" s="93">
        <v>4.6999999999999957</v>
      </c>
      <c r="N70" s="94">
        <f t="shared" si="13"/>
        <v>6.0849999999999973</v>
      </c>
      <c r="O70" s="95">
        <v>22.7</v>
      </c>
      <c r="P70" s="54"/>
      <c r="Q70" s="54">
        <v>4.4874999999999972</v>
      </c>
      <c r="R70" s="52">
        <v>4.0900000000000034</v>
      </c>
      <c r="S70" s="17">
        <f t="shared" si="14"/>
        <v>4.2887500000000003</v>
      </c>
      <c r="T70" s="93">
        <v>22.4</v>
      </c>
      <c r="U70" s="52"/>
      <c r="V70" s="18">
        <f t="shared" si="15"/>
        <v>5.6</v>
      </c>
      <c r="W70" s="54">
        <v>3.296666666666662</v>
      </c>
      <c r="X70" s="96">
        <f t="shared" si="16"/>
        <v>4.4483333333333306</v>
      </c>
      <c r="Y70" s="54">
        <v>23.3</v>
      </c>
      <c r="Z70" s="52"/>
      <c r="AA70" s="54"/>
      <c r="AB70" s="54"/>
      <c r="AC70" s="52">
        <v>3.3200000000000012</v>
      </c>
      <c r="AD70" s="52">
        <v>23</v>
      </c>
      <c r="AE70" s="52"/>
      <c r="AF70" s="52"/>
      <c r="AG70" s="53"/>
      <c r="AH70" s="53"/>
      <c r="AI70" s="53">
        <v>23</v>
      </c>
      <c r="AJ70" s="53"/>
      <c r="AK70" s="52"/>
      <c r="AL70" s="52"/>
      <c r="AM70" s="52"/>
      <c r="AN70" s="52"/>
      <c r="AO70" s="15">
        <f t="shared" si="17"/>
        <v>1</v>
      </c>
      <c r="AP70" s="52"/>
      <c r="AQ70" s="52"/>
      <c r="AR70" s="1"/>
      <c r="AS70" s="1"/>
    </row>
    <row r="71" spans="1:45" ht="15.75" customHeight="1" outlineLevel="1">
      <c r="A71" s="15">
        <v>57</v>
      </c>
      <c r="B71" s="15" t="s">
        <v>46</v>
      </c>
      <c r="C71" s="15" t="s">
        <v>50</v>
      </c>
      <c r="D71" s="52"/>
      <c r="E71" s="91">
        <v>0.86</v>
      </c>
      <c r="F71" s="91">
        <v>19.62</v>
      </c>
      <c r="G71" s="91">
        <v>0.09</v>
      </c>
      <c r="H71" s="91">
        <v>14.23</v>
      </c>
      <c r="I71" s="92">
        <v>20.5</v>
      </c>
      <c r="J71" s="92">
        <v>6.21</v>
      </c>
      <c r="K71" s="92"/>
      <c r="L71" s="54">
        <v>6.6950000000000003</v>
      </c>
      <c r="M71" s="93">
        <v>3.6574999999999989</v>
      </c>
      <c r="N71" s="94">
        <f t="shared" si="13"/>
        <v>5.1762499999999996</v>
      </c>
      <c r="O71" s="95">
        <v>20.8</v>
      </c>
      <c r="P71" s="54"/>
      <c r="Q71" s="54">
        <v>3.7800000000000011</v>
      </c>
      <c r="R71" s="52">
        <v>3.8300000000000032</v>
      </c>
      <c r="S71" s="17">
        <f t="shared" si="14"/>
        <v>3.8050000000000024</v>
      </c>
      <c r="T71" s="93">
        <v>21.2</v>
      </c>
      <c r="U71" s="52"/>
      <c r="V71" s="18">
        <f t="shared" si="15"/>
        <v>5.3</v>
      </c>
      <c r="W71" s="54">
        <v>3.5333333333333408</v>
      </c>
      <c r="X71" s="96">
        <f t="shared" si="16"/>
        <v>4.4166666666666705</v>
      </c>
      <c r="Y71" s="54">
        <v>21.6</v>
      </c>
      <c r="Z71" s="52"/>
      <c r="AA71" s="54"/>
      <c r="AB71" s="54"/>
      <c r="AC71" s="52">
        <v>3.78</v>
      </c>
      <c r="AD71" s="52">
        <v>21.4</v>
      </c>
      <c r="AE71" s="52"/>
      <c r="AF71" s="52"/>
      <c r="AG71" s="53"/>
      <c r="AH71" s="53"/>
      <c r="AI71" s="53">
        <v>22.3</v>
      </c>
      <c r="AJ71" s="53"/>
      <c r="AK71" s="52"/>
      <c r="AL71" s="52"/>
      <c r="AM71" s="52"/>
      <c r="AN71" s="52"/>
      <c r="AO71" s="15">
        <f t="shared" si="17"/>
        <v>1.8000000000000007</v>
      </c>
      <c r="AP71" s="52"/>
      <c r="AQ71" s="52"/>
      <c r="AR71" s="1"/>
      <c r="AS71" s="1"/>
    </row>
    <row r="72" spans="1:45" ht="15.75" customHeight="1" outlineLevel="1">
      <c r="A72" s="82">
        <v>58</v>
      </c>
      <c r="B72" s="82" t="s">
        <v>46</v>
      </c>
      <c r="C72" s="82" t="s">
        <v>50</v>
      </c>
      <c r="D72" s="82"/>
      <c r="E72" s="83">
        <v>1.54</v>
      </c>
      <c r="F72" s="83">
        <v>19.329999999999998</v>
      </c>
      <c r="G72" s="83">
        <v>0.09</v>
      </c>
      <c r="H72" s="83">
        <v>14.54</v>
      </c>
      <c r="I72" s="84">
        <v>21.3</v>
      </c>
      <c r="J72" s="84">
        <v>5.9500000000000073</v>
      </c>
      <c r="K72" s="84"/>
      <c r="L72" s="85">
        <v>3.1824999999999974</v>
      </c>
      <c r="M72" s="86">
        <v>3.167500000000004</v>
      </c>
      <c r="N72" s="85">
        <f t="shared" si="13"/>
        <v>3.1750000000000007</v>
      </c>
      <c r="O72" s="87">
        <v>21.1</v>
      </c>
      <c r="P72" s="85"/>
      <c r="Q72" s="85">
        <v>3.457499999999996</v>
      </c>
      <c r="R72" s="82">
        <v>3.7166666666666686</v>
      </c>
      <c r="S72" s="85">
        <f t="shared" si="14"/>
        <v>3.5870833333333323</v>
      </c>
      <c r="T72" s="86">
        <v>22</v>
      </c>
      <c r="U72" s="82"/>
      <c r="V72" s="86">
        <f t="shared" si="15"/>
        <v>5.5</v>
      </c>
      <c r="W72" s="85">
        <v>3.3533333333333339</v>
      </c>
      <c r="X72" s="88">
        <f t="shared" si="16"/>
        <v>4.4266666666666667</v>
      </c>
      <c r="Y72" s="85">
        <v>21.8</v>
      </c>
      <c r="Z72" s="82"/>
      <c r="AA72" s="85"/>
      <c r="AB72" s="85"/>
      <c r="AC72" s="82">
        <v>3.55</v>
      </c>
      <c r="AD72" s="82">
        <v>21.2</v>
      </c>
      <c r="AE72" s="82"/>
      <c r="AF72" s="82"/>
      <c r="AG72" s="89"/>
      <c r="AH72" s="89"/>
      <c r="AI72" s="89">
        <v>22.2</v>
      </c>
      <c r="AJ72" s="89"/>
      <c r="AK72" s="82"/>
      <c r="AL72" s="82"/>
      <c r="AM72" s="82"/>
      <c r="AN72" s="82"/>
      <c r="AO72" s="82">
        <f t="shared" si="17"/>
        <v>0.89999999999999858</v>
      </c>
      <c r="AP72" s="82"/>
      <c r="AQ72" s="82"/>
      <c r="AR72" s="90"/>
      <c r="AS72" s="90"/>
    </row>
    <row r="73" spans="1:45" ht="15.75" customHeight="1" outlineLevel="1">
      <c r="A73" s="82">
        <v>59</v>
      </c>
      <c r="B73" s="82" t="s">
        <v>46</v>
      </c>
      <c r="C73" s="82" t="s">
        <v>50</v>
      </c>
      <c r="D73" s="82"/>
      <c r="E73" s="83">
        <v>1.37</v>
      </c>
      <c r="F73" s="83">
        <v>19.54</v>
      </c>
      <c r="G73" s="83">
        <v>0.09</v>
      </c>
      <c r="H73" s="83">
        <v>14.23</v>
      </c>
      <c r="I73" s="84">
        <v>21.3</v>
      </c>
      <c r="J73" s="84">
        <v>6.16</v>
      </c>
      <c r="K73" s="84"/>
      <c r="L73" s="85">
        <v>5.4499999999999957</v>
      </c>
      <c r="M73" s="86">
        <v>4.1524999999999963</v>
      </c>
      <c r="N73" s="85">
        <f t="shared" si="13"/>
        <v>4.801249999999996</v>
      </c>
      <c r="O73" s="87">
        <v>21.7</v>
      </c>
      <c r="P73" s="85"/>
      <c r="Q73" s="85">
        <v>2.7225000000000037</v>
      </c>
      <c r="R73" s="82">
        <v>3.1333333333333351</v>
      </c>
      <c r="S73" s="85">
        <f t="shared" si="14"/>
        <v>2.9279166666666692</v>
      </c>
      <c r="T73" s="86">
        <v>21.5</v>
      </c>
      <c r="U73" s="82"/>
      <c r="V73" s="86">
        <f t="shared" si="15"/>
        <v>5.375</v>
      </c>
      <c r="W73" s="85">
        <v>3.8100000000000023</v>
      </c>
      <c r="X73" s="88">
        <f t="shared" si="16"/>
        <v>4.5925000000000011</v>
      </c>
      <c r="Y73" s="85">
        <v>21.9</v>
      </c>
      <c r="Z73" s="82"/>
      <c r="AA73" s="85"/>
      <c r="AB73" s="85"/>
      <c r="AC73" s="82">
        <v>3.7199999999999989</v>
      </c>
      <c r="AD73" s="82">
        <v>21.7</v>
      </c>
      <c r="AE73" s="82"/>
      <c r="AF73" s="82"/>
      <c r="AG73" s="89"/>
      <c r="AH73" s="89"/>
      <c r="AI73" s="89">
        <v>22.1</v>
      </c>
      <c r="AJ73" s="89"/>
      <c r="AK73" s="82"/>
      <c r="AL73" s="82"/>
      <c r="AM73" s="82"/>
      <c r="AN73" s="82"/>
      <c r="AO73" s="82">
        <f t="shared" si="17"/>
        <v>0.80000000000000071</v>
      </c>
      <c r="AP73" s="82"/>
      <c r="AQ73" s="82"/>
      <c r="AR73" s="90"/>
      <c r="AS73" s="90"/>
    </row>
    <row r="74" spans="1:45" ht="15.75" customHeight="1" outlineLevel="1">
      <c r="A74" s="82">
        <v>60</v>
      </c>
      <c r="B74" s="82" t="s">
        <v>46</v>
      </c>
      <c r="C74" s="82" t="s">
        <v>50</v>
      </c>
      <c r="D74" s="82"/>
      <c r="E74" s="83">
        <v>1.07</v>
      </c>
      <c r="F74" s="83">
        <v>20.149999999999999</v>
      </c>
      <c r="G74" s="83">
        <v>0.06</v>
      </c>
      <c r="H74" s="83">
        <v>14.93</v>
      </c>
      <c r="I74" s="84">
        <v>23</v>
      </c>
      <c r="J74" s="84">
        <v>6.81</v>
      </c>
      <c r="K74" s="84"/>
      <c r="L74" s="85">
        <v>3.6649999999999991</v>
      </c>
      <c r="M74" s="86">
        <v>2.7399999999999949</v>
      </c>
      <c r="N74" s="85">
        <f t="shared" si="13"/>
        <v>3.202499999999997</v>
      </c>
      <c r="O74" s="87">
        <v>22.3</v>
      </c>
      <c r="P74" s="85"/>
      <c r="Q74" s="85">
        <v>2.6350000000000051</v>
      </c>
      <c r="R74" s="82">
        <v>4.5166666666666613</v>
      </c>
      <c r="S74" s="85">
        <f t="shared" si="14"/>
        <v>3.5758333333333332</v>
      </c>
      <c r="T74" s="86">
        <v>23</v>
      </c>
      <c r="U74" s="82"/>
      <c r="V74" s="86">
        <f t="shared" si="15"/>
        <v>5.75</v>
      </c>
      <c r="W74" s="85">
        <v>3.6866666666666674</v>
      </c>
      <c r="X74" s="88">
        <f t="shared" si="16"/>
        <v>4.7183333333333337</v>
      </c>
      <c r="Y74" s="85">
        <v>22.5</v>
      </c>
      <c r="Z74" s="82"/>
      <c r="AA74" s="85"/>
      <c r="AB74" s="85"/>
      <c r="AC74" s="82">
        <v>3.67</v>
      </c>
      <c r="AD74" s="82">
        <v>23</v>
      </c>
      <c r="AE74" s="82"/>
      <c r="AF74" s="82"/>
      <c r="AG74" s="89"/>
      <c r="AH74" s="89"/>
      <c r="AI74" s="89">
        <v>24.1</v>
      </c>
      <c r="AJ74" s="89"/>
      <c r="AK74" s="82"/>
      <c r="AL74" s="82"/>
      <c r="AM74" s="82"/>
      <c r="AN74" s="82"/>
      <c r="AO74" s="82">
        <f t="shared" si="17"/>
        <v>1.1000000000000014</v>
      </c>
      <c r="AP74" s="82"/>
      <c r="AQ74" s="82"/>
      <c r="AR74" s="90"/>
      <c r="AS74" s="90"/>
    </row>
    <row r="75" spans="1:45" ht="15.75" customHeight="1" outlineLevel="1">
      <c r="A75" s="15">
        <v>61</v>
      </c>
      <c r="B75" s="15" t="s">
        <v>51</v>
      </c>
      <c r="C75" s="15" t="s">
        <v>50</v>
      </c>
      <c r="D75" s="52"/>
      <c r="E75" s="91">
        <v>20.55</v>
      </c>
      <c r="F75" s="91">
        <v>28.72</v>
      </c>
      <c r="G75" s="91">
        <v>0.31</v>
      </c>
      <c r="H75" s="91">
        <v>19.579999999999998</v>
      </c>
      <c r="I75" s="92">
        <v>48.2</v>
      </c>
      <c r="J75" s="92">
        <v>4.45</v>
      </c>
      <c r="K75" s="92"/>
      <c r="L75" s="54">
        <v>2.1999999999999886</v>
      </c>
      <c r="M75" s="93">
        <v>3.2050000000000125</v>
      </c>
      <c r="N75" s="94">
        <f t="shared" si="13"/>
        <v>2.7025000000000006</v>
      </c>
      <c r="O75" s="95">
        <v>50.4</v>
      </c>
      <c r="P75" s="54"/>
      <c r="Q75" s="54">
        <v>4.4524999999999864</v>
      </c>
      <c r="R75" s="52">
        <v>5.3300000000000027</v>
      </c>
      <c r="S75" s="17">
        <f t="shared" si="14"/>
        <v>4.8912499999999941</v>
      </c>
      <c r="T75" s="93">
        <v>51.4</v>
      </c>
      <c r="U75" s="52"/>
      <c r="V75" s="18">
        <f t="shared" si="15"/>
        <v>12.85</v>
      </c>
      <c r="W75" s="54">
        <v>4.7166666666666588</v>
      </c>
      <c r="X75" s="96">
        <f t="shared" si="16"/>
        <v>8.7833333333333297</v>
      </c>
      <c r="Y75" s="54">
        <v>50.7</v>
      </c>
      <c r="Z75" s="52"/>
      <c r="AA75" s="54"/>
      <c r="AB75" s="54"/>
      <c r="AC75" s="52">
        <v>4.87</v>
      </c>
      <c r="AD75" s="52">
        <v>50.9</v>
      </c>
      <c r="AE75" s="52"/>
      <c r="AF75" s="52"/>
      <c r="AG75" s="53"/>
      <c r="AH75" s="53"/>
      <c r="AI75" s="53">
        <v>50.4</v>
      </c>
      <c r="AJ75" s="53"/>
      <c r="AK75" s="52"/>
      <c r="AL75" s="52"/>
      <c r="AM75" s="52"/>
      <c r="AN75" s="52"/>
      <c r="AO75" s="15">
        <f t="shared" si="17"/>
        <v>2.1999999999999957</v>
      </c>
      <c r="AP75" s="52"/>
      <c r="AQ75" s="52"/>
      <c r="AR75" s="1"/>
      <c r="AS75" s="1"/>
    </row>
    <row r="76" spans="1:45" ht="15.75" customHeight="1" outlineLevel="1">
      <c r="A76" s="97">
        <v>62</v>
      </c>
      <c r="B76" s="97" t="s">
        <v>51</v>
      </c>
      <c r="C76" s="97" t="s">
        <v>50</v>
      </c>
      <c r="D76" s="97"/>
      <c r="E76" s="98">
        <v>20.46</v>
      </c>
      <c r="F76" s="98">
        <v>29.43</v>
      </c>
      <c r="G76" s="98">
        <v>0.24</v>
      </c>
      <c r="H76" s="98">
        <v>21.3</v>
      </c>
      <c r="I76" s="99">
        <v>49.8</v>
      </c>
      <c r="J76" s="99">
        <v>6.5200000000000005</v>
      </c>
      <c r="K76" s="99"/>
      <c r="L76" s="100">
        <v>2.585000000000008</v>
      </c>
      <c r="M76" s="101">
        <v>3.9399999999999977</v>
      </c>
      <c r="N76" s="100">
        <f t="shared" si="13"/>
        <v>3.2625000000000028</v>
      </c>
      <c r="O76" s="102">
        <v>49.3</v>
      </c>
      <c r="P76" s="100"/>
      <c r="Q76" s="100">
        <v>3.2175000000000011</v>
      </c>
      <c r="R76" s="97">
        <v>4.5800000000000027</v>
      </c>
      <c r="S76" s="100">
        <f t="shared" si="14"/>
        <v>3.8987500000000019</v>
      </c>
      <c r="T76" s="101">
        <v>50.1</v>
      </c>
      <c r="U76" s="97"/>
      <c r="V76" s="101">
        <f t="shared" si="15"/>
        <v>12.525</v>
      </c>
      <c r="W76" s="100">
        <v>4.6166666666666645</v>
      </c>
      <c r="X76" s="103">
        <f t="shared" si="16"/>
        <v>8.5708333333333329</v>
      </c>
      <c r="Y76" s="100">
        <v>50</v>
      </c>
      <c r="Z76" s="97"/>
      <c r="AA76" s="100"/>
      <c r="AB76" s="100"/>
      <c r="AC76" s="97">
        <v>4.82</v>
      </c>
      <c r="AD76" s="97">
        <v>50</v>
      </c>
      <c r="AE76" s="97"/>
      <c r="AF76" s="97"/>
      <c r="AG76" s="104"/>
      <c r="AH76" s="104"/>
      <c r="AI76" s="104">
        <v>49.2</v>
      </c>
      <c r="AJ76" s="104"/>
      <c r="AK76" s="97"/>
      <c r="AL76" s="97"/>
      <c r="AM76" s="97"/>
      <c r="AN76" s="97"/>
      <c r="AO76" s="97">
        <f t="shared" si="17"/>
        <v>-0.59999999999999432</v>
      </c>
      <c r="AP76" s="97"/>
      <c r="AQ76" s="97"/>
      <c r="AR76" s="105"/>
      <c r="AS76" s="105"/>
    </row>
    <row r="77" spans="1:45" ht="15.75" customHeight="1" outlineLevel="1">
      <c r="A77" s="97">
        <v>63</v>
      </c>
      <c r="B77" s="97" t="s">
        <v>51</v>
      </c>
      <c r="C77" s="97" t="s">
        <v>50</v>
      </c>
      <c r="D77" s="97"/>
      <c r="E77" s="98">
        <v>22.04</v>
      </c>
      <c r="F77" s="98">
        <v>27.83</v>
      </c>
      <c r="G77" s="98">
        <v>0.15</v>
      </c>
      <c r="H77" s="98">
        <v>18.84</v>
      </c>
      <c r="I77" s="99">
        <v>49.3</v>
      </c>
      <c r="J77" s="99">
        <v>5.36</v>
      </c>
      <c r="K77" s="99"/>
      <c r="L77" s="100">
        <v>3.2025000000000006</v>
      </c>
      <c r="M77" s="101">
        <v>4.3474999999999966</v>
      </c>
      <c r="N77" s="100">
        <f t="shared" si="13"/>
        <v>3.7749999999999986</v>
      </c>
      <c r="O77" s="102">
        <v>48.4</v>
      </c>
      <c r="P77" s="100"/>
      <c r="Q77" s="100">
        <v>4.7325000000000017</v>
      </c>
      <c r="R77" s="97">
        <v>5.8933333333333353</v>
      </c>
      <c r="S77" s="100">
        <f t="shared" si="14"/>
        <v>5.3129166666666681</v>
      </c>
      <c r="T77" s="101">
        <v>50.3</v>
      </c>
      <c r="U77" s="97"/>
      <c r="V77" s="101">
        <f t="shared" si="15"/>
        <v>12.574999999999999</v>
      </c>
      <c r="W77" s="100">
        <v>4.2866666666666617</v>
      </c>
      <c r="X77" s="103">
        <f t="shared" si="16"/>
        <v>8.4308333333333305</v>
      </c>
      <c r="Y77" s="100">
        <v>50.7</v>
      </c>
      <c r="Z77" s="97"/>
      <c r="AA77" s="100"/>
      <c r="AB77" s="100"/>
      <c r="AC77" s="97">
        <v>4.8499999999999996</v>
      </c>
      <c r="AD77" s="97">
        <v>49.9</v>
      </c>
      <c r="AE77" s="97"/>
      <c r="AF77" s="97"/>
      <c r="AG77" s="106"/>
      <c r="AH77" s="104"/>
      <c r="AI77" s="104">
        <v>50.3</v>
      </c>
      <c r="AJ77" s="104"/>
      <c r="AK77" s="97"/>
      <c r="AL77" s="97"/>
      <c r="AM77" s="97"/>
      <c r="AN77" s="97"/>
      <c r="AO77" s="97">
        <f t="shared" si="17"/>
        <v>1</v>
      </c>
      <c r="AP77" s="97"/>
      <c r="AQ77" s="97"/>
      <c r="AR77" s="105"/>
      <c r="AS77" s="105"/>
    </row>
    <row r="78" spans="1:45" ht="15.75" customHeight="1" outlineLevel="1">
      <c r="A78" s="97">
        <v>64</v>
      </c>
      <c r="B78" s="97" t="s">
        <v>51</v>
      </c>
      <c r="C78" s="97" t="s">
        <v>50</v>
      </c>
      <c r="D78" s="97"/>
      <c r="E78" s="98">
        <v>20.95</v>
      </c>
      <c r="F78" s="98">
        <v>29.86</v>
      </c>
      <c r="G78" s="98">
        <v>0.17</v>
      </c>
      <c r="H78" s="98">
        <v>20.86</v>
      </c>
      <c r="I78" s="99">
        <v>50.4</v>
      </c>
      <c r="J78" s="99">
        <v>4.4900000000000091</v>
      </c>
      <c r="K78" s="99"/>
      <c r="L78" s="100">
        <v>2.7849999999999966</v>
      </c>
      <c r="M78" s="101">
        <v>2.1149999999999949</v>
      </c>
      <c r="N78" s="100">
        <f t="shared" si="13"/>
        <v>2.4499999999999957</v>
      </c>
      <c r="O78" s="102">
        <v>51.1</v>
      </c>
      <c r="P78" s="100"/>
      <c r="Q78" s="100">
        <v>2.6225000000000023</v>
      </c>
      <c r="R78" s="97">
        <v>4.1000000000000041</v>
      </c>
      <c r="S78" s="100">
        <f t="shared" si="14"/>
        <v>3.3612500000000032</v>
      </c>
      <c r="T78" s="101">
        <v>50.9</v>
      </c>
      <c r="U78" s="97"/>
      <c r="V78" s="101">
        <f t="shared" si="15"/>
        <v>12.725</v>
      </c>
      <c r="W78" s="100">
        <v>4.9033333333333262</v>
      </c>
      <c r="X78" s="103">
        <f t="shared" si="16"/>
        <v>8.8141666666666634</v>
      </c>
      <c r="Y78" s="100">
        <v>49.1</v>
      </c>
      <c r="Z78" s="97"/>
      <c r="AA78" s="100"/>
      <c r="AB78" s="100"/>
      <c r="AC78" s="97">
        <v>4.6100000000000003</v>
      </c>
      <c r="AD78" s="97">
        <v>47.8</v>
      </c>
      <c r="AE78" s="97"/>
      <c r="AF78" s="97"/>
      <c r="AG78" s="104"/>
      <c r="AH78" s="104"/>
      <c r="AI78" s="104">
        <v>46.8</v>
      </c>
      <c r="AJ78" s="104"/>
      <c r="AK78" s="97"/>
      <c r="AL78" s="97"/>
      <c r="AM78" s="97"/>
      <c r="AN78" s="97"/>
      <c r="AO78" s="97">
        <f t="shared" si="17"/>
        <v>-3.6000000000000014</v>
      </c>
      <c r="AP78" s="97"/>
      <c r="AQ78" s="97"/>
      <c r="AR78" s="105"/>
      <c r="AS78" s="105"/>
    </row>
    <row r="79" spans="1:45" ht="15.75" customHeight="1" outlineLevel="1">
      <c r="A79" s="97">
        <v>65</v>
      </c>
      <c r="B79" s="97" t="s">
        <v>51</v>
      </c>
      <c r="C79" s="97" t="s">
        <v>50</v>
      </c>
      <c r="D79" s="97"/>
      <c r="E79" s="98">
        <v>23.24</v>
      </c>
      <c r="F79" s="98">
        <v>33.090000000000003</v>
      </c>
      <c r="G79" s="98">
        <v>0.43</v>
      </c>
      <c r="H79" s="98">
        <v>23.85</v>
      </c>
      <c r="I79" s="99">
        <v>56.5</v>
      </c>
      <c r="J79" s="99">
        <v>5.87</v>
      </c>
      <c r="K79" s="99"/>
      <c r="L79" s="100">
        <v>3.5499999999999972</v>
      </c>
      <c r="M79" s="101">
        <v>7.917500000000004</v>
      </c>
      <c r="N79" s="100">
        <f t="shared" si="13"/>
        <v>5.7337500000000006</v>
      </c>
      <c r="O79" s="102">
        <v>56.8</v>
      </c>
      <c r="P79" s="100"/>
      <c r="Q79" s="100">
        <v>4.0049999999999955</v>
      </c>
      <c r="R79" s="97">
        <v>5.3000000000000016</v>
      </c>
      <c r="S79" s="100">
        <f t="shared" si="14"/>
        <v>4.6524999999999981</v>
      </c>
      <c r="T79" s="101">
        <v>57.2</v>
      </c>
      <c r="U79" s="97"/>
      <c r="V79" s="101">
        <f t="shared" si="15"/>
        <v>14.3</v>
      </c>
      <c r="W79" s="100">
        <v>5.4399999999999977</v>
      </c>
      <c r="X79" s="103">
        <f t="shared" si="16"/>
        <v>9.8699999999999992</v>
      </c>
      <c r="Y79" s="100">
        <v>57.4</v>
      </c>
      <c r="Z79" s="97"/>
      <c r="AA79" s="100"/>
      <c r="AB79" s="100"/>
      <c r="AC79" s="97">
        <v>5.81</v>
      </c>
      <c r="AD79" s="97">
        <v>58.2</v>
      </c>
      <c r="AE79" s="97"/>
      <c r="AF79" s="97"/>
      <c r="AG79" s="104"/>
      <c r="AH79" s="104"/>
      <c r="AI79" s="104">
        <v>57</v>
      </c>
      <c r="AJ79" s="104"/>
      <c r="AK79" s="97"/>
      <c r="AL79" s="97"/>
      <c r="AM79" s="97"/>
      <c r="AN79" s="97"/>
      <c r="AO79" s="97">
        <f t="shared" si="17"/>
        <v>0.5</v>
      </c>
      <c r="AP79" s="97"/>
      <c r="AQ79" s="97"/>
      <c r="AR79" s="105"/>
      <c r="AS79" s="105"/>
    </row>
    <row r="80" spans="1:45" ht="15.75" customHeight="1" outlineLevel="1">
      <c r="A80" s="15">
        <v>66</v>
      </c>
      <c r="B80" s="15" t="s">
        <v>51</v>
      </c>
      <c r="C80" s="15" t="s">
        <v>50</v>
      </c>
      <c r="D80" s="52"/>
      <c r="E80" s="91">
        <v>23.68</v>
      </c>
      <c r="F80" s="91">
        <v>32.14</v>
      </c>
      <c r="G80" s="91">
        <v>0.41</v>
      </c>
      <c r="H80" s="91">
        <v>24.15</v>
      </c>
      <c r="I80" s="92">
        <v>54.5</v>
      </c>
      <c r="J80" s="92">
        <v>4.91</v>
      </c>
      <c r="K80" s="92"/>
      <c r="L80" s="54">
        <v>5.3924999999999983</v>
      </c>
      <c r="M80" s="93">
        <v>4.9074999999999989</v>
      </c>
      <c r="N80" s="94">
        <f t="shared" si="13"/>
        <v>5.1499999999999986</v>
      </c>
      <c r="O80" s="95">
        <v>58.4</v>
      </c>
      <c r="P80" s="56"/>
      <c r="Q80" s="54">
        <v>5.6400000000000006</v>
      </c>
      <c r="R80" s="52">
        <v>5.8733333333333348</v>
      </c>
      <c r="S80" s="17">
        <f t="shared" si="14"/>
        <v>5.7566666666666677</v>
      </c>
      <c r="T80" s="93">
        <v>60.8</v>
      </c>
      <c r="U80" s="52"/>
      <c r="V80" s="18">
        <f t="shared" si="15"/>
        <v>15.2</v>
      </c>
      <c r="W80" s="54">
        <v>5.666666666666667</v>
      </c>
      <c r="X80" s="96">
        <f t="shared" si="16"/>
        <v>10.433333333333334</v>
      </c>
      <c r="Y80" s="54">
        <v>61.9</v>
      </c>
      <c r="Z80" s="52"/>
      <c r="AA80" s="54"/>
      <c r="AB80" s="54"/>
      <c r="AC80" s="52">
        <v>5.83</v>
      </c>
      <c r="AD80" s="52">
        <v>62.7</v>
      </c>
      <c r="AE80" s="52"/>
      <c r="AF80" s="52"/>
      <c r="AG80" s="53"/>
      <c r="AH80" s="53"/>
      <c r="AI80" s="53">
        <v>61.6</v>
      </c>
      <c r="AJ80" s="53"/>
      <c r="AK80" s="52"/>
      <c r="AL80" s="52"/>
      <c r="AM80" s="52"/>
      <c r="AN80" s="52"/>
      <c r="AO80" s="15">
        <f t="shared" si="17"/>
        <v>7.1000000000000014</v>
      </c>
      <c r="AP80" s="52"/>
      <c r="AQ80" s="52"/>
      <c r="AR80" s="1"/>
      <c r="AS80" s="1"/>
    </row>
    <row r="81" spans="1:45" ht="15.75" customHeight="1" outlineLevel="1">
      <c r="A81" s="15">
        <v>67</v>
      </c>
      <c r="B81" s="15" t="s">
        <v>51</v>
      </c>
      <c r="C81" s="15" t="s">
        <v>50</v>
      </c>
      <c r="D81" s="52"/>
      <c r="E81" s="91">
        <v>14.55</v>
      </c>
      <c r="F81" s="91">
        <v>27.67</v>
      </c>
      <c r="G81" s="91">
        <v>0.21</v>
      </c>
      <c r="H81" s="91">
        <v>19</v>
      </c>
      <c r="I81" s="92">
        <v>41.7</v>
      </c>
      <c r="J81" s="92">
        <v>3.95</v>
      </c>
      <c r="K81" s="92"/>
      <c r="L81" s="54">
        <v>3.7475000000000023</v>
      </c>
      <c r="M81" s="93">
        <v>3.7224999999999966</v>
      </c>
      <c r="N81" s="94">
        <f t="shared" si="13"/>
        <v>3.7349999999999994</v>
      </c>
      <c r="O81" s="95">
        <v>43.5</v>
      </c>
      <c r="P81" s="54"/>
      <c r="Q81" s="54">
        <v>4.4075000000000131</v>
      </c>
      <c r="R81" s="52">
        <v>5.5633333333333228</v>
      </c>
      <c r="S81" s="17">
        <f t="shared" si="14"/>
        <v>4.9854166666666675</v>
      </c>
      <c r="T81" s="93">
        <v>44.4</v>
      </c>
      <c r="U81" s="52"/>
      <c r="V81" s="18">
        <f t="shared" si="15"/>
        <v>11.1</v>
      </c>
      <c r="W81" s="54">
        <v>5.1366666666666658</v>
      </c>
      <c r="X81" s="96">
        <f t="shared" si="16"/>
        <v>8.1183333333333323</v>
      </c>
      <c r="Y81" s="54">
        <v>46.3</v>
      </c>
      <c r="Z81" s="52"/>
      <c r="AA81" s="54"/>
      <c r="AB81" s="54"/>
      <c r="AC81" s="52">
        <v>5.05</v>
      </c>
      <c r="AD81" s="52">
        <v>47</v>
      </c>
      <c r="AE81" s="52"/>
      <c r="AF81" s="52"/>
      <c r="AG81" s="53"/>
      <c r="AH81" s="53"/>
      <c r="AI81" s="53">
        <v>47.1</v>
      </c>
      <c r="AJ81" s="53"/>
      <c r="AK81" s="52"/>
      <c r="AL81" s="52"/>
      <c r="AM81" s="52"/>
      <c r="AN81" s="52"/>
      <c r="AO81" s="15">
        <f t="shared" si="17"/>
        <v>5.3999999999999986</v>
      </c>
      <c r="AP81" s="52"/>
      <c r="AQ81" s="52"/>
      <c r="AR81" s="1"/>
      <c r="AS81" s="1"/>
    </row>
    <row r="82" spans="1:45" ht="15.75" customHeight="1" outlineLevel="1">
      <c r="A82" s="15">
        <v>68</v>
      </c>
      <c r="B82" s="15" t="s">
        <v>51</v>
      </c>
      <c r="C82" s="15" t="s">
        <v>50</v>
      </c>
      <c r="D82" s="52"/>
      <c r="E82" s="91">
        <v>22.21</v>
      </c>
      <c r="F82" s="91">
        <v>30.2</v>
      </c>
      <c r="G82" s="91">
        <v>0.28999999999999998</v>
      </c>
      <c r="H82" s="91">
        <v>20.71</v>
      </c>
      <c r="I82" s="92">
        <v>51.5</v>
      </c>
      <c r="J82" s="92">
        <v>7.9099999999999868</v>
      </c>
      <c r="K82" s="92"/>
      <c r="L82" s="54">
        <v>5.0750000000000028</v>
      </c>
      <c r="M82" s="93">
        <v>4.3075000000000045</v>
      </c>
      <c r="N82" s="94">
        <f t="shared" si="13"/>
        <v>4.6912500000000037</v>
      </c>
      <c r="O82" s="95">
        <v>53.1</v>
      </c>
      <c r="P82" s="54"/>
      <c r="Q82" s="54">
        <v>4.7774999999999963</v>
      </c>
      <c r="R82" s="52">
        <v>4.7900000000000018</v>
      </c>
      <c r="S82" s="17">
        <f t="shared" si="14"/>
        <v>4.7837499999999995</v>
      </c>
      <c r="T82" s="93">
        <v>53.1</v>
      </c>
      <c r="U82" s="52"/>
      <c r="V82" s="18">
        <f t="shared" si="15"/>
        <v>13.275</v>
      </c>
      <c r="W82" s="54">
        <v>5.2633333333333399</v>
      </c>
      <c r="X82" s="96">
        <f t="shared" si="16"/>
        <v>9.2691666666666706</v>
      </c>
      <c r="Y82" s="54">
        <v>51.8</v>
      </c>
      <c r="Z82" s="52"/>
      <c r="AA82" s="54"/>
      <c r="AB82" s="54"/>
      <c r="AC82" s="52">
        <v>4.589999999999999</v>
      </c>
      <c r="AD82" s="52">
        <v>53.4</v>
      </c>
      <c r="AE82" s="52"/>
      <c r="AF82" s="52"/>
      <c r="AG82" s="53"/>
      <c r="AH82" s="53"/>
      <c r="AI82" s="53">
        <v>54.4</v>
      </c>
      <c r="AJ82" s="53"/>
      <c r="AK82" s="52"/>
      <c r="AL82" s="52"/>
      <c r="AM82" s="52"/>
      <c r="AN82" s="52"/>
      <c r="AO82" s="15">
        <f t="shared" si="17"/>
        <v>2.8999999999999986</v>
      </c>
      <c r="AP82" s="52"/>
      <c r="AQ82" s="52"/>
      <c r="AR82" s="1"/>
      <c r="AS82" s="1"/>
    </row>
    <row r="83" spans="1:45" ht="15.75" customHeight="1" outlineLevel="1">
      <c r="A83" s="97">
        <v>69</v>
      </c>
      <c r="B83" s="97" t="s">
        <v>51</v>
      </c>
      <c r="C83" s="97" t="s">
        <v>50</v>
      </c>
      <c r="D83" s="97"/>
      <c r="E83" s="98">
        <v>21</v>
      </c>
      <c r="F83" s="98">
        <v>29.91</v>
      </c>
      <c r="G83" s="98">
        <v>0.25</v>
      </c>
      <c r="H83" s="98">
        <v>20.82</v>
      </c>
      <c r="I83" s="99">
        <v>49.9</v>
      </c>
      <c r="J83" s="99">
        <v>5.5</v>
      </c>
      <c r="K83" s="99"/>
      <c r="L83" s="100">
        <v>3.7324999999999875</v>
      </c>
      <c r="M83" s="101">
        <v>4.4025000000000034</v>
      </c>
      <c r="N83" s="100">
        <f t="shared" si="13"/>
        <v>4.0674999999999955</v>
      </c>
      <c r="O83" s="102">
        <v>48.5</v>
      </c>
      <c r="P83" s="100"/>
      <c r="Q83" s="100">
        <v>4.5275000000000034</v>
      </c>
      <c r="R83" s="97">
        <v>5.3300000000000027</v>
      </c>
      <c r="S83" s="100">
        <f t="shared" si="14"/>
        <v>4.9287500000000026</v>
      </c>
      <c r="T83" s="101">
        <v>50.6</v>
      </c>
      <c r="U83" s="97"/>
      <c r="V83" s="101">
        <f t="shared" si="15"/>
        <v>12.65</v>
      </c>
      <c r="W83" s="100">
        <v>5.2199999999999989</v>
      </c>
      <c r="X83" s="103">
        <f t="shared" si="16"/>
        <v>8.9349999999999987</v>
      </c>
      <c r="Y83" s="100">
        <v>51.4</v>
      </c>
      <c r="Z83" s="97"/>
      <c r="AA83" s="100"/>
      <c r="AB83" s="100"/>
      <c r="AC83" s="97">
        <v>5.37</v>
      </c>
      <c r="AD83" s="97">
        <v>51.8</v>
      </c>
      <c r="AE83" s="97"/>
      <c r="AF83" s="97"/>
      <c r="AG83" s="104"/>
      <c r="AH83" s="104"/>
      <c r="AI83" s="104">
        <v>49.4</v>
      </c>
      <c r="AJ83" s="104"/>
      <c r="AK83" s="97"/>
      <c r="AL83" s="97"/>
      <c r="AM83" s="97"/>
      <c r="AN83" s="97"/>
      <c r="AO83" s="97">
        <f t="shared" si="17"/>
        <v>-0.5</v>
      </c>
      <c r="AP83" s="97"/>
      <c r="AQ83" s="97"/>
      <c r="AR83" s="105"/>
      <c r="AS83" s="105"/>
    </row>
    <row r="84" spans="1:45" ht="15.75" customHeight="1" outlineLevel="1">
      <c r="A84" s="15">
        <v>70</v>
      </c>
      <c r="B84" s="15" t="s">
        <v>51</v>
      </c>
      <c r="C84" s="15" t="s">
        <v>50</v>
      </c>
      <c r="D84" s="52"/>
      <c r="E84" s="91">
        <v>16.95</v>
      </c>
      <c r="F84" s="91">
        <v>28.18</v>
      </c>
      <c r="G84" s="91">
        <v>0.15</v>
      </c>
      <c r="H84" s="91">
        <v>19.149999999999999</v>
      </c>
      <c r="I84" s="92">
        <v>46.2</v>
      </c>
      <c r="J84" s="92">
        <v>7.5799999999999841</v>
      </c>
      <c r="K84" s="92"/>
      <c r="L84" s="54">
        <v>4.9000000000000057</v>
      </c>
      <c r="M84" s="93">
        <v>4.3250000000000028</v>
      </c>
      <c r="N84" s="94">
        <f t="shared" si="13"/>
        <v>4.6125000000000043</v>
      </c>
      <c r="O84" s="95">
        <v>45</v>
      </c>
      <c r="P84" s="54"/>
      <c r="Q84" s="54">
        <v>4.7199999999999989</v>
      </c>
      <c r="R84" s="52">
        <v>6.333333333333333</v>
      </c>
      <c r="S84" s="17">
        <f t="shared" si="14"/>
        <v>5.5266666666666655</v>
      </c>
      <c r="T84" s="93">
        <v>47.3</v>
      </c>
      <c r="U84" s="52"/>
      <c r="V84" s="18">
        <f t="shared" si="15"/>
        <v>11.824999999999999</v>
      </c>
      <c r="W84" s="54">
        <v>4.9933333333333296</v>
      </c>
      <c r="X84" s="96">
        <f t="shared" si="16"/>
        <v>8.409166666666664</v>
      </c>
      <c r="Y84" s="54">
        <v>48.1</v>
      </c>
      <c r="Z84" s="52"/>
      <c r="AA84" s="54"/>
      <c r="AB84" s="54"/>
      <c r="AC84" s="52">
        <v>5.28</v>
      </c>
      <c r="AD84" s="52">
        <v>47.3</v>
      </c>
      <c r="AE84" s="52"/>
      <c r="AF84" s="52"/>
      <c r="AG84" s="53"/>
      <c r="AH84" s="53"/>
      <c r="AI84" s="53">
        <v>46.6</v>
      </c>
      <c r="AJ84" s="53"/>
      <c r="AK84" s="52"/>
      <c r="AL84" s="52"/>
      <c r="AM84" s="52"/>
      <c r="AN84" s="52"/>
      <c r="AO84" s="15">
        <f t="shared" si="17"/>
        <v>0.39999999999999858</v>
      </c>
      <c r="AP84" s="52"/>
      <c r="AQ84" s="52"/>
      <c r="AR84" s="1"/>
      <c r="AS84" s="1"/>
    </row>
    <row r="85" spans="1:45" ht="15.75" customHeight="1" outlineLevel="1">
      <c r="A85" s="107">
        <v>71</v>
      </c>
      <c r="B85" s="107" t="s">
        <v>51</v>
      </c>
      <c r="C85" s="97" t="s">
        <v>50</v>
      </c>
      <c r="D85" s="97"/>
      <c r="E85" s="98">
        <v>23.14</v>
      </c>
      <c r="F85" s="98">
        <v>32.479999999999997</v>
      </c>
      <c r="G85" s="98">
        <v>0.32</v>
      </c>
      <c r="H85" s="98">
        <v>22.78</v>
      </c>
      <c r="I85" s="99">
        <v>54.9</v>
      </c>
      <c r="J85" s="99">
        <v>6.26</v>
      </c>
      <c r="K85" s="99"/>
      <c r="L85" s="100">
        <v>4.625</v>
      </c>
      <c r="M85" s="101">
        <v>5.0825000000000031</v>
      </c>
      <c r="N85" s="100">
        <f t="shared" si="13"/>
        <v>4.8537500000000016</v>
      </c>
      <c r="O85" s="102">
        <v>56.7</v>
      </c>
      <c r="P85" s="100"/>
      <c r="Q85" s="100">
        <v>5</v>
      </c>
      <c r="R85" s="97">
        <v>5.7233333333333292</v>
      </c>
      <c r="S85" s="100">
        <f t="shared" si="14"/>
        <v>5.3616666666666646</v>
      </c>
      <c r="T85" s="101">
        <v>58.2</v>
      </c>
      <c r="U85" s="97"/>
      <c r="V85" s="101">
        <f t="shared" si="15"/>
        <v>14.55</v>
      </c>
      <c r="W85" s="100">
        <v>6.25</v>
      </c>
      <c r="X85" s="103">
        <f t="shared" si="16"/>
        <v>10.4</v>
      </c>
      <c r="Y85" s="100">
        <v>59.9</v>
      </c>
      <c r="Z85" s="97"/>
      <c r="AA85" s="100"/>
      <c r="AB85" s="100"/>
      <c r="AC85" s="97">
        <v>6.02</v>
      </c>
      <c r="AD85" s="97">
        <v>59.9</v>
      </c>
      <c r="AE85" s="97"/>
      <c r="AF85" s="97"/>
      <c r="AG85" s="104"/>
      <c r="AH85" s="104"/>
      <c r="AI85" s="104">
        <v>57.3</v>
      </c>
      <c r="AJ85" s="104"/>
      <c r="AK85" s="97"/>
      <c r="AL85" s="97"/>
      <c r="AM85" s="97"/>
      <c r="AN85" s="97"/>
      <c r="AO85" s="97">
        <f t="shared" si="17"/>
        <v>2.3999999999999986</v>
      </c>
      <c r="AP85" s="97"/>
      <c r="AQ85" s="97"/>
      <c r="AR85" s="105"/>
      <c r="AS85" s="105"/>
    </row>
    <row r="86" spans="1:4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spans="1:4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spans="1:4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spans="1:4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spans="1:4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spans="1:4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spans="1:4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spans="1:4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spans="1:4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spans="1:4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spans="1:4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spans="1:4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spans="1:4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spans="1:4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spans="1:4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spans="1:4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spans="1:4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spans="1:4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spans="1:4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spans="1:4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spans="1:4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spans="1:4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spans="1:4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spans="1:4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spans="1:4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spans="1:4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spans="1:4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spans="1:4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spans="1:4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spans="1:4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spans="1:4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spans="1:4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spans="1:4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spans="1:4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spans="1:4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spans="1:4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spans="1:4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spans="1:4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spans="1:4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spans="1:4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spans="1:4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spans="1:4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spans="1:4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spans="1:4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spans="1:4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spans="1: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spans="1:4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spans="1:4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spans="1:4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spans="1:4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spans="1:4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spans="1:4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spans="1:4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spans="1:4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spans="1:4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spans="1:4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spans="1:4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spans="1:4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spans="1:4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spans="1:4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spans="1:4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spans="1:4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spans="1:4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spans="1:4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spans="1:4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spans="1:4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spans="1:4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spans="1:4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spans="1:4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spans="1:4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spans="1:4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spans="1:4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spans="1:4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spans="1:4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spans="1:4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spans="1:4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spans="1:4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spans="1:4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spans="1:4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spans="1:4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spans="1:4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spans="1:4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spans="1:4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spans="1:4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spans="1:4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spans="1:4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spans="1:4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spans="1:4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spans="1:4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spans="1:4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spans="1:4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spans="1:4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spans="1:4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spans="1:4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spans="1:4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spans="1:4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spans="1:4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spans="1:4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spans="1:4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spans="1:4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spans="1:4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spans="1:4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spans="1:4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spans="1:4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spans="1:4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spans="1:4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spans="1:4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spans="1:4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spans="1:4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spans="1:4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spans="1:4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spans="1:4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spans="1:4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spans="1:4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spans="1:4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spans="1:4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spans="1:4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spans="1:4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spans="1:4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spans="1:4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spans="1:4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spans="1:4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spans="1:4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spans="1:4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spans="1:4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spans="1:4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spans="1:4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spans="1:4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spans="1:4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spans="1:4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spans="1:4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spans="1:4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spans="1:4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spans="1:4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spans="1:4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spans="1:4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spans="1:4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spans="1:4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spans="1:4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spans="1:4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spans="1:4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spans="1:4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spans="1:4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spans="1:4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spans="1:4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spans="1: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spans="1:4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spans="1:4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spans="1:4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spans="1:4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spans="1:4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spans="1:4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spans="1:4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spans="1:4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spans="1:4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spans="1:4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spans="1:4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spans="1:4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spans="1:4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spans="1:4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spans="1:4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spans="1:4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spans="1:4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spans="1:4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spans="1:4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spans="1:4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spans="1:4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spans="1:4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spans="1:4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spans="1:4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spans="1:4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spans="1:4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spans="1:4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spans="1:4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spans="1:4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spans="1:4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spans="1:4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spans="1:4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spans="1:4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spans="1:4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spans="1:4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spans="1:4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spans="1:4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spans="1:4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spans="1:4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spans="1:4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spans="1:4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spans="1:4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spans="1:4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spans="1:4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spans="1:4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spans="1:4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spans="1:4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spans="1:4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spans="1:4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spans="1:4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spans="1:4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spans="1:4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spans="1:4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spans="1:4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spans="1:4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spans="1:4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spans="1:4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spans="1:4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spans="1:4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spans="1:4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spans="1:4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spans="1:4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spans="1:4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spans="1:4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spans="1:4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spans="1:4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spans="1:4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spans="1:4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spans="1:4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spans="1:4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spans="1:4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spans="1:4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spans="1:4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spans="1:4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spans="1:4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spans="1:4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spans="1:4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spans="1:4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spans="1:4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spans="1:4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spans="1:4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spans="1:4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spans="1:4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spans="1:4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spans="1:4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spans="1:4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spans="1:4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spans="1:4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spans="1:4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spans="1:4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spans="1:4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spans="1:4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spans="1:4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spans="1:4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spans="1:4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spans="1:4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spans="1:4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spans="1:4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spans="1:4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spans="1: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spans="1:4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spans="1:4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spans="1:4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spans="1:4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spans="1:4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spans="1:4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spans="1:4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spans="1:4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spans="1:4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spans="1:4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spans="1:4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spans="1:4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spans="1:4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spans="1:4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spans="1:4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spans="1:4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spans="1:4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spans="1:4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spans="1:4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spans="1:4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spans="1:4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spans="1:4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spans="1:4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spans="1:4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spans="1:4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spans="1:4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spans="1:4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spans="1:4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spans="1:4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spans="1:4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spans="1:4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spans="1:4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spans="1:4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spans="1:4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spans="1:4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spans="1:4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spans="1:4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spans="1:4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spans="1:4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spans="1:4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spans="1:4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spans="1:4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spans="1:4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spans="1:4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spans="1:4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spans="1:4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spans="1:4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spans="1:4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spans="1:4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spans="1:4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spans="1:4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spans="1:4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spans="1:4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spans="1:4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spans="1:4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spans="1:4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spans="1:4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spans="1:4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spans="1:4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spans="1:4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spans="1:4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spans="1:4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spans="1:4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spans="1:4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spans="1:4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spans="1:4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spans="1:4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spans="1:4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spans="1:4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spans="1:4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spans="1:4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spans="1:4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spans="1:4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spans="1:4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spans="1:4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spans="1:4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spans="1:4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spans="1:4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spans="1:4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spans="1:4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spans="1:4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spans="1:4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spans="1:4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spans="1:4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spans="1:4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spans="1:4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spans="1:4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spans="1:4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spans="1:4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spans="1:4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spans="1:4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spans="1:4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spans="1:4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spans="1:4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spans="1:4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spans="1:4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spans="1:4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spans="1:4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spans="1:4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spans="1: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spans="1:4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spans="1:4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spans="1:4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spans="1:4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spans="1:4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spans="1:4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spans="1:4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spans="1:4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spans="1:4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spans="1:4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spans="1:4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spans="1:4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spans="1:4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spans="1:4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spans="1:4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spans="1:4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spans="1:4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spans="1:4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spans="1:4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spans="1:4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spans="1:4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spans="1:4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spans="1:4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spans="1:4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spans="1:4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spans="1:4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spans="1:4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spans="1:4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spans="1:4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spans="1:4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spans="1:4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spans="1:4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spans="1:4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spans="1:4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spans="1:4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spans="1:4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spans="1:4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spans="1:4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spans="1:4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spans="1:4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spans="1:4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spans="1:4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spans="1:4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spans="1:4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spans="1:4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spans="1:4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spans="1:4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spans="1:4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spans="1:4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spans="1:4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spans="1:4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spans="1:4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spans="1:4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spans="1:4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spans="1:4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spans="1:4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spans="1:4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spans="1:4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spans="1:4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spans="1:4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spans="1:4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spans="1:4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spans="1:4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spans="1:4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spans="1:4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spans="1:4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spans="1:4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spans="1:4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spans="1:4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spans="1:4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spans="1:4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spans="1:4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spans="1:4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spans="1:4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spans="1:4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spans="1:4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spans="1:4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spans="1:4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spans="1:4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spans="1:4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spans="1:4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spans="1:4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spans="1:4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spans="1:4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spans="1:4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spans="1:4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spans="1:4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spans="1:4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spans="1:4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spans="1:4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spans="1:4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spans="1:4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spans="1:4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spans="1:4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spans="1:4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spans="1:4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spans="1:4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spans="1:4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spans="1:4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spans="1: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spans="1:4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spans="1:4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spans="1:4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spans="1:4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spans="1:4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spans="1:4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spans="1:4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spans="1:4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spans="1:4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spans="1:4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spans="1:4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spans="1:4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spans="1:4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spans="1:4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spans="1:4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spans="1:4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spans="1:4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spans="1:4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spans="1:4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spans="1:4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spans="1:4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spans="1:4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spans="1:4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spans="1:4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spans="1:4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spans="1:4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spans="1:4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spans="1:4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spans="1:4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spans="1:4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spans="1:4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spans="1:4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spans="1:4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spans="1:4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spans="1:4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spans="1:4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spans="1:4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spans="1:4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spans="1:4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spans="1:4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spans="1:4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spans="1:4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spans="1:4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spans="1:4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spans="1:4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spans="1:4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spans="1:4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spans="1:4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spans="1:4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spans="1:4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spans="1:4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spans="1:4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spans="1:4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spans="1:4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</sheetData>
  <mergeCells count="29">
    <mergeCell ref="X1:AA1"/>
    <mergeCell ref="AB1:AE1"/>
    <mergeCell ref="AF1:AG1"/>
    <mergeCell ref="AH1:AN1"/>
    <mergeCell ref="A1:A2"/>
    <mergeCell ref="B1:B2"/>
    <mergeCell ref="C1:C2"/>
    <mergeCell ref="D1:D2"/>
    <mergeCell ref="E1:O1"/>
    <mergeCell ref="P1:S1"/>
    <mergeCell ref="T1:W1"/>
    <mergeCell ref="V34:Y34"/>
    <mergeCell ref="AA34:AD34"/>
    <mergeCell ref="AF34:AI34"/>
    <mergeCell ref="AK34:AQ34"/>
    <mergeCell ref="E61:K61"/>
    <mergeCell ref="L61:O61"/>
    <mergeCell ref="Q61:T61"/>
    <mergeCell ref="V61:Y61"/>
    <mergeCell ref="AA61:AD61"/>
    <mergeCell ref="AF61:AI61"/>
    <mergeCell ref="AK61:AQ61"/>
    <mergeCell ref="L34:O34"/>
    <mergeCell ref="Q34:T34"/>
    <mergeCell ref="A34:A35"/>
    <mergeCell ref="B34:B35"/>
    <mergeCell ref="C34:C35"/>
    <mergeCell ref="D34:D35"/>
    <mergeCell ref="E34:J34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4"/>
  <sheetViews>
    <sheetView topLeftCell="A2" workbookViewId="0">
      <selection activeCell="W27" sqref="W27:X29"/>
    </sheetView>
  </sheetViews>
  <sheetFormatPr baseColWidth="10" defaultColWidth="9.1640625" defaultRowHeight="15"/>
  <cols>
    <col min="12" max="12" width="11.1640625" customWidth="1"/>
  </cols>
  <sheetData>
    <row r="1" spans="1:24">
      <c r="A1" t="s">
        <v>336</v>
      </c>
    </row>
    <row r="3" spans="1:24" ht="64">
      <c r="A3" t="s">
        <v>328</v>
      </c>
      <c r="E3" s="2"/>
      <c r="F3" s="2" t="s">
        <v>340</v>
      </c>
      <c r="G3" s="2" t="s">
        <v>13</v>
      </c>
      <c r="H3" s="2" t="s">
        <v>347</v>
      </c>
      <c r="I3" s="226" t="s">
        <v>337</v>
      </c>
      <c r="J3" s="226" t="s">
        <v>329</v>
      </c>
      <c r="K3" s="222" t="s">
        <v>348</v>
      </c>
      <c r="L3" s="225" t="s">
        <v>349</v>
      </c>
      <c r="R3" s="2" t="s">
        <v>340</v>
      </c>
      <c r="S3" s="2" t="s">
        <v>13</v>
      </c>
      <c r="T3" s="2" t="s">
        <v>347</v>
      </c>
      <c r="U3" s="226" t="s">
        <v>337</v>
      </c>
      <c r="V3" s="226" t="s">
        <v>329</v>
      </c>
      <c r="W3" s="222" t="s">
        <v>348</v>
      </c>
      <c r="X3" s="214" t="s">
        <v>346</v>
      </c>
    </row>
    <row r="4" spans="1:24" ht="16">
      <c r="A4" s="15">
        <v>19</v>
      </c>
      <c r="B4" s="15" t="s">
        <v>51</v>
      </c>
      <c r="C4" s="15" t="s">
        <v>50</v>
      </c>
      <c r="D4" s="15" t="s">
        <v>48</v>
      </c>
      <c r="E4" s="16"/>
      <c r="F4" s="16">
        <v>15.43</v>
      </c>
      <c r="G4" s="16">
        <v>42.6</v>
      </c>
      <c r="H4" s="16">
        <f>(F4/G4)*100</f>
        <v>36.220657276995304</v>
      </c>
      <c r="I4" s="21">
        <v>18.37</v>
      </c>
      <c r="J4" s="15">
        <v>46.6</v>
      </c>
      <c r="K4" s="221">
        <f>(I4/J4)*100</f>
        <v>39.420600858369099</v>
      </c>
      <c r="L4">
        <f>K4-H4</f>
        <v>3.1999435813737946</v>
      </c>
      <c r="N4" s="15">
        <v>7</v>
      </c>
      <c r="O4" s="15" t="s">
        <v>46</v>
      </c>
      <c r="P4" s="15" t="s">
        <v>50</v>
      </c>
      <c r="Q4" s="15" t="s">
        <v>48</v>
      </c>
      <c r="R4" s="16">
        <v>1.19</v>
      </c>
      <c r="S4" s="16">
        <v>20.8</v>
      </c>
      <c r="T4" s="16">
        <f>(R4/S4)*100</f>
        <v>5.7211538461538458</v>
      </c>
      <c r="U4" s="21">
        <v>1.45</v>
      </c>
      <c r="V4" s="15">
        <v>21.7</v>
      </c>
      <c r="W4" s="221">
        <f>(U4/V4)*100</f>
        <v>6.6820276497695854</v>
      </c>
      <c r="X4">
        <f>W4-T4</f>
        <v>0.9608738036157396</v>
      </c>
    </row>
    <row r="5" spans="1:24" ht="16">
      <c r="A5" s="22">
        <v>20</v>
      </c>
      <c r="B5" s="22" t="s">
        <v>51</v>
      </c>
      <c r="C5" s="22" t="s">
        <v>50</v>
      </c>
      <c r="D5" s="22" t="s">
        <v>49</v>
      </c>
      <c r="E5" s="23"/>
      <c r="F5" s="23">
        <v>17.440000000000001</v>
      </c>
      <c r="G5" s="23">
        <v>46.1</v>
      </c>
      <c r="H5" s="16">
        <f t="shared" ref="H5:H9" si="0">(F5/G5)*100</f>
        <v>37.830802603036879</v>
      </c>
      <c r="I5" s="28">
        <v>17.98</v>
      </c>
      <c r="J5" s="22">
        <v>46.8</v>
      </c>
      <c r="K5" s="223">
        <f t="shared" ref="K5:K9" si="1">(I5/J5)*100</f>
        <v>38.418803418803421</v>
      </c>
      <c r="L5" s="215">
        <f t="shared" ref="L5:L9" si="2">K5-H5</f>
        <v>0.58800081576654151</v>
      </c>
      <c r="N5" s="22">
        <v>8</v>
      </c>
      <c r="O5" s="22" t="s">
        <v>46</v>
      </c>
      <c r="P5" s="22" t="s">
        <v>50</v>
      </c>
      <c r="Q5" s="22" t="s">
        <v>49</v>
      </c>
      <c r="R5" s="23">
        <v>0.9</v>
      </c>
      <c r="S5" s="23">
        <v>21.7</v>
      </c>
      <c r="T5" s="16">
        <f t="shared" ref="T5:T9" si="3">(R5/S5)*100</f>
        <v>4.1474654377880187</v>
      </c>
      <c r="U5" s="28">
        <v>1.2</v>
      </c>
      <c r="V5" s="22">
        <v>23.6</v>
      </c>
      <c r="W5" s="223">
        <f t="shared" ref="W5:W9" si="4">(U5/V5)*100</f>
        <v>5.0847457627118642</v>
      </c>
      <c r="X5" s="215">
        <f t="shared" ref="X5:X9" si="5">W5-T5</f>
        <v>0.9372803249238455</v>
      </c>
    </row>
    <row r="6" spans="1:24" ht="16">
      <c r="A6" s="15">
        <v>21</v>
      </c>
      <c r="B6" s="15" t="s">
        <v>51</v>
      </c>
      <c r="C6" s="15" t="s">
        <v>50</v>
      </c>
      <c r="D6" s="15" t="s">
        <v>48</v>
      </c>
      <c r="E6" s="16"/>
      <c r="F6" s="16">
        <v>17.829999999999998</v>
      </c>
      <c r="G6" s="16">
        <v>45.9</v>
      </c>
      <c r="H6" s="16">
        <f t="shared" si="0"/>
        <v>38.845315904139433</v>
      </c>
      <c r="I6" s="21">
        <v>23.41</v>
      </c>
      <c r="J6" s="15">
        <v>52.5</v>
      </c>
      <c r="K6" s="221">
        <f t="shared" si="1"/>
        <v>44.590476190476188</v>
      </c>
      <c r="L6">
        <f t="shared" si="2"/>
        <v>5.7451602863367555</v>
      </c>
      <c r="N6" s="15">
        <v>9</v>
      </c>
      <c r="O6" s="15" t="s">
        <v>46</v>
      </c>
      <c r="P6" s="15" t="s">
        <v>50</v>
      </c>
      <c r="Q6" s="15" t="s">
        <v>48</v>
      </c>
      <c r="R6" s="16">
        <v>0.84</v>
      </c>
      <c r="S6" s="16">
        <v>20.8</v>
      </c>
      <c r="T6" s="16">
        <f t="shared" si="3"/>
        <v>4.0384615384615383</v>
      </c>
      <c r="U6" s="21">
        <v>1.48</v>
      </c>
      <c r="V6" s="15">
        <v>22.6</v>
      </c>
      <c r="W6" s="221">
        <f t="shared" si="4"/>
        <v>6.5486725663716809</v>
      </c>
      <c r="X6">
        <f t="shared" si="5"/>
        <v>2.5102110279101426</v>
      </c>
    </row>
    <row r="7" spans="1:24" ht="16">
      <c r="A7" s="22">
        <v>22</v>
      </c>
      <c r="B7" s="22" t="s">
        <v>51</v>
      </c>
      <c r="C7" s="22" t="s">
        <v>50</v>
      </c>
      <c r="D7" s="22" t="s">
        <v>49</v>
      </c>
      <c r="E7" s="23"/>
      <c r="F7" s="23">
        <v>10.95</v>
      </c>
      <c r="G7" s="23">
        <v>39.5</v>
      </c>
      <c r="H7" s="16">
        <f t="shared" si="0"/>
        <v>27.721518987341771</v>
      </c>
      <c r="I7" s="28">
        <v>15.53</v>
      </c>
      <c r="J7" s="22">
        <v>43.2</v>
      </c>
      <c r="K7" s="223">
        <f t="shared" si="1"/>
        <v>35.949074074074069</v>
      </c>
      <c r="L7" s="215">
        <f t="shared" si="2"/>
        <v>8.2275550867322984</v>
      </c>
      <c r="N7" s="22">
        <v>10</v>
      </c>
      <c r="O7" s="22" t="s">
        <v>46</v>
      </c>
      <c r="P7" s="22" t="s">
        <v>50</v>
      </c>
      <c r="Q7" s="22" t="s">
        <v>49</v>
      </c>
      <c r="R7" s="23">
        <v>1.22</v>
      </c>
      <c r="S7" s="23">
        <v>21.4</v>
      </c>
      <c r="T7" s="16">
        <f t="shared" si="3"/>
        <v>5.7009345794392523</v>
      </c>
      <c r="U7" s="28">
        <v>1.83</v>
      </c>
      <c r="V7" s="22">
        <v>22.8</v>
      </c>
      <c r="W7" s="223">
        <f t="shared" si="4"/>
        <v>8.026315789473685</v>
      </c>
      <c r="X7" s="215">
        <f t="shared" si="5"/>
        <v>2.3253812100344327</v>
      </c>
    </row>
    <row r="8" spans="1:24" ht="16">
      <c r="A8" s="15">
        <v>23</v>
      </c>
      <c r="B8" s="15" t="s">
        <v>51</v>
      </c>
      <c r="C8" s="15" t="s">
        <v>50</v>
      </c>
      <c r="D8" s="15" t="s">
        <v>48</v>
      </c>
      <c r="E8" s="16"/>
      <c r="F8" s="16">
        <v>15.1</v>
      </c>
      <c r="G8" s="16">
        <v>46.3</v>
      </c>
      <c r="H8" s="16">
        <f t="shared" si="0"/>
        <v>32.613390928725707</v>
      </c>
      <c r="I8" s="21">
        <v>27.45</v>
      </c>
      <c r="J8" s="15">
        <v>58.9</v>
      </c>
      <c r="K8" s="221">
        <f t="shared" si="1"/>
        <v>46.6044142614601</v>
      </c>
      <c r="L8">
        <f t="shared" si="2"/>
        <v>13.991023332734393</v>
      </c>
      <c r="N8" s="15">
        <v>11</v>
      </c>
      <c r="O8" s="15" t="s">
        <v>46</v>
      </c>
      <c r="P8" s="15" t="s">
        <v>50</v>
      </c>
      <c r="Q8" s="15" t="s">
        <v>48</v>
      </c>
      <c r="R8" s="16">
        <v>1.1299999999999999</v>
      </c>
      <c r="S8" s="16">
        <v>22</v>
      </c>
      <c r="T8" s="16">
        <f t="shared" si="3"/>
        <v>5.1363636363636358</v>
      </c>
      <c r="U8" s="21">
        <v>1.8</v>
      </c>
      <c r="V8" s="15">
        <v>23.2</v>
      </c>
      <c r="W8" s="221">
        <f t="shared" si="4"/>
        <v>7.7586206896551726</v>
      </c>
      <c r="X8">
        <f t="shared" si="5"/>
        <v>2.6222570532915368</v>
      </c>
    </row>
    <row r="9" spans="1:24" ht="16">
      <c r="A9" s="22">
        <v>24</v>
      </c>
      <c r="B9" s="22" t="s">
        <v>51</v>
      </c>
      <c r="C9" s="22" t="s">
        <v>50</v>
      </c>
      <c r="D9" s="22" t="s">
        <v>49</v>
      </c>
      <c r="E9" s="23"/>
      <c r="F9" s="23">
        <v>13.58</v>
      </c>
      <c r="G9" s="23">
        <v>44.6</v>
      </c>
      <c r="H9" s="16">
        <f t="shared" si="0"/>
        <v>30.448430493273541</v>
      </c>
      <c r="I9" s="28">
        <v>17.510000000000002</v>
      </c>
      <c r="J9" s="22">
        <v>47.4</v>
      </c>
      <c r="K9" s="223">
        <f t="shared" si="1"/>
        <v>36.9409282700422</v>
      </c>
      <c r="L9" s="215">
        <f t="shared" si="2"/>
        <v>6.4924977767686585</v>
      </c>
      <c r="N9" s="22">
        <v>12</v>
      </c>
      <c r="O9" s="22" t="s">
        <v>46</v>
      </c>
      <c r="P9" s="22" t="s">
        <v>50</v>
      </c>
      <c r="Q9" s="22" t="s">
        <v>49</v>
      </c>
      <c r="R9" s="23">
        <v>1.47</v>
      </c>
      <c r="S9" s="23">
        <v>23</v>
      </c>
      <c r="T9" s="16">
        <f t="shared" si="3"/>
        <v>6.391304347826086</v>
      </c>
      <c r="U9" s="28">
        <v>3.48</v>
      </c>
      <c r="V9" s="22">
        <v>25.8</v>
      </c>
      <c r="W9" s="223">
        <f t="shared" si="4"/>
        <v>13.488372093023255</v>
      </c>
      <c r="X9" s="215">
        <f t="shared" si="5"/>
        <v>7.0970677451971689</v>
      </c>
    </row>
    <row r="10" spans="1:24" ht="64">
      <c r="F10" s="2" t="s">
        <v>342</v>
      </c>
      <c r="G10" s="2" t="s">
        <v>66</v>
      </c>
      <c r="H10" s="2" t="s">
        <v>347</v>
      </c>
      <c r="I10" s="42" t="s">
        <v>338</v>
      </c>
      <c r="J10" s="42" t="s">
        <v>331</v>
      </c>
      <c r="K10" s="222" t="s">
        <v>348</v>
      </c>
      <c r="L10" s="225" t="s">
        <v>350</v>
      </c>
      <c r="R10" s="2" t="s">
        <v>342</v>
      </c>
      <c r="S10" s="2" t="s">
        <v>66</v>
      </c>
      <c r="T10" s="2" t="s">
        <v>347</v>
      </c>
      <c r="U10" s="42" t="s">
        <v>338</v>
      </c>
      <c r="V10" s="42" t="s">
        <v>331</v>
      </c>
      <c r="W10" s="222" t="s">
        <v>348</v>
      </c>
      <c r="X10" s="214" t="s">
        <v>350</v>
      </c>
    </row>
    <row r="11" spans="1:24" ht="16">
      <c r="A11" s="15">
        <v>43</v>
      </c>
      <c r="B11" s="15" t="s">
        <v>51</v>
      </c>
      <c r="C11" s="15" t="s">
        <v>50</v>
      </c>
      <c r="D11" s="15" t="s">
        <v>48</v>
      </c>
      <c r="F11" s="21">
        <v>21.76</v>
      </c>
      <c r="G11" s="15">
        <v>52.05</v>
      </c>
      <c r="H11" s="16">
        <f t="shared" ref="H11:H15" si="6">(F11/G11)*100</f>
        <v>41.805955811719507</v>
      </c>
      <c r="I11" s="21">
        <v>27.19</v>
      </c>
      <c r="J11" s="15">
        <v>59.5</v>
      </c>
      <c r="K11" s="221">
        <f t="shared" ref="K11:K15" si="7">(I11/J11)*100</f>
        <v>45.69747899159664</v>
      </c>
      <c r="L11">
        <f t="shared" ref="L11:L16" si="8">K11-H11</f>
        <v>3.891523179877133</v>
      </c>
      <c r="N11" s="15">
        <v>31</v>
      </c>
      <c r="O11" s="15" t="s">
        <v>46</v>
      </c>
      <c r="P11" s="15" t="s">
        <v>50</v>
      </c>
      <c r="Q11" s="15" t="s">
        <v>48</v>
      </c>
      <c r="R11" s="21">
        <v>0.85</v>
      </c>
      <c r="S11" s="15">
        <v>19.95</v>
      </c>
      <c r="T11" s="16">
        <f t="shared" ref="T11:T16" si="9">(R11/S11)*100</f>
        <v>4.2606516290726812</v>
      </c>
      <c r="U11" s="21">
        <v>1.25</v>
      </c>
      <c r="V11" s="15">
        <v>21.1</v>
      </c>
      <c r="W11" s="221">
        <f t="shared" ref="W11:W16" si="10">(U11/V11)*100</f>
        <v>5.9241706161137433</v>
      </c>
      <c r="X11">
        <f t="shared" ref="X11:X16" si="11">W11-T11</f>
        <v>1.663518987041062</v>
      </c>
    </row>
    <row r="12" spans="1:24" ht="16">
      <c r="A12" s="22">
        <v>44</v>
      </c>
      <c r="B12" s="22" t="s">
        <v>51</v>
      </c>
      <c r="C12" s="22" t="s">
        <v>50</v>
      </c>
      <c r="D12" s="22" t="s">
        <v>49</v>
      </c>
      <c r="F12" s="28">
        <v>18.899999999999999</v>
      </c>
      <c r="G12" s="22">
        <v>47.39</v>
      </c>
      <c r="H12" s="16">
        <f t="shared" si="6"/>
        <v>39.881831610044308</v>
      </c>
      <c r="I12" s="28">
        <v>22.23</v>
      </c>
      <c r="J12" s="22">
        <v>53.9</v>
      </c>
      <c r="K12" s="223">
        <f t="shared" si="7"/>
        <v>41.243042671614099</v>
      </c>
      <c r="L12" s="215">
        <f t="shared" si="8"/>
        <v>1.3612110615697901</v>
      </c>
      <c r="N12" s="22">
        <v>32</v>
      </c>
      <c r="O12" s="22" t="s">
        <v>46</v>
      </c>
      <c r="P12" s="22" t="s">
        <v>50</v>
      </c>
      <c r="Q12" s="22" t="s">
        <v>49</v>
      </c>
      <c r="R12" s="28">
        <v>0.8</v>
      </c>
      <c r="S12" s="22">
        <v>20.53</v>
      </c>
      <c r="T12" s="16">
        <f t="shared" si="9"/>
        <v>3.896736483195324</v>
      </c>
      <c r="U12" s="28">
        <v>1.05</v>
      </c>
      <c r="V12" s="22">
        <v>20.7</v>
      </c>
      <c r="W12" s="223">
        <f t="shared" si="10"/>
        <v>5.0724637681159424</v>
      </c>
      <c r="X12" s="215">
        <f t="shared" si="11"/>
        <v>1.1757272849206184</v>
      </c>
    </row>
    <row r="13" spans="1:24" ht="16">
      <c r="A13" s="15">
        <v>45</v>
      </c>
      <c r="B13" s="15" t="s">
        <v>51</v>
      </c>
      <c r="C13" s="15" t="s">
        <v>50</v>
      </c>
      <c r="D13" s="15" t="s">
        <v>48</v>
      </c>
      <c r="F13" s="21">
        <v>19.43</v>
      </c>
      <c r="G13" s="15">
        <v>48.92</v>
      </c>
      <c r="H13" s="16">
        <f t="shared" si="6"/>
        <v>39.717906786590348</v>
      </c>
      <c r="I13" s="21">
        <v>22.62</v>
      </c>
      <c r="J13" s="15">
        <v>55.4</v>
      </c>
      <c r="K13" s="221">
        <f t="shared" si="7"/>
        <v>40.830324909747297</v>
      </c>
      <c r="L13">
        <f t="shared" si="8"/>
        <v>1.1124181231569494</v>
      </c>
      <c r="N13" s="15">
        <v>33</v>
      </c>
      <c r="O13" s="15" t="s">
        <v>46</v>
      </c>
      <c r="P13" s="15" t="s">
        <v>50</v>
      </c>
      <c r="Q13" s="15" t="s">
        <v>48</v>
      </c>
      <c r="R13" s="21">
        <v>1.24</v>
      </c>
      <c r="S13" s="15">
        <v>21.28</v>
      </c>
      <c r="T13" s="16">
        <f t="shared" si="9"/>
        <v>5.8270676691729317</v>
      </c>
      <c r="U13" s="21">
        <v>1.52</v>
      </c>
      <c r="V13" s="15">
        <v>21.7</v>
      </c>
      <c r="W13" s="221">
        <f t="shared" si="10"/>
        <v>7.0046082949308754</v>
      </c>
      <c r="X13">
        <f t="shared" si="11"/>
        <v>1.1775406257579437</v>
      </c>
    </row>
    <row r="14" spans="1:24" ht="16">
      <c r="A14" s="22">
        <v>46</v>
      </c>
      <c r="B14" s="22" t="s">
        <v>51</v>
      </c>
      <c r="C14" s="22" t="s">
        <v>50</v>
      </c>
      <c r="D14" s="22" t="s">
        <v>49</v>
      </c>
      <c r="F14" s="28">
        <v>17.79</v>
      </c>
      <c r="G14" s="22">
        <v>44.74</v>
      </c>
      <c r="H14" s="16">
        <f t="shared" si="6"/>
        <v>39.763075547608402</v>
      </c>
      <c r="I14" s="28">
        <v>20.37</v>
      </c>
      <c r="J14" s="22">
        <v>51</v>
      </c>
      <c r="K14" s="223">
        <f t="shared" si="7"/>
        <v>39.941176470588232</v>
      </c>
      <c r="L14" s="215">
        <f t="shared" si="8"/>
        <v>0.17810092297983005</v>
      </c>
      <c r="N14" s="22">
        <v>34</v>
      </c>
      <c r="O14" s="22" t="s">
        <v>46</v>
      </c>
      <c r="P14" s="22" t="s">
        <v>50</v>
      </c>
      <c r="Q14" s="22" t="s">
        <v>49</v>
      </c>
      <c r="R14" s="28">
        <v>1.28</v>
      </c>
      <c r="S14" s="22">
        <v>21.62</v>
      </c>
      <c r="T14" s="16">
        <f t="shared" si="9"/>
        <v>5.9204440333024975</v>
      </c>
      <c r="U14" s="28">
        <v>1.79</v>
      </c>
      <c r="V14" s="22">
        <v>23.1</v>
      </c>
      <c r="W14" s="223">
        <f t="shared" si="10"/>
        <v>7.7489177489177479</v>
      </c>
      <c r="X14" s="215">
        <f t="shared" si="11"/>
        <v>1.8284737156152504</v>
      </c>
    </row>
    <row r="15" spans="1:24" ht="16">
      <c r="A15" s="59">
        <v>47</v>
      </c>
      <c r="B15" s="59" t="s">
        <v>51</v>
      </c>
      <c r="C15" s="59" t="s">
        <v>50</v>
      </c>
      <c r="D15" s="59" t="s">
        <v>49</v>
      </c>
      <c r="F15" s="60">
        <v>21.75</v>
      </c>
      <c r="G15" s="59">
        <v>50.2</v>
      </c>
      <c r="H15" s="16">
        <f t="shared" si="6"/>
        <v>43.326693227091631</v>
      </c>
      <c r="I15" s="28">
        <v>28.85</v>
      </c>
      <c r="J15" s="59">
        <v>60.4</v>
      </c>
      <c r="K15" s="223">
        <f t="shared" si="7"/>
        <v>47.764900662251655</v>
      </c>
      <c r="L15" s="215">
        <f t="shared" si="8"/>
        <v>4.4382074351600238</v>
      </c>
      <c r="N15" s="15">
        <v>35</v>
      </c>
      <c r="O15" s="15" t="s">
        <v>46</v>
      </c>
      <c r="P15" s="15" t="s">
        <v>50</v>
      </c>
      <c r="Q15" s="15" t="s">
        <v>48</v>
      </c>
      <c r="R15" s="21">
        <v>1.93</v>
      </c>
      <c r="S15" s="15">
        <v>22.95</v>
      </c>
      <c r="T15" s="16">
        <f t="shared" si="9"/>
        <v>8.4095860566448799</v>
      </c>
      <c r="U15" s="21">
        <v>3.43</v>
      </c>
      <c r="V15" s="15">
        <v>24.6</v>
      </c>
      <c r="W15" s="221">
        <f t="shared" si="10"/>
        <v>13.943089430894309</v>
      </c>
      <c r="X15">
        <f t="shared" si="11"/>
        <v>5.5335033742494293</v>
      </c>
    </row>
    <row r="16" spans="1:24" ht="16">
      <c r="A16" s="62">
        <v>48</v>
      </c>
      <c r="B16" s="62" t="s">
        <v>51</v>
      </c>
      <c r="C16" s="62" t="s">
        <v>50</v>
      </c>
      <c r="D16" s="62" t="s">
        <v>48</v>
      </c>
      <c r="F16" s="63">
        <v>16.77</v>
      </c>
      <c r="G16" s="62">
        <v>43</v>
      </c>
      <c r="H16" s="16">
        <f>(F16/G16)*100</f>
        <v>39</v>
      </c>
      <c r="I16" s="21">
        <v>18.09</v>
      </c>
      <c r="J16" s="62">
        <v>46.4</v>
      </c>
      <c r="K16" s="221">
        <f>(I16/J16)*100</f>
        <v>38.987068965517238</v>
      </c>
      <c r="L16">
        <f t="shared" si="8"/>
        <v>-1.2931034482761561E-2</v>
      </c>
      <c r="N16" s="22">
        <v>36</v>
      </c>
      <c r="O16" s="22" t="s">
        <v>46</v>
      </c>
      <c r="P16" s="22" t="s">
        <v>50</v>
      </c>
      <c r="Q16" s="22" t="s">
        <v>49</v>
      </c>
      <c r="R16" s="28">
        <v>1.1000000000000001</v>
      </c>
      <c r="S16" s="22">
        <v>21.85</v>
      </c>
      <c r="T16" s="16">
        <f t="shared" si="9"/>
        <v>5.0343249427917618</v>
      </c>
      <c r="U16" s="28">
        <v>1.41</v>
      </c>
      <c r="V16" s="22">
        <v>23.7</v>
      </c>
      <c r="W16" s="223">
        <f t="shared" si="10"/>
        <v>5.9493670886075947</v>
      </c>
      <c r="X16" s="215">
        <f t="shared" si="11"/>
        <v>0.91504214581583287</v>
      </c>
    </row>
    <row r="17" spans="1:24" ht="64">
      <c r="F17" s="2" t="s">
        <v>344</v>
      </c>
      <c r="G17" s="2" t="s">
        <v>119</v>
      </c>
      <c r="H17" s="2" t="s">
        <v>347</v>
      </c>
      <c r="I17" s="80" t="s">
        <v>339</v>
      </c>
      <c r="J17" s="80" t="s">
        <v>334</v>
      </c>
      <c r="K17" s="222" t="s">
        <v>348</v>
      </c>
      <c r="L17" s="225" t="s">
        <v>351</v>
      </c>
      <c r="R17" s="2" t="s">
        <v>344</v>
      </c>
      <c r="S17" s="2" t="s">
        <v>119</v>
      </c>
      <c r="T17" s="2" t="s">
        <v>347</v>
      </c>
      <c r="U17" s="80" t="s">
        <v>339</v>
      </c>
      <c r="V17" s="80" t="s">
        <v>334</v>
      </c>
      <c r="W17" s="222" t="s">
        <v>348</v>
      </c>
      <c r="X17" s="214" t="s">
        <v>351</v>
      </c>
    </row>
    <row r="18" spans="1:24" ht="16">
      <c r="A18" s="15">
        <v>61</v>
      </c>
      <c r="B18" s="15" t="s">
        <v>51</v>
      </c>
      <c r="C18" s="15" t="s">
        <v>50</v>
      </c>
      <c r="D18" s="62" t="s">
        <v>48</v>
      </c>
      <c r="F18" s="91">
        <v>20.55</v>
      </c>
      <c r="G18" s="92">
        <v>48.2</v>
      </c>
      <c r="H18" s="16">
        <f t="shared" ref="H18:H28" si="12">(F18/G18)*100</f>
        <v>42.634854771784234</v>
      </c>
      <c r="I18" s="218">
        <v>21.89</v>
      </c>
      <c r="J18" s="53">
        <v>50.4</v>
      </c>
      <c r="K18" s="221">
        <f t="shared" ref="K18:K28" si="13">(I18/J18)*100</f>
        <v>43.432539682539684</v>
      </c>
      <c r="L18">
        <f t="shared" ref="L18:L28" si="14">K18-H18</f>
        <v>0.79768491075545001</v>
      </c>
      <c r="N18" s="82">
        <v>49</v>
      </c>
      <c r="O18" s="82" t="s">
        <v>46</v>
      </c>
      <c r="P18" s="82" t="s">
        <v>50</v>
      </c>
      <c r="Q18" s="82" t="s">
        <v>333</v>
      </c>
      <c r="R18" s="83">
        <v>1.19</v>
      </c>
      <c r="S18" s="84">
        <v>21</v>
      </c>
      <c r="T18" s="16">
        <f t="shared" ref="T18:T29" si="15">(R18/S18)*100</f>
        <v>5.6666666666666661</v>
      </c>
      <c r="U18" s="220">
        <v>1.58</v>
      </c>
      <c r="V18" s="89">
        <v>22.9</v>
      </c>
      <c r="W18" s="227">
        <f t="shared" ref="W18:W29" si="16">(U18/V18)*100</f>
        <v>6.899563318777294</v>
      </c>
      <c r="X18" s="216">
        <f t="shared" ref="X18:X29" si="17">W18-T18</f>
        <v>1.2328966521106279</v>
      </c>
    </row>
    <row r="19" spans="1:24" ht="16">
      <c r="A19" s="97">
        <v>62</v>
      </c>
      <c r="B19" s="97" t="s">
        <v>51</v>
      </c>
      <c r="C19" s="97" t="s">
        <v>50</v>
      </c>
      <c r="D19" s="97" t="s">
        <v>333</v>
      </c>
      <c r="F19" s="98">
        <v>20.46</v>
      </c>
      <c r="G19" s="99">
        <v>49.8</v>
      </c>
      <c r="H19" s="16">
        <f t="shared" si="12"/>
        <v>41.084337349397593</v>
      </c>
      <c r="I19" s="219">
        <v>19.47</v>
      </c>
      <c r="J19" s="104">
        <v>49.2</v>
      </c>
      <c r="K19" s="224">
        <f t="shared" si="13"/>
        <v>39.573170731707314</v>
      </c>
      <c r="L19" s="217">
        <f t="shared" si="14"/>
        <v>-1.5111666176902787</v>
      </c>
      <c r="N19" s="15">
        <v>50</v>
      </c>
      <c r="O19" s="15" t="s">
        <v>46</v>
      </c>
      <c r="P19" s="15" t="s">
        <v>50</v>
      </c>
      <c r="Q19" s="15" t="s">
        <v>48</v>
      </c>
      <c r="R19" s="91">
        <v>1.41</v>
      </c>
      <c r="S19" s="92">
        <v>22.6</v>
      </c>
      <c r="T19" s="16">
        <f t="shared" si="15"/>
        <v>6.2389380530973444</v>
      </c>
      <c r="U19" s="218">
        <v>2.37</v>
      </c>
      <c r="V19" s="53">
        <v>23.5</v>
      </c>
      <c r="W19" s="221">
        <f t="shared" si="16"/>
        <v>10.085106382978724</v>
      </c>
      <c r="X19">
        <f t="shared" si="17"/>
        <v>3.8461683298813796</v>
      </c>
    </row>
    <row r="20" spans="1:24" ht="16">
      <c r="A20" s="97">
        <v>63</v>
      </c>
      <c r="B20" s="97" t="s">
        <v>51</v>
      </c>
      <c r="C20" s="97" t="s">
        <v>50</v>
      </c>
      <c r="D20" s="97" t="s">
        <v>333</v>
      </c>
      <c r="F20" s="98">
        <v>22.04</v>
      </c>
      <c r="G20" s="99">
        <v>49.3</v>
      </c>
      <c r="H20" s="16">
        <f t="shared" si="12"/>
        <v>44.705882352941181</v>
      </c>
      <c r="I20" s="219">
        <v>22.2</v>
      </c>
      <c r="J20" s="104">
        <v>50.3</v>
      </c>
      <c r="K20" s="224">
        <f t="shared" si="13"/>
        <v>44.135188866799204</v>
      </c>
      <c r="L20" s="217">
        <f t="shared" si="14"/>
        <v>-0.57069348614197679</v>
      </c>
      <c r="N20" s="15">
        <v>51</v>
      </c>
      <c r="O20" s="15" t="s">
        <v>46</v>
      </c>
      <c r="P20" s="15" t="s">
        <v>50</v>
      </c>
      <c r="Q20" s="15" t="s">
        <v>48</v>
      </c>
      <c r="R20" s="91">
        <v>1.58</v>
      </c>
      <c r="S20" s="92">
        <v>20.8</v>
      </c>
      <c r="T20" s="16">
        <f t="shared" si="15"/>
        <v>7.5961538461538467</v>
      </c>
      <c r="U20" s="218">
        <v>2.95</v>
      </c>
      <c r="V20" s="53">
        <v>23</v>
      </c>
      <c r="W20" s="221">
        <f t="shared" si="16"/>
        <v>12.82608695652174</v>
      </c>
      <c r="X20">
        <f t="shared" si="17"/>
        <v>5.2299331103678934</v>
      </c>
    </row>
    <row r="21" spans="1:24" ht="16">
      <c r="A21" s="97">
        <v>64</v>
      </c>
      <c r="B21" s="97" t="s">
        <v>51</v>
      </c>
      <c r="C21" s="97" t="s">
        <v>50</v>
      </c>
      <c r="D21" s="97" t="s">
        <v>333</v>
      </c>
      <c r="F21" s="98">
        <v>20.95</v>
      </c>
      <c r="G21" s="99">
        <v>50.4</v>
      </c>
      <c r="H21" s="16">
        <f t="shared" si="12"/>
        <v>41.567460317460316</v>
      </c>
      <c r="I21" s="219">
        <v>18.27</v>
      </c>
      <c r="J21" s="104">
        <v>46.8</v>
      </c>
      <c r="K21" s="224">
        <f t="shared" si="13"/>
        <v>39.03846153846154</v>
      </c>
      <c r="L21" s="217">
        <f t="shared" si="14"/>
        <v>-2.5289987789987762</v>
      </c>
      <c r="N21" s="15">
        <v>52</v>
      </c>
      <c r="O21" s="15" t="s">
        <v>46</v>
      </c>
      <c r="P21" s="15" t="s">
        <v>50</v>
      </c>
      <c r="Q21" s="15" t="s">
        <v>48</v>
      </c>
      <c r="R21" s="91">
        <v>1.43</v>
      </c>
      <c r="S21" s="92">
        <v>21.5</v>
      </c>
      <c r="T21" s="16">
        <f t="shared" si="15"/>
        <v>6.6511627906976747</v>
      </c>
      <c r="U21" s="218">
        <v>2.04</v>
      </c>
      <c r="V21" s="53">
        <v>21.8</v>
      </c>
      <c r="W21" s="221">
        <f t="shared" si="16"/>
        <v>9.3577981651376145</v>
      </c>
      <c r="X21">
        <f t="shared" si="17"/>
        <v>2.7066353744399398</v>
      </c>
    </row>
    <row r="22" spans="1:24" ht="16">
      <c r="A22" s="97">
        <v>65</v>
      </c>
      <c r="B22" s="97" t="s">
        <v>51</v>
      </c>
      <c r="C22" s="97" t="s">
        <v>50</v>
      </c>
      <c r="D22" s="97" t="s">
        <v>333</v>
      </c>
      <c r="F22" s="98">
        <v>23.24</v>
      </c>
      <c r="G22" s="99">
        <v>56.5</v>
      </c>
      <c r="H22" s="16">
        <f t="shared" si="12"/>
        <v>41.13274336283186</v>
      </c>
      <c r="I22" s="219">
        <v>24.15</v>
      </c>
      <c r="J22" s="104">
        <v>57</v>
      </c>
      <c r="K22" s="224">
        <f t="shared" si="13"/>
        <v>42.368421052631575</v>
      </c>
      <c r="L22" s="217">
        <f t="shared" si="14"/>
        <v>1.235677689799715</v>
      </c>
      <c r="N22" s="15">
        <v>53</v>
      </c>
      <c r="O22" s="15" t="s">
        <v>46</v>
      </c>
      <c r="P22" s="15" t="s">
        <v>50</v>
      </c>
      <c r="Q22" s="15" t="s">
        <v>48</v>
      </c>
      <c r="R22" s="91">
        <v>1.56</v>
      </c>
      <c r="S22" s="92">
        <v>22.5</v>
      </c>
      <c r="T22" s="16">
        <f t="shared" si="15"/>
        <v>6.9333333333333327</v>
      </c>
      <c r="U22" s="218">
        <v>3.18</v>
      </c>
      <c r="V22" s="53">
        <v>24.3</v>
      </c>
      <c r="W22" s="221">
        <f t="shared" si="16"/>
        <v>13.086419753086421</v>
      </c>
      <c r="X22">
        <f t="shared" si="17"/>
        <v>6.1530864197530883</v>
      </c>
    </row>
    <row r="23" spans="1:24" ht="16">
      <c r="A23" s="15">
        <v>66</v>
      </c>
      <c r="B23" s="15" t="s">
        <v>51</v>
      </c>
      <c r="C23" s="15" t="s">
        <v>50</v>
      </c>
      <c r="D23" s="62" t="s">
        <v>48</v>
      </c>
      <c r="F23" s="91">
        <v>23.68</v>
      </c>
      <c r="G23" s="92">
        <v>54.5</v>
      </c>
      <c r="H23" s="16">
        <f t="shared" si="12"/>
        <v>43.449541284403672</v>
      </c>
      <c r="I23" s="218">
        <v>28.44</v>
      </c>
      <c r="J23" s="53">
        <v>61.6</v>
      </c>
      <c r="K23" s="221">
        <f t="shared" si="13"/>
        <v>46.168831168831169</v>
      </c>
      <c r="L23">
        <f t="shared" si="14"/>
        <v>2.7192898844274964</v>
      </c>
      <c r="N23" s="82">
        <v>54</v>
      </c>
      <c r="O23" s="82" t="s">
        <v>46</v>
      </c>
      <c r="P23" s="82" t="s">
        <v>50</v>
      </c>
      <c r="Q23" s="82" t="s">
        <v>333</v>
      </c>
      <c r="R23" s="83">
        <v>1.32</v>
      </c>
      <c r="S23" s="84">
        <v>22.4</v>
      </c>
      <c r="T23" s="16">
        <f t="shared" si="15"/>
        <v>5.8928571428571432</v>
      </c>
      <c r="U23" s="220">
        <v>1.99</v>
      </c>
      <c r="V23" s="89">
        <v>23.7</v>
      </c>
      <c r="W23" s="227">
        <f t="shared" si="16"/>
        <v>8.3966244725738388</v>
      </c>
      <c r="X23" s="216">
        <f t="shared" si="17"/>
        <v>2.5037673297166956</v>
      </c>
    </row>
    <row r="24" spans="1:24" ht="16">
      <c r="A24" s="15">
        <v>67</v>
      </c>
      <c r="B24" s="15" t="s">
        <v>51</v>
      </c>
      <c r="C24" s="15" t="s">
        <v>50</v>
      </c>
      <c r="D24" s="62" t="s">
        <v>48</v>
      </c>
      <c r="F24" s="91">
        <v>14.55</v>
      </c>
      <c r="G24" s="92">
        <v>41.7</v>
      </c>
      <c r="H24" s="16">
        <f t="shared" si="12"/>
        <v>34.89208633093525</v>
      </c>
      <c r="I24" s="218">
        <v>19.920000000000002</v>
      </c>
      <c r="J24" s="53">
        <v>47.1</v>
      </c>
      <c r="K24" s="221">
        <f t="shared" si="13"/>
        <v>42.29299363057325</v>
      </c>
      <c r="L24">
        <f t="shared" si="14"/>
        <v>7.4009072996379999</v>
      </c>
      <c r="N24" s="82">
        <v>55</v>
      </c>
      <c r="O24" s="82" t="s">
        <v>46</v>
      </c>
      <c r="P24" s="82" t="s">
        <v>50</v>
      </c>
      <c r="Q24" s="82" t="s">
        <v>333</v>
      </c>
      <c r="R24" s="83">
        <v>0.96</v>
      </c>
      <c r="S24" s="84">
        <v>22.8</v>
      </c>
      <c r="T24" s="16">
        <f t="shared" si="15"/>
        <v>4.2105263157894735</v>
      </c>
      <c r="U24" s="220">
        <v>1.28</v>
      </c>
      <c r="V24" s="89">
        <v>23.6</v>
      </c>
      <c r="W24" s="227">
        <f t="shared" si="16"/>
        <v>5.4237288135593218</v>
      </c>
      <c r="X24" s="216">
        <f t="shared" si="17"/>
        <v>1.2132024977698483</v>
      </c>
    </row>
    <row r="25" spans="1:24" ht="16">
      <c r="A25" s="15">
        <v>68</v>
      </c>
      <c r="B25" s="15" t="s">
        <v>51</v>
      </c>
      <c r="C25" s="15" t="s">
        <v>50</v>
      </c>
      <c r="D25" s="62" t="s">
        <v>48</v>
      </c>
      <c r="F25" s="91">
        <v>22.21</v>
      </c>
      <c r="G25" s="92">
        <v>51.5</v>
      </c>
      <c r="H25" s="16">
        <f t="shared" si="12"/>
        <v>43.126213592233007</v>
      </c>
      <c r="I25" s="218">
        <v>23.3</v>
      </c>
      <c r="J25" s="53">
        <v>54.4</v>
      </c>
      <c r="K25" s="221">
        <f t="shared" si="13"/>
        <v>42.830882352941181</v>
      </c>
      <c r="L25">
        <f t="shared" si="14"/>
        <v>-0.29533123929182636</v>
      </c>
      <c r="N25" s="15">
        <v>56</v>
      </c>
      <c r="O25" s="15" t="s">
        <v>46</v>
      </c>
      <c r="P25" s="15" t="s">
        <v>50</v>
      </c>
      <c r="Q25" s="15" t="s">
        <v>48</v>
      </c>
      <c r="R25" s="91">
        <v>1.63</v>
      </c>
      <c r="S25" s="92">
        <v>22</v>
      </c>
      <c r="T25" s="16">
        <f t="shared" si="15"/>
        <v>7.4090909090909083</v>
      </c>
      <c r="U25" s="218">
        <v>2.2599999999999998</v>
      </c>
      <c r="V25" s="53">
        <v>23</v>
      </c>
      <c r="W25" s="221">
        <f t="shared" si="16"/>
        <v>9.8260869565217384</v>
      </c>
      <c r="X25">
        <f t="shared" si="17"/>
        <v>2.4169960474308301</v>
      </c>
    </row>
    <row r="26" spans="1:24" ht="16">
      <c r="A26" s="97">
        <v>69</v>
      </c>
      <c r="B26" s="97" t="s">
        <v>51</v>
      </c>
      <c r="C26" s="97" t="s">
        <v>50</v>
      </c>
      <c r="D26" s="97" t="s">
        <v>333</v>
      </c>
      <c r="F26" s="98">
        <v>21</v>
      </c>
      <c r="G26" s="99">
        <v>49.9</v>
      </c>
      <c r="H26" s="16">
        <f t="shared" si="12"/>
        <v>42.084168336673351</v>
      </c>
      <c r="I26" s="219">
        <v>20.49</v>
      </c>
      <c r="J26" s="104">
        <v>49.4</v>
      </c>
      <c r="K26" s="224">
        <f t="shared" si="13"/>
        <v>41.477732793522264</v>
      </c>
      <c r="L26" s="217">
        <f t="shared" si="14"/>
        <v>-0.60643554315108616</v>
      </c>
      <c r="N26" s="15">
        <v>57</v>
      </c>
      <c r="O26" s="15" t="s">
        <v>46</v>
      </c>
      <c r="P26" s="15" t="s">
        <v>50</v>
      </c>
      <c r="Q26" s="15" t="s">
        <v>48</v>
      </c>
      <c r="R26" s="91">
        <v>0.86</v>
      </c>
      <c r="S26" s="92">
        <v>20.5</v>
      </c>
      <c r="T26" s="16">
        <f t="shared" si="15"/>
        <v>4.1951219512195124</v>
      </c>
      <c r="U26" s="218">
        <v>1.61</v>
      </c>
      <c r="V26" s="53">
        <v>22.3</v>
      </c>
      <c r="W26" s="221">
        <f t="shared" si="16"/>
        <v>7.2197309417040358</v>
      </c>
      <c r="X26">
        <f t="shared" si="17"/>
        <v>3.0246089904845235</v>
      </c>
    </row>
    <row r="27" spans="1:24" ht="16">
      <c r="A27" s="15">
        <v>70</v>
      </c>
      <c r="B27" s="15" t="s">
        <v>51</v>
      </c>
      <c r="C27" s="15" t="s">
        <v>50</v>
      </c>
      <c r="D27" s="62" t="s">
        <v>48</v>
      </c>
      <c r="F27" s="91">
        <v>16.95</v>
      </c>
      <c r="G27" s="92">
        <v>46.2</v>
      </c>
      <c r="H27" s="16">
        <f t="shared" si="12"/>
        <v>36.688311688311686</v>
      </c>
      <c r="I27" s="218">
        <v>19.73</v>
      </c>
      <c r="J27" s="53">
        <v>46.6</v>
      </c>
      <c r="K27" s="221">
        <f t="shared" si="13"/>
        <v>42.339055793991413</v>
      </c>
      <c r="L27">
        <f t="shared" si="14"/>
        <v>5.6507441056797276</v>
      </c>
      <c r="N27" s="82">
        <v>58</v>
      </c>
      <c r="O27" s="82" t="s">
        <v>46</v>
      </c>
      <c r="P27" s="82" t="s">
        <v>50</v>
      </c>
      <c r="Q27" s="82" t="s">
        <v>333</v>
      </c>
      <c r="R27" s="83">
        <v>1.54</v>
      </c>
      <c r="S27" s="84">
        <v>21.3</v>
      </c>
      <c r="T27" s="16">
        <f t="shared" si="15"/>
        <v>7.2300469483568079</v>
      </c>
      <c r="U27" s="220">
        <v>1.57</v>
      </c>
      <c r="V27" s="89">
        <v>22.2</v>
      </c>
      <c r="W27" s="227">
        <f t="shared" si="16"/>
        <v>7.0720720720720722</v>
      </c>
      <c r="X27" s="216">
        <f t="shared" si="17"/>
        <v>-0.15797487628473572</v>
      </c>
    </row>
    <row r="28" spans="1:24" ht="16">
      <c r="A28" s="107">
        <v>71</v>
      </c>
      <c r="B28" s="107" t="s">
        <v>51</v>
      </c>
      <c r="C28" s="97" t="s">
        <v>50</v>
      </c>
      <c r="D28" s="97" t="s">
        <v>333</v>
      </c>
      <c r="F28" s="98">
        <v>23.14</v>
      </c>
      <c r="G28" s="99">
        <v>54.9</v>
      </c>
      <c r="H28" s="16">
        <f t="shared" si="12"/>
        <v>42.149362477231335</v>
      </c>
      <c r="I28" s="219">
        <v>26.28</v>
      </c>
      <c r="J28" s="104">
        <v>57.3</v>
      </c>
      <c r="K28" s="224">
        <f t="shared" si="13"/>
        <v>45.863874345549746</v>
      </c>
      <c r="L28" s="217">
        <f t="shared" si="14"/>
        <v>3.7145118683184108</v>
      </c>
      <c r="N28" s="82">
        <v>59</v>
      </c>
      <c r="O28" s="82" t="s">
        <v>46</v>
      </c>
      <c r="P28" s="82" t="s">
        <v>50</v>
      </c>
      <c r="Q28" s="82" t="s">
        <v>333</v>
      </c>
      <c r="R28" s="83">
        <v>1.37</v>
      </c>
      <c r="S28" s="84">
        <v>21.3</v>
      </c>
      <c r="T28" s="16">
        <f t="shared" si="15"/>
        <v>6.4319248826291089</v>
      </c>
      <c r="U28" s="220">
        <v>1.47</v>
      </c>
      <c r="V28" s="89">
        <v>22.1</v>
      </c>
      <c r="W28" s="227">
        <f t="shared" si="16"/>
        <v>6.6515837104072402</v>
      </c>
      <c r="X28" s="216">
        <f t="shared" si="17"/>
        <v>0.21965882777813128</v>
      </c>
    </row>
    <row r="29" spans="1:24" ht="16">
      <c r="N29" s="82">
        <v>60</v>
      </c>
      <c r="O29" s="82" t="s">
        <v>46</v>
      </c>
      <c r="P29" s="82" t="s">
        <v>50</v>
      </c>
      <c r="Q29" s="82" t="s">
        <v>333</v>
      </c>
      <c r="R29" s="83">
        <v>1.07</v>
      </c>
      <c r="S29" s="84">
        <v>23</v>
      </c>
      <c r="T29" s="16">
        <f t="shared" si="15"/>
        <v>4.6521739130434785</v>
      </c>
      <c r="U29" s="220">
        <v>1.75</v>
      </c>
      <c r="V29" s="89">
        <v>24.1</v>
      </c>
      <c r="W29" s="227">
        <f t="shared" si="16"/>
        <v>7.2614107883817418</v>
      </c>
      <c r="X29" s="216">
        <f t="shared" si="17"/>
        <v>2.6092368753382633</v>
      </c>
    </row>
    <row r="34" spans="21:23">
      <c r="U34" s="15"/>
      <c r="V34" s="15"/>
      <c r="W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selection activeCell="G31" sqref="G31"/>
    </sheetView>
  </sheetViews>
  <sheetFormatPr baseColWidth="10" defaultColWidth="9.1640625" defaultRowHeight="15"/>
  <cols>
    <col min="8" max="8" width="11.1640625" customWidth="1"/>
  </cols>
  <sheetData>
    <row r="1" spans="1:16">
      <c r="A1" t="s">
        <v>336</v>
      </c>
    </row>
    <row r="3" spans="1:16" ht="64">
      <c r="A3" t="s">
        <v>328</v>
      </c>
      <c r="E3" s="2"/>
      <c r="F3" s="2" t="s">
        <v>340</v>
      </c>
      <c r="G3" s="6" t="s">
        <v>337</v>
      </c>
      <c r="H3" s="214" t="s">
        <v>341</v>
      </c>
      <c r="N3" s="2" t="s">
        <v>340</v>
      </c>
      <c r="O3" s="6" t="s">
        <v>337</v>
      </c>
      <c r="P3" s="214" t="s">
        <v>341</v>
      </c>
    </row>
    <row r="4" spans="1:16" ht="16">
      <c r="A4" s="15">
        <v>19</v>
      </c>
      <c r="B4" s="15" t="s">
        <v>51</v>
      </c>
      <c r="C4" s="15" t="s">
        <v>50</v>
      </c>
      <c r="D4" s="15" t="s">
        <v>48</v>
      </c>
      <c r="E4" s="16"/>
      <c r="F4" s="16">
        <v>15.43</v>
      </c>
      <c r="G4" s="21">
        <v>18.37</v>
      </c>
      <c r="H4">
        <f>G4-F4</f>
        <v>2.9400000000000013</v>
      </c>
      <c r="J4" s="15">
        <v>7</v>
      </c>
      <c r="K4" s="15" t="s">
        <v>46</v>
      </c>
      <c r="L4" s="15" t="s">
        <v>50</v>
      </c>
      <c r="M4" s="15" t="s">
        <v>48</v>
      </c>
      <c r="N4" s="16">
        <v>1.19</v>
      </c>
      <c r="O4" s="21">
        <v>1.45</v>
      </c>
      <c r="P4">
        <f>O4-N4</f>
        <v>0.26</v>
      </c>
    </row>
    <row r="5" spans="1:16" ht="16">
      <c r="A5" s="22">
        <v>20</v>
      </c>
      <c r="B5" s="22" t="s">
        <v>51</v>
      </c>
      <c r="C5" s="22" t="s">
        <v>50</v>
      </c>
      <c r="D5" s="22" t="s">
        <v>49</v>
      </c>
      <c r="E5" s="23"/>
      <c r="F5" s="23">
        <v>17.440000000000001</v>
      </c>
      <c r="G5" s="28">
        <v>17.98</v>
      </c>
      <c r="H5" s="215">
        <f t="shared" ref="H5:H9" si="0">G5-F5</f>
        <v>0.53999999999999915</v>
      </c>
      <c r="J5" s="22">
        <v>8</v>
      </c>
      <c r="K5" s="22" t="s">
        <v>46</v>
      </c>
      <c r="L5" s="22" t="s">
        <v>50</v>
      </c>
      <c r="M5" s="22" t="s">
        <v>49</v>
      </c>
      <c r="N5" s="23">
        <v>0.9</v>
      </c>
      <c r="O5" s="28">
        <v>1.2</v>
      </c>
      <c r="P5" s="215">
        <f t="shared" ref="P5:P9" si="1">O5-N5</f>
        <v>0.29999999999999993</v>
      </c>
    </row>
    <row r="6" spans="1:16" ht="16">
      <c r="A6" s="15">
        <v>21</v>
      </c>
      <c r="B6" s="15" t="s">
        <v>51</v>
      </c>
      <c r="C6" s="15" t="s">
        <v>50</v>
      </c>
      <c r="D6" s="15" t="s">
        <v>48</v>
      </c>
      <c r="E6" s="16"/>
      <c r="F6" s="16">
        <v>17.829999999999998</v>
      </c>
      <c r="G6" s="21">
        <v>23.41</v>
      </c>
      <c r="H6">
        <f t="shared" si="0"/>
        <v>5.5800000000000018</v>
      </c>
      <c r="J6" s="15">
        <v>9</v>
      </c>
      <c r="K6" s="15" t="s">
        <v>46</v>
      </c>
      <c r="L6" s="15" t="s">
        <v>50</v>
      </c>
      <c r="M6" s="15" t="s">
        <v>48</v>
      </c>
      <c r="N6" s="16">
        <v>0.84</v>
      </c>
      <c r="O6" s="21">
        <v>1.48</v>
      </c>
      <c r="P6">
        <f t="shared" si="1"/>
        <v>0.64</v>
      </c>
    </row>
    <row r="7" spans="1:16" ht="16">
      <c r="A7" s="22">
        <v>22</v>
      </c>
      <c r="B7" s="22" t="s">
        <v>51</v>
      </c>
      <c r="C7" s="22" t="s">
        <v>50</v>
      </c>
      <c r="D7" s="22" t="s">
        <v>49</v>
      </c>
      <c r="E7" s="23"/>
      <c r="F7" s="23">
        <v>10.95</v>
      </c>
      <c r="G7" s="28">
        <v>15.53</v>
      </c>
      <c r="H7" s="215">
        <f t="shared" si="0"/>
        <v>4.58</v>
      </c>
      <c r="J7" s="22">
        <v>10</v>
      </c>
      <c r="K7" s="22" t="s">
        <v>46</v>
      </c>
      <c r="L7" s="22" t="s">
        <v>50</v>
      </c>
      <c r="M7" s="22" t="s">
        <v>49</v>
      </c>
      <c r="N7" s="23">
        <v>1.22</v>
      </c>
      <c r="O7" s="28">
        <v>1.83</v>
      </c>
      <c r="P7" s="215">
        <f t="shared" si="1"/>
        <v>0.6100000000000001</v>
      </c>
    </row>
    <row r="8" spans="1:16" ht="16">
      <c r="A8" s="15">
        <v>23</v>
      </c>
      <c r="B8" s="15" t="s">
        <v>51</v>
      </c>
      <c r="C8" s="15" t="s">
        <v>50</v>
      </c>
      <c r="D8" s="15" t="s">
        <v>48</v>
      </c>
      <c r="E8" s="16"/>
      <c r="F8" s="16">
        <v>15.1</v>
      </c>
      <c r="G8" s="21">
        <v>27.45</v>
      </c>
      <c r="H8">
        <f t="shared" si="0"/>
        <v>12.35</v>
      </c>
      <c r="J8" s="15">
        <v>11</v>
      </c>
      <c r="K8" s="15" t="s">
        <v>46</v>
      </c>
      <c r="L8" s="15" t="s">
        <v>50</v>
      </c>
      <c r="M8" s="15" t="s">
        <v>48</v>
      </c>
      <c r="N8" s="16">
        <v>1.1299999999999999</v>
      </c>
      <c r="O8" s="21">
        <v>1.8</v>
      </c>
      <c r="P8">
        <f t="shared" si="1"/>
        <v>0.67000000000000015</v>
      </c>
    </row>
    <row r="9" spans="1:16" ht="16">
      <c r="A9" s="22">
        <v>24</v>
      </c>
      <c r="B9" s="22" t="s">
        <v>51</v>
      </c>
      <c r="C9" s="22" t="s">
        <v>50</v>
      </c>
      <c r="D9" s="22" t="s">
        <v>49</v>
      </c>
      <c r="E9" s="23"/>
      <c r="F9" s="23">
        <v>13.58</v>
      </c>
      <c r="G9" s="28">
        <v>17.510000000000002</v>
      </c>
      <c r="H9" s="215">
        <f t="shared" si="0"/>
        <v>3.9300000000000015</v>
      </c>
      <c r="J9" s="22">
        <v>12</v>
      </c>
      <c r="K9" s="22" t="s">
        <v>46</v>
      </c>
      <c r="L9" s="22" t="s">
        <v>50</v>
      </c>
      <c r="M9" s="22" t="s">
        <v>49</v>
      </c>
      <c r="N9" s="23">
        <v>1.47</v>
      </c>
      <c r="O9" s="28">
        <v>3.48</v>
      </c>
      <c r="P9" s="215">
        <f t="shared" si="1"/>
        <v>2.0099999999999998</v>
      </c>
    </row>
    <row r="10" spans="1:16" ht="64">
      <c r="F10" s="2" t="s">
        <v>342</v>
      </c>
      <c r="G10" s="42" t="s">
        <v>338</v>
      </c>
      <c r="H10" s="214" t="s">
        <v>343</v>
      </c>
      <c r="N10" s="2" t="s">
        <v>342</v>
      </c>
      <c r="O10" s="42" t="s">
        <v>338</v>
      </c>
      <c r="P10" s="214" t="s">
        <v>343</v>
      </c>
    </row>
    <row r="11" spans="1:16" ht="16">
      <c r="A11" s="15">
        <v>43</v>
      </c>
      <c r="B11" s="15" t="s">
        <v>51</v>
      </c>
      <c r="C11" s="15" t="s">
        <v>50</v>
      </c>
      <c r="D11" s="15" t="s">
        <v>48</v>
      </c>
      <c r="F11" s="21">
        <v>21.76</v>
      </c>
      <c r="G11" s="21">
        <v>27.19</v>
      </c>
      <c r="H11">
        <f>G11-F11</f>
        <v>5.43</v>
      </c>
      <c r="J11" s="15">
        <v>31</v>
      </c>
      <c r="K11" s="15" t="s">
        <v>46</v>
      </c>
      <c r="L11" s="15" t="s">
        <v>50</v>
      </c>
      <c r="M11" s="15" t="s">
        <v>48</v>
      </c>
      <c r="N11" s="21">
        <v>0.85</v>
      </c>
      <c r="O11" s="21">
        <v>1.25</v>
      </c>
      <c r="P11">
        <f>O11-N11</f>
        <v>0.4</v>
      </c>
    </row>
    <row r="12" spans="1:16" ht="16">
      <c r="A12" s="22">
        <v>44</v>
      </c>
      <c r="B12" s="22" t="s">
        <v>51</v>
      </c>
      <c r="C12" s="22" t="s">
        <v>50</v>
      </c>
      <c r="D12" s="22" t="s">
        <v>49</v>
      </c>
      <c r="F12" s="28">
        <v>18.899999999999999</v>
      </c>
      <c r="G12" s="28">
        <v>22.23</v>
      </c>
      <c r="H12" s="215">
        <f t="shared" ref="H12:H16" si="2">G12-F12</f>
        <v>3.3300000000000018</v>
      </c>
      <c r="J12" s="22">
        <v>32</v>
      </c>
      <c r="K12" s="22" t="s">
        <v>46</v>
      </c>
      <c r="L12" s="22" t="s">
        <v>50</v>
      </c>
      <c r="M12" s="22" t="s">
        <v>49</v>
      </c>
      <c r="N12" s="28">
        <v>0.8</v>
      </c>
      <c r="O12" s="28">
        <v>1.05</v>
      </c>
      <c r="P12" s="215">
        <f t="shared" ref="P12:P16" si="3">O12-N12</f>
        <v>0.25</v>
      </c>
    </row>
    <row r="13" spans="1:16" ht="16">
      <c r="A13" s="15">
        <v>45</v>
      </c>
      <c r="B13" s="15" t="s">
        <v>51</v>
      </c>
      <c r="C13" s="15" t="s">
        <v>50</v>
      </c>
      <c r="D13" s="15" t="s">
        <v>48</v>
      </c>
      <c r="F13" s="21">
        <v>19.43</v>
      </c>
      <c r="G13" s="21">
        <v>22.62</v>
      </c>
      <c r="H13">
        <f t="shared" si="2"/>
        <v>3.1900000000000013</v>
      </c>
      <c r="J13" s="15">
        <v>33</v>
      </c>
      <c r="K13" s="15" t="s">
        <v>46</v>
      </c>
      <c r="L13" s="15" t="s">
        <v>50</v>
      </c>
      <c r="M13" s="15" t="s">
        <v>48</v>
      </c>
      <c r="N13" s="21">
        <v>1.24</v>
      </c>
      <c r="O13" s="21">
        <v>1.52</v>
      </c>
      <c r="P13">
        <f t="shared" si="3"/>
        <v>0.28000000000000003</v>
      </c>
    </row>
    <row r="14" spans="1:16" ht="16">
      <c r="A14" s="22">
        <v>46</v>
      </c>
      <c r="B14" s="22" t="s">
        <v>51</v>
      </c>
      <c r="C14" s="22" t="s">
        <v>50</v>
      </c>
      <c r="D14" s="22" t="s">
        <v>49</v>
      </c>
      <c r="F14" s="28">
        <v>17.79</v>
      </c>
      <c r="G14" s="28">
        <v>20.37</v>
      </c>
      <c r="H14" s="215">
        <f t="shared" si="2"/>
        <v>2.5800000000000018</v>
      </c>
      <c r="J14" s="22">
        <v>34</v>
      </c>
      <c r="K14" s="22" t="s">
        <v>46</v>
      </c>
      <c r="L14" s="22" t="s">
        <v>50</v>
      </c>
      <c r="M14" s="22" t="s">
        <v>49</v>
      </c>
      <c r="N14" s="28">
        <v>1.28</v>
      </c>
      <c r="O14" s="28">
        <v>1.79</v>
      </c>
      <c r="P14" s="215">
        <f t="shared" si="3"/>
        <v>0.51</v>
      </c>
    </row>
    <row r="15" spans="1:16" ht="16">
      <c r="A15" s="59">
        <v>47</v>
      </c>
      <c r="B15" s="59" t="s">
        <v>51</v>
      </c>
      <c r="C15" s="59" t="s">
        <v>50</v>
      </c>
      <c r="D15" s="59" t="s">
        <v>49</v>
      </c>
      <c r="F15" s="60">
        <v>21.75</v>
      </c>
      <c r="G15" s="28">
        <v>28.85</v>
      </c>
      <c r="H15" s="215">
        <f t="shared" si="2"/>
        <v>7.1000000000000014</v>
      </c>
      <c r="J15" s="15">
        <v>35</v>
      </c>
      <c r="K15" s="15" t="s">
        <v>46</v>
      </c>
      <c r="L15" s="15" t="s">
        <v>50</v>
      </c>
      <c r="M15" s="15" t="s">
        <v>48</v>
      </c>
      <c r="N15" s="21">
        <v>1.93</v>
      </c>
      <c r="O15" s="21">
        <v>3.43</v>
      </c>
      <c r="P15">
        <f t="shared" si="3"/>
        <v>1.5000000000000002</v>
      </c>
    </row>
    <row r="16" spans="1:16" ht="16">
      <c r="A16" s="62">
        <v>48</v>
      </c>
      <c r="B16" s="62" t="s">
        <v>51</v>
      </c>
      <c r="C16" s="62" t="s">
        <v>50</v>
      </c>
      <c r="D16" s="62" t="s">
        <v>48</v>
      </c>
      <c r="F16" s="63">
        <v>16.77</v>
      </c>
      <c r="G16" s="21">
        <v>18.09</v>
      </c>
      <c r="H16">
        <f t="shared" si="2"/>
        <v>1.3200000000000003</v>
      </c>
      <c r="J16" s="22">
        <v>36</v>
      </c>
      <c r="K16" s="22" t="s">
        <v>46</v>
      </c>
      <c r="L16" s="22" t="s">
        <v>50</v>
      </c>
      <c r="M16" s="22" t="s">
        <v>49</v>
      </c>
      <c r="N16" s="28">
        <v>1.1000000000000001</v>
      </c>
      <c r="O16" s="28">
        <v>1.41</v>
      </c>
      <c r="P16" s="215">
        <f t="shared" si="3"/>
        <v>0.30999999999999983</v>
      </c>
    </row>
    <row r="17" spans="1:16" ht="64">
      <c r="F17" s="2" t="s">
        <v>344</v>
      </c>
      <c r="G17" s="80" t="s">
        <v>339</v>
      </c>
      <c r="H17" s="214" t="s">
        <v>345</v>
      </c>
      <c r="N17" s="2" t="s">
        <v>344</v>
      </c>
      <c r="O17" s="80" t="s">
        <v>339</v>
      </c>
      <c r="P17" s="214" t="s">
        <v>345</v>
      </c>
    </row>
    <row r="18" spans="1:16" ht="16">
      <c r="A18" s="15">
        <v>61</v>
      </c>
      <c r="B18" s="15" t="s">
        <v>51</v>
      </c>
      <c r="C18" s="15" t="s">
        <v>50</v>
      </c>
      <c r="D18" s="62" t="s">
        <v>48</v>
      </c>
      <c r="F18" s="91">
        <v>20.55</v>
      </c>
      <c r="G18" s="218">
        <v>21.89</v>
      </c>
      <c r="H18">
        <f>G18-F18</f>
        <v>1.3399999999999999</v>
      </c>
      <c r="J18" s="82">
        <v>49</v>
      </c>
      <c r="K18" s="82" t="s">
        <v>46</v>
      </c>
      <c r="L18" s="82" t="s">
        <v>50</v>
      </c>
      <c r="M18" s="82" t="s">
        <v>333</v>
      </c>
      <c r="N18" s="83">
        <v>1.19</v>
      </c>
      <c r="O18" s="220">
        <v>1.58</v>
      </c>
      <c r="P18" s="216">
        <f>O18-N18</f>
        <v>0.39000000000000012</v>
      </c>
    </row>
    <row r="19" spans="1:16" ht="16">
      <c r="A19" s="97">
        <v>62</v>
      </c>
      <c r="B19" s="97" t="s">
        <v>51</v>
      </c>
      <c r="C19" s="97" t="s">
        <v>50</v>
      </c>
      <c r="D19" s="97" t="s">
        <v>333</v>
      </c>
      <c r="F19" s="98">
        <v>20.46</v>
      </c>
      <c r="G19" s="219">
        <v>19.47</v>
      </c>
      <c r="H19" s="217">
        <f t="shared" ref="H19:H28" si="4">G19-F19</f>
        <v>-0.99000000000000199</v>
      </c>
      <c r="J19" s="15">
        <v>50</v>
      </c>
      <c r="K19" s="15" t="s">
        <v>46</v>
      </c>
      <c r="L19" s="15" t="s">
        <v>50</v>
      </c>
      <c r="M19" s="15" t="s">
        <v>48</v>
      </c>
      <c r="N19" s="91">
        <v>1.41</v>
      </c>
      <c r="O19" s="218">
        <v>2.37</v>
      </c>
      <c r="P19">
        <f t="shared" ref="P19:P29" si="5">O19-N19</f>
        <v>0.96000000000000019</v>
      </c>
    </row>
    <row r="20" spans="1:16" ht="16">
      <c r="A20" s="97">
        <v>63</v>
      </c>
      <c r="B20" s="97" t="s">
        <v>51</v>
      </c>
      <c r="C20" s="97" t="s">
        <v>50</v>
      </c>
      <c r="D20" s="97" t="s">
        <v>333</v>
      </c>
      <c r="F20" s="98">
        <v>22.04</v>
      </c>
      <c r="G20" s="219">
        <v>22.2</v>
      </c>
      <c r="H20" s="217">
        <f t="shared" si="4"/>
        <v>0.16000000000000014</v>
      </c>
      <c r="J20" s="15">
        <v>51</v>
      </c>
      <c r="K20" s="15" t="s">
        <v>46</v>
      </c>
      <c r="L20" s="15" t="s">
        <v>50</v>
      </c>
      <c r="M20" s="15" t="s">
        <v>48</v>
      </c>
      <c r="N20" s="91">
        <v>1.58</v>
      </c>
      <c r="O20" s="218">
        <v>2.95</v>
      </c>
      <c r="P20">
        <f t="shared" si="5"/>
        <v>1.37</v>
      </c>
    </row>
    <row r="21" spans="1:16" ht="16">
      <c r="A21" s="97">
        <v>64</v>
      </c>
      <c r="B21" s="97" t="s">
        <v>51</v>
      </c>
      <c r="C21" s="97" t="s">
        <v>50</v>
      </c>
      <c r="D21" s="97" t="s">
        <v>333</v>
      </c>
      <c r="F21" s="98">
        <v>20.95</v>
      </c>
      <c r="G21" s="219">
        <v>18.27</v>
      </c>
      <c r="H21" s="217">
        <f t="shared" si="4"/>
        <v>-2.6799999999999997</v>
      </c>
      <c r="J21" s="15">
        <v>52</v>
      </c>
      <c r="K21" s="15" t="s">
        <v>46</v>
      </c>
      <c r="L21" s="15" t="s">
        <v>50</v>
      </c>
      <c r="M21" s="15" t="s">
        <v>48</v>
      </c>
      <c r="N21" s="91">
        <v>1.43</v>
      </c>
      <c r="O21" s="218">
        <v>2.04</v>
      </c>
      <c r="P21">
        <f t="shared" si="5"/>
        <v>0.6100000000000001</v>
      </c>
    </row>
    <row r="22" spans="1:16" ht="16">
      <c r="A22" s="97">
        <v>65</v>
      </c>
      <c r="B22" s="97" t="s">
        <v>51</v>
      </c>
      <c r="C22" s="97" t="s">
        <v>50</v>
      </c>
      <c r="D22" s="97" t="s">
        <v>333</v>
      </c>
      <c r="F22" s="98">
        <v>23.24</v>
      </c>
      <c r="G22" s="219">
        <v>24.15</v>
      </c>
      <c r="H22" s="217">
        <f t="shared" si="4"/>
        <v>0.91000000000000014</v>
      </c>
      <c r="J22" s="15">
        <v>53</v>
      </c>
      <c r="K22" s="15" t="s">
        <v>46</v>
      </c>
      <c r="L22" s="15" t="s">
        <v>50</v>
      </c>
      <c r="M22" s="15" t="s">
        <v>48</v>
      </c>
      <c r="N22" s="91">
        <v>1.56</v>
      </c>
      <c r="O22" s="218">
        <v>3.18</v>
      </c>
      <c r="P22">
        <f t="shared" si="5"/>
        <v>1.62</v>
      </c>
    </row>
    <row r="23" spans="1:16" ht="16">
      <c r="A23" s="15">
        <v>66</v>
      </c>
      <c r="B23" s="15" t="s">
        <v>51</v>
      </c>
      <c r="C23" s="15" t="s">
        <v>50</v>
      </c>
      <c r="D23" s="62" t="s">
        <v>48</v>
      </c>
      <c r="F23" s="91">
        <v>23.68</v>
      </c>
      <c r="G23" s="218">
        <v>28.44</v>
      </c>
      <c r="H23">
        <f t="shared" si="4"/>
        <v>4.7600000000000016</v>
      </c>
      <c r="J23" s="82">
        <v>54</v>
      </c>
      <c r="K23" s="82" t="s">
        <v>46</v>
      </c>
      <c r="L23" s="82" t="s">
        <v>50</v>
      </c>
      <c r="M23" s="82" t="s">
        <v>333</v>
      </c>
      <c r="N23" s="83">
        <v>1.32</v>
      </c>
      <c r="O23" s="220">
        <v>1.99</v>
      </c>
      <c r="P23" s="216">
        <f t="shared" si="5"/>
        <v>0.66999999999999993</v>
      </c>
    </row>
    <row r="24" spans="1:16" ht="16">
      <c r="A24" s="15">
        <v>67</v>
      </c>
      <c r="B24" s="15" t="s">
        <v>51</v>
      </c>
      <c r="C24" s="15" t="s">
        <v>50</v>
      </c>
      <c r="D24" s="62" t="s">
        <v>48</v>
      </c>
      <c r="F24" s="91">
        <v>14.55</v>
      </c>
      <c r="G24" s="218">
        <v>19.920000000000002</v>
      </c>
      <c r="H24">
        <f t="shared" si="4"/>
        <v>5.370000000000001</v>
      </c>
      <c r="J24" s="82">
        <v>55</v>
      </c>
      <c r="K24" s="82" t="s">
        <v>46</v>
      </c>
      <c r="L24" s="82" t="s">
        <v>50</v>
      </c>
      <c r="M24" s="82" t="s">
        <v>333</v>
      </c>
      <c r="N24" s="83">
        <v>0.96</v>
      </c>
      <c r="O24" s="220">
        <v>1.28</v>
      </c>
      <c r="P24" s="216">
        <f t="shared" si="5"/>
        <v>0.32000000000000006</v>
      </c>
    </row>
    <row r="25" spans="1:16" ht="16">
      <c r="A25" s="15">
        <v>68</v>
      </c>
      <c r="B25" s="15" t="s">
        <v>51</v>
      </c>
      <c r="C25" s="15" t="s">
        <v>50</v>
      </c>
      <c r="D25" s="62" t="s">
        <v>48</v>
      </c>
      <c r="F25" s="91">
        <v>22.21</v>
      </c>
      <c r="G25" s="218">
        <v>23.3</v>
      </c>
      <c r="H25">
        <f t="shared" si="4"/>
        <v>1.0899999999999999</v>
      </c>
      <c r="J25" s="15">
        <v>56</v>
      </c>
      <c r="K25" s="15" t="s">
        <v>46</v>
      </c>
      <c r="L25" s="15" t="s">
        <v>50</v>
      </c>
      <c r="M25" s="15" t="s">
        <v>48</v>
      </c>
      <c r="N25" s="91">
        <v>1.63</v>
      </c>
      <c r="O25" s="218">
        <v>2.2599999999999998</v>
      </c>
      <c r="P25">
        <f t="shared" si="5"/>
        <v>0.62999999999999989</v>
      </c>
    </row>
    <row r="26" spans="1:16" ht="16">
      <c r="A26" s="97">
        <v>69</v>
      </c>
      <c r="B26" s="97" t="s">
        <v>51</v>
      </c>
      <c r="C26" s="97" t="s">
        <v>50</v>
      </c>
      <c r="D26" s="97" t="s">
        <v>333</v>
      </c>
      <c r="F26" s="98">
        <v>21</v>
      </c>
      <c r="G26" s="219">
        <v>20.49</v>
      </c>
      <c r="H26" s="217">
        <f t="shared" si="4"/>
        <v>-0.51000000000000156</v>
      </c>
      <c r="J26" s="15">
        <v>57</v>
      </c>
      <c r="K26" s="15" t="s">
        <v>46</v>
      </c>
      <c r="L26" s="15" t="s">
        <v>50</v>
      </c>
      <c r="M26" s="15" t="s">
        <v>48</v>
      </c>
      <c r="N26" s="91">
        <v>0.86</v>
      </c>
      <c r="O26" s="218">
        <v>1.61</v>
      </c>
      <c r="P26">
        <f t="shared" si="5"/>
        <v>0.75000000000000011</v>
      </c>
    </row>
    <row r="27" spans="1:16" ht="16">
      <c r="A27" s="15">
        <v>70</v>
      </c>
      <c r="B27" s="15" t="s">
        <v>51</v>
      </c>
      <c r="C27" s="15" t="s">
        <v>50</v>
      </c>
      <c r="D27" s="62" t="s">
        <v>48</v>
      </c>
      <c r="F27" s="91">
        <v>16.95</v>
      </c>
      <c r="G27" s="218">
        <v>19.73</v>
      </c>
      <c r="H27">
        <f t="shared" si="4"/>
        <v>2.7800000000000011</v>
      </c>
      <c r="J27" s="82">
        <v>58</v>
      </c>
      <c r="K27" s="82" t="s">
        <v>46</v>
      </c>
      <c r="L27" s="82" t="s">
        <v>50</v>
      </c>
      <c r="M27" s="82" t="s">
        <v>333</v>
      </c>
      <c r="N27" s="83">
        <v>1.54</v>
      </c>
      <c r="O27" s="220">
        <v>1.57</v>
      </c>
      <c r="P27" s="216">
        <f t="shared" si="5"/>
        <v>3.0000000000000027E-2</v>
      </c>
    </row>
    <row r="28" spans="1:16" ht="16">
      <c r="A28" s="107">
        <v>71</v>
      </c>
      <c r="B28" s="107" t="s">
        <v>51</v>
      </c>
      <c r="C28" s="97" t="s">
        <v>50</v>
      </c>
      <c r="D28" s="97" t="s">
        <v>333</v>
      </c>
      <c r="F28" s="98">
        <v>23.14</v>
      </c>
      <c r="G28" s="219">
        <v>26.28</v>
      </c>
      <c r="H28" s="217">
        <f t="shared" si="4"/>
        <v>3.1400000000000006</v>
      </c>
      <c r="J28" s="82">
        <v>59</v>
      </c>
      <c r="K28" s="82" t="s">
        <v>46</v>
      </c>
      <c r="L28" s="82" t="s">
        <v>50</v>
      </c>
      <c r="M28" s="82" t="s">
        <v>333</v>
      </c>
      <c r="N28" s="83">
        <v>1.37</v>
      </c>
      <c r="O28" s="220">
        <v>1.47</v>
      </c>
      <c r="P28" s="216">
        <f t="shared" si="5"/>
        <v>9.9999999999999867E-2</v>
      </c>
    </row>
    <row r="29" spans="1:16" ht="16">
      <c r="J29" s="82">
        <v>60</v>
      </c>
      <c r="K29" s="82" t="s">
        <v>46</v>
      </c>
      <c r="L29" s="82" t="s">
        <v>50</v>
      </c>
      <c r="M29" s="82" t="s">
        <v>333</v>
      </c>
      <c r="N29" s="83">
        <v>1.07</v>
      </c>
      <c r="O29" s="220">
        <v>1.75</v>
      </c>
      <c r="P29" s="216">
        <f t="shared" si="5"/>
        <v>0.67999999999999994</v>
      </c>
    </row>
    <row r="34" spans="15:15">
      <c r="O34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"/>
  <sheetViews>
    <sheetView workbookViewId="0">
      <selection activeCell="O1" sqref="O1:O1048576"/>
    </sheetView>
  </sheetViews>
  <sheetFormatPr baseColWidth="10" defaultColWidth="8.83203125" defaultRowHeight="15"/>
  <cols>
    <col min="5" max="5" width="9.1640625"/>
    <col min="8" max="8" width="11.1640625" customWidth="1"/>
  </cols>
  <sheetData>
    <row r="1" spans="1:16">
      <c r="A1" t="s">
        <v>327</v>
      </c>
    </row>
    <row r="3" spans="1:16" ht="64">
      <c r="A3" t="s">
        <v>328</v>
      </c>
      <c r="E3" s="2" t="s">
        <v>12</v>
      </c>
      <c r="F3" s="2" t="s">
        <v>13</v>
      </c>
      <c r="G3" s="6" t="s">
        <v>329</v>
      </c>
      <c r="H3" s="214" t="s">
        <v>330</v>
      </c>
      <c r="N3" s="2" t="s">
        <v>13</v>
      </c>
      <c r="O3" s="6" t="s">
        <v>329</v>
      </c>
      <c r="P3" s="214" t="s">
        <v>330</v>
      </c>
    </row>
    <row r="4" spans="1:16" ht="16">
      <c r="A4" s="15">
        <v>19</v>
      </c>
      <c r="B4" s="15" t="s">
        <v>51</v>
      </c>
      <c r="C4" s="15" t="s">
        <v>50</v>
      </c>
      <c r="D4" s="15" t="s">
        <v>48</v>
      </c>
      <c r="E4" s="16">
        <v>42.9</v>
      </c>
      <c r="F4" s="16">
        <v>42.6</v>
      </c>
      <c r="G4" s="15">
        <v>46.6</v>
      </c>
      <c r="H4">
        <f>G4-F4</f>
        <v>4</v>
      </c>
      <c r="J4" s="15">
        <v>7</v>
      </c>
      <c r="K4" s="15" t="s">
        <v>46</v>
      </c>
      <c r="L4" s="15" t="s">
        <v>50</v>
      </c>
      <c r="M4" s="15" t="s">
        <v>48</v>
      </c>
      <c r="N4" s="16">
        <v>20.8</v>
      </c>
      <c r="O4" s="15">
        <v>21.7</v>
      </c>
      <c r="P4">
        <f>O4-N4</f>
        <v>0.89999999999999858</v>
      </c>
    </row>
    <row r="5" spans="1:16" ht="32">
      <c r="A5" s="22">
        <v>20</v>
      </c>
      <c r="B5" s="22" t="s">
        <v>51</v>
      </c>
      <c r="C5" s="22" t="s">
        <v>50</v>
      </c>
      <c r="D5" s="22" t="s">
        <v>49</v>
      </c>
      <c r="E5" s="23">
        <v>46.3</v>
      </c>
      <c r="F5" s="23">
        <v>46.1</v>
      </c>
      <c r="G5" s="22">
        <v>46.8</v>
      </c>
      <c r="H5" s="215">
        <f t="shared" ref="H5:H9" si="0">G5-F5</f>
        <v>0.69999999999999574</v>
      </c>
      <c r="J5" s="22">
        <v>8</v>
      </c>
      <c r="K5" s="22" t="s">
        <v>46</v>
      </c>
      <c r="L5" s="22" t="s">
        <v>50</v>
      </c>
      <c r="M5" s="22" t="s">
        <v>49</v>
      </c>
      <c r="N5" s="23">
        <v>21.7</v>
      </c>
      <c r="O5" s="22">
        <v>23.6</v>
      </c>
      <c r="P5" s="215">
        <f t="shared" ref="P5:P9" si="1">O5-N5</f>
        <v>1.9000000000000021</v>
      </c>
    </row>
    <row r="6" spans="1:16" ht="16">
      <c r="A6" s="15">
        <v>21</v>
      </c>
      <c r="B6" s="15" t="s">
        <v>51</v>
      </c>
      <c r="C6" s="15" t="s">
        <v>50</v>
      </c>
      <c r="D6" s="15" t="s">
        <v>48</v>
      </c>
      <c r="E6" s="16">
        <v>44.4</v>
      </c>
      <c r="F6" s="16">
        <v>45.9</v>
      </c>
      <c r="G6" s="15">
        <v>52.5</v>
      </c>
      <c r="H6">
        <f t="shared" si="0"/>
        <v>6.6000000000000014</v>
      </c>
      <c r="J6" s="15">
        <v>9</v>
      </c>
      <c r="K6" s="15" t="s">
        <v>46</v>
      </c>
      <c r="L6" s="15" t="s">
        <v>50</v>
      </c>
      <c r="M6" s="15" t="s">
        <v>48</v>
      </c>
      <c r="N6" s="16">
        <v>20.8</v>
      </c>
      <c r="O6" s="15">
        <v>22.6</v>
      </c>
      <c r="P6">
        <f t="shared" si="1"/>
        <v>1.8000000000000007</v>
      </c>
    </row>
    <row r="7" spans="1:16" ht="32">
      <c r="A7" s="22">
        <v>22</v>
      </c>
      <c r="B7" s="22" t="s">
        <v>51</v>
      </c>
      <c r="C7" s="22" t="s">
        <v>50</v>
      </c>
      <c r="D7" s="22" t="s">
        <v>49</v>
      </c>
      <c r="E7" s="23">
        <v>39.6</v>
      </c>
      <c r="F7" s="23">
        <v>39.5</v>
      </c>
      <c r="G7" s="22">
        <v>43.2</v>
      </c>
      <c r="H7" s="215">
        <f t="shared" si="0"/>
        <v>3.7000000000000028</v>
      </c>
      <c r="J7" s="22">
        <v>10</v>
      </c>
      <c r="K7" s="22" t="s">
        <v>46</v>
      </c>
      <c r="L7" s="22" t="s">
        <v>50</v>
      </c>
      <c r="M7" s="22" t="s">
        <v>49</v>
      </c>
      <c r="N7" s="23">
        <v>21.4</v>
      </c>
      <c r="O7" s="22">
        <v>22.8</v>
      </c>
      <c r="P7" s="215">
        <f t="shared" si="1"/>
        <v>1.4000000000000021</v>
      </c>
    </row>
    <row r="8" spans="1:16" ht="16">
      <c r="A8" s="15">
        <v>23</v>
      </c>
      <c r="B8" s="15" t="s">
        <v>51</v>
      </c>
      <c r="C8" s="15" t="s">
        <v>50</v>
      </c>
      <c r="D8" s="15" t="s">
        <v>48</v>
      </c>
      <c r="E8" s="16">
        <v>45.4</v>
      </c>
      <c r="F8" s="16">
        <v>46.3</v>
      </c>
      <c r="G8" s="15">
        <v>58.9</v>
      </c>
      <c r="H8">
        <f t="shared" si="0"/>
        <v>12.600000000000001</v>
      </c>
      <c r="J8" s="15">
        <v>11</v>
      </c>
      <c r="K8" s="15" t="s">
        <v>46</v>
      </c>
      <c r="L8" s="15" t="s">
        <v>50</v>
      </c>
      <c r="M8" s="15" t="s">
        <v>48</v>
      </c>
      <c r="N8" s="16">
        <v>22</v>
      </c>
      <c r="O8" s="15">
        <v>23.2</v>
      </c>
      <c r="P8">
        <f t="shared" si="1"/>
        <v>1.1999999999999993</v>
      </c>
    </row>
    <row r="9" spans="1:16" ht="32">
      <c r="A9" s="22">
        <v>24</v>
      </c>
      <c r="B9" s="22" t="s">
        <v>51</v>
      </c>
      <c r="C9" s="22" t="s">
        <v>50</v>
      </c>
      <c r="D9" s="22" t="s">
        <v>49</v>
      </c>
      <c r="E9" s="23">
        <v>43.8</v>
      </c>
      <c r="F9" s="23">
        <v>44.6</v>
      </c>
      <c r="G9" s="22">
        <v>47.4</v>
      </c>
      <c r="H9" s="215">
        <f t="shared" si="0"/>
        <v>2.7999999999999972</v>
      </c>
      <c r="J9" s="22">
        <v>12</v>
      </c>
      <c r="K9" s="22" t="s">
        <v>46</v>
      </c>
      <c r="L9" s="22" t="s">
        <v>50</v>
      </c>
      <c r="M9" s="22" t="s">
        <v>49</v>
      </c>
      <c r="N9" s="23">
        <v>23</v>
      </c>
      <c r="O9" s="22">
        <v>25.8</v>
      </c>
      <c r="P9" s="215">
        <f t="shared" si="1"/>
        <v>2.8000000000000007</v>
      </c>
    </row>
    <row r="10" spans="1:16" ht="80">
      <c r="F10" s="2" t="s">
        <v>66</v>
      </c>
      <c r="G10" s="42" t="s">
        <v>331</v>
      </c>
      <c r="H10" s="214" t="s">
        <v>332</v>
      </c>
      <c r="N10" s="2" t="s">
        <v>66</v>
      </c>
      <c r="O10" s="42" t="s">
        <v>331</v>
      </c>
      <c r="P10" s="214" t="s">
        <v>332</v>
      </c>
    </row>
    <row r="11" spans="1:16" ht="16">
      <c r="A11" s="15">
        <v>43</v>
      </c>
      <c r="B11" s="15" t="s">
        <v>51</v>
      </c>
      <c r="C11" s="15" t="s">
        <v>50</v>
      </c>
      <c r="D11" s="15" t="s">
        <v>48</v>
      </c>
      <c r="F11" s="15">
        <v>52.05</v>
      </c>
      <c r="G11" s="15">
        <v>59.5</v>
      </c>
      <c r="H11">
        <f>G11-F11</f>
        <v>7.4500000000000028</v>
      </c>
      <c r="J11" s="15">
        <v>31</v>
      </c>
      <c r="K11" s="15" t="s">
        <v>46</v>
      </c>
      <c r="L11" s="15" t="s">
        <v>50</v>
      </c>
      <c r="M11" s="15" t="s">
        <v>48</v>
      </c>
      <c r="N11" s="15">
        <v>19.95</v>
      </c>
      <c r="O11" s="15">
        <v>21.1</v>
      </c>
      <c r="P11">
        <f>O11-N11</f>
        <v>1.1500000000000021</v>
      </c>
    </row>
    <row r="12" spans="1:16" ht="32">
      <c r="A12" s="22">
        <v>44</v>
      </c>
      <c r="B12" s="22" t="s">
        <v>51</v>
      </c>
      <c r="C12" s="22" t="s">
        <v>50</v>
      </c>
      <c r="D12" s="22" t="s">
        <v>49</v>
      </c>
      <c r="F12" s="22">
        <v>47.39</v>
      </c>
      <c r="G12" s="22">
        <v>53.9</v>
      </c>
      <c r="H12" s="215">
        <f t="shared" ref="H12:H16" si="2">G12-F12</f>
        <v>6.509999999999998</v>
      </c>
      <c r="J12" s="22">
        <v>32</v>
      </c>
      <c r="K12" s="22" t="s">
        <v>46</v>
      </c>
      <c r="L12" s="22" t="s">
        <v>50</v>
      </c>
      <c r="M12" s="22" t="s">
        <v>49</v>
      </c>
      <c r="N12" s="22">
        <v>20.53</v>
      </c>
      <c r="O12" s="22">
        <v>20.7</v>
      </c>
      <c r="P12" s="215">
        <f t="shared" ref="P12:P16" si="3">O12-N12</f>
        <v>0.16999999999999815</v>
      </c>
    </row>
    <row r="13" spans="1:16" ht="16">
      <c r="A13" s="15">
        <v>45</v>
      </c>
      <c r="B13" s="15" t="s">
        <v>51</v>
      </c>
      <c r="C13" s="15" t="s">
        <v>50</v>
      </c>
      <c r="D13" s="15" t="s">
        <v>48</v>
      </c>
      <c r="F13" s="15">
        <v>48.92</v>
      </c>
      <c r="G13" s="15">
        <v>55.4</v>
      </c>
      <c r="H13">
        <f t="shared" si="2"/>
        <v>6.4799999999999969</v>
      </c>
      <c r="J13" s="15">
        <v>33</v>
      </c>
      <c r="K13" s="15" t="s">
        <v>46</v>
      </c>
      <c r="L13" s="15" t="s">
        <v>50</v>
      </c>
      <c r="M13" s="15" t="s">
        <v>48</v>
      </c>
      <c r="N13" s="15">
        <v>21.28</v>
      </c>
      <c r="O13" s="15">
        <v>21.7</v>
      </c>
      <c r="P13">
        <f t="shared" si="3"/>
        <v>0.41999999999999815</v>
      </c>
    </row>
    <row r="14" spans="1:16" ht="32">
      <c r="A14" s="22">
        <v>46</v>
      </c>
      <c r="B14" s="22" t="s">
        <v>51</v>
      </c>
      <c r="C14" s="22" t="s">
        <v>50</v>
      </c>
      <c r="D14" s="22" t="s">
        <v>49</v>
      </c>
      <c r="F14" s="22">
        <v>44.74</v>
      </c>
      <c r="G14" s="22">
        <v>51</v>
      </c>
      <c r="H14" s="215">
        <f t="shared" si="2"/>
        <v>6.259999999999998</v>
      </c>
      <c r="J14" s="22">
        <v>34</v>
      </c>
      <c r="K14" s="22" t="s">
        <v>46</v>
      </c>
      <c r="L14" s="22" t="s">
        <v>50</v>
      </c>
      <c r="M14" s="22" t="s">
        <v>49</v>
      </c>
      <c r="N14" s="22">
        <v>21.62</v>
      </c>
      <c r="O14" s="22">
        <v>23.1</v>
      </c>
      <c r="P14" s="215">
        <f t="shared" si="3"/>
        <v>1.4800000000000004</v>
      </c>
    </row>
    <row r="15" spans="1:16" ht="32">
      <c r="A15" s="59">
        <v>47</v>
      </c>
      <c r="B15" s="59" t="s">
        <v>51</v>
      </c>
      <c r="C15" s="59" t="s">
        <v>50</v>
      </c>
      <c r="D15" s="59" t="s">
        <v>49</v>
      </c>
      <c r="F15" s="59">
        <v>50.2</v>
      </c>
      <c r="G15" s="59">
        <v>60.4</v>
      </c>
      <c r="H15" s="215">
        <f t="shared" si="2"/>
        <v>10.199999999999996</v>
      </c>
      <c r="J15" s="15">
        <v>35</v>
      </c>
      <c r="K15" s="15" t="s">
        <v>46</v>
      </c>
      <c r="L15" s="15" t="s">
        <v>50</v>
      </c>
      <c r="M15" s="15" t="s">
        <v>48</v>
      </c>
      <c r="N15" s="15">
        <v>22.95</v>
      </c>
      <c r="O15" s="15">
        <v>24.6</v>
      </c>
      <c r="P15">
        <f t="shared" si="3"/>
        <v>1.6500000000000021</v>
      </c>
    </row>
    <row r="16" spans="1:16" ht="32">
      <c r="A16" s="62">
        <v>48</v>
      </c>
      <c r="B16" s="62" t="s">
        <v>51</v>
      </c>
      <c r="C16" s="62" t="s">
        <v>50</v>
      </c>
      <c r="D16" s="62" t="s">
        <v>48</v>
      </c>
      <c r="F16" s="62">
        <v>43</v>
      </c>
      <c r="G16" s="62">
        <v>46.4</v>
      </c>
      <c r="H16">
        <f t="shared" si="2"/>
        <v>3.3999999999999986</v>
      </c>
      <c r="J16" s="22">
        <v>36</v>
      </c>
      <c r="K16" s="22" t="s">
        <v>46</v>
      </c>
      <c r="L16" s="22" t="s">
        <v>50</v>
      </c>
      <c r="M16" s="22" t="s">
        <v>49</v>
      </c>
      <c r="N16" s="22">
        <v>21.85</v>
      </c>
      <c r="O16" s="22">
        <v>23.7</v>
      </c>
      <c r="P16" s="215">
        <f t="shared" si="3"/>
        <v>1.8499999999999979</v>
      </c>
    </row>
    <row r="17" spans="1:16" ht="64">
      <c r="F17" s="2" t="s">
        <v>119</v>
      </c>
      <c r="G17" s="80" t="s">
        <v>334</v>
      </c>
      <c r="H17" s="214" t="s">
        <v>335</v>
      </c>
      <c r="N17" s="2" t="s">
        <v>119</v>
      </c>
      <c r="O17" s="80" t="s">
        <v>334</v>
      </c>
      <c r="P17" s="214" t="s">
        <v>335</v>
      </c>
    </row>
    <row r="18" spans="1:16" ht="16">
      <c r="A18" s="15">
        <v>61</v>
      </c>
      <c r="B18" s="15" t="s">
        <v>51</v>
      </c>
      <c r="C18" s="15" t="s">
        <v>50</v>
      </c>
      <c r="D18" s="62" t="s">
        <v>48</v>
      </c>
      <c r="F18" s="92">
        <v>48.2</v>
      </c>
      <c r="G18" s="53">
        <v>50.4</v>
      </c>
      <c r="H18">
        <f>G18-F18</f>
        <v>2.1999999999999957</v>
      </c>
      <c r="J18" s="82">
        <v>49</v>
      </c>
      <c r="K18" s="82" t="s">
        <v>46</v>
      </c>
      <c r="L18" s="82" t="s">
        <v>50</v>
      </c>
      <c r="M18" s="82" t="s">
        <v>333</v>
      </c>
      <c r="N18" s="84">
        <v>21</v>
      </c>
      <c r="O18" s="89">
        <v>22.9</v>
      </c>
      <c r="P18" s="216">
        <f>O18-N18</f>
        <v>1.8999999999999986</v>
      </c>
    </row>
    <row r="19" spans="1:16" ht="16">
      <c r="A19" s="97">
        <v>62</v>
      </c>
      <c r="B19" s="97" t="s">
        <v>51</v>
      </c>
      <c r="C19" s="97" t="s">
        <v>50</v>
      </c>
      <c r="D19" s="97" t="s">
        <v>333</v>
      </c>
      <c r="F19" s="99">
        <v>49.8</v>
      </c>
      <c r="G19" s="104">
        <v>49.2</v>
      </c>
      <c r="H19" s="217">
        <f t="shared" ref="H19:H28" si="4">G19-F19</f>
        <v>-0.59999999999999432</v>
      </c>
      <c r="J19" s="15">
        <v>50</v>
      </c>
      <c r="K19" s="15" t="s">
        <v>46</v>
      </c>
      <c r="L19" s="15" t="s">
        <v>50</v>
      </c>
      <c r="M19" s="15" t="s">
        <v>48</v>
      </c>
      <c r="N19" s="92">
        <v>22.6</v>
      </c>
      <c r="O19" s="53">
        <v>23.5</v>
      </c>
      <c r="P19">
        <f t="shared" ref="P19:P29" si="5">O19-N19</f>
        <v>0.89999999999999858</v>
      </c>
    </row>
    <row r="20" spans="1:16" ht="16">
      <c r="A20" s="97">
        <v>63</v>
      </c>
      <c r="B20" s="97" t="s">
        <v>51</v>
      </c>
      <c r="C20" s="97" t="s">
        <v>50</v>
      </c>
      <c r="D20" s="97" t="s">
        <v>333</v>
      </c>
      <c r="F20" s="99">
        <v>49.3</v>
      </c>
      <c r="G20" s="104">
        <v>50.3</v>
      </c>
      <c r="H20" s="217">
        <f t="shared" si="4"/>
        <v>1</v>
      </c>
      <c r="J20" s="15">
        <v>51</v>
      </c>
      <c r="K20" s="15" t="s">
        <v>46</v>
      </c>
      <c r="L20" s="15" t="s">
        <v>50</v>
      </c>
      <c r="M20" s="15" t="s">
        <v>48</v>
      </c>
      <c r="N20" s="92">
        <v>20.8</v>
      </c>
      <c r="O20" s="53">
        <v>23</v>
      </c>
      <c r="P20">
        <f t="shared" si="5"/>
        <v>2.1999999999999993</v>
      </c>
    </row>
    <row r="21" spans="1:16" ht="16">
      <c r="A21" s="97">
        <v>64</v>
      </c>
      <c r="B21" s="97" t="s">
        <v>51</v>
      </c>
      <c r="C21" s="97" t="s">
        <v>50</v>
      </c>
      <c r="D21" s="97" t="s">
        <v>333</v>
      </c>
      <c r="F21" s="99">
        <v>50.4</v>
      </c>
      <c r="G21" s="104">
        <v>46.8</v>
      </c>
      <c r="H21" s="217">
        <f t="shared" si="4"/>
        <v>-3.6000000000000014</v>
      </c>
      <c r="J21" s="15">
        <v>52</v>
      </c>
      <c r="K21" s="15" t="s">
        <v>46</v>
      </c>
      <c r="L21" s="15" t="s">
        <v>50</v>
      </c>
      <c r="M21" s="15" t="s">
        <v>48</v>
      </c>
      <c r="N21" s="92">
        <v>21.5</v>
      </c>
      <c r="O21" s="53">
        <v>21.8</v>
      </c>
      <c r="P21">
        <f t="shared" si="5"/>
        <v>0.30000000000000071</v>
      </c>
    </row>
    <row r="22" spans="1:16" ht="16">
      <c r="A22" s="97">
        <v>65</v>
      </c>
      <c r="B22" s="97" t="s">
        <v>51</v>
      </c>
      <c r="C22" s="97" t="s">
        <v>50</v>
      </c>
      <c r="D22" s="97" t="s">
        <v>333</v>
      </c>
      <c r="F22" s="99">
        <v>56.5</v>
      </c>
      <c r="G22" s="104">
        <v>57</v>
      </c>
      <c r="H22" s="217">
        <f t="shared" si="4"/>
        <v>0.5</v>
      </c>
      <c r="J22" s="15">
        <v>53</v>
      </c>
      <c r="K22" s="15" t="s">
        <v>46</v>
      </c>
      <c r="L22" s="15" t="s">
        <v>50</v>
      </c>
      <c r="M22" s="15" t="s">
        <v>48</v>
      </c>
      <c r="N22" s="92">
        <v>22.5</v>
      </c>
      <c r="O22" s="53">
        <v>24.3</v>
      </c>
      <c r="P22">
        <f t="shared" si="5"/>
        <v>1.8000000000000007</v>
      </c>
    </row>
    <row r="23" spans="1:16" ht="16">
      <c r="A23" s="15">
        <v>66</v>
      </c>
      <c r="B23" s="15" t="s">
        <v>51</v>
      </c>
      <c r="C23" s="15" t="s">
        <v>50</v>
      </c>
      <c r="D23" s="62" t="s">
        <v>48</v>
      </c>
      <c r="F23" s="92">
        <v>54.5</v>
      </c>
      <c r="G23" s="53">
        <v>61.6</v>
      </c>
      <c r="H23">
        <f t="shared" si="4"/>
        <v>7.1000000000000014</v>
      </c>
      <c r="J23" s="82">
        <v>54</v>
      </c>
      <c r="K23" s="82" t="s">
        <v>46</v>
      </c>
      <c r="L23" s="82" t="s">
        <v>50</v>
      </c>
      <c r="M23" s="82" t="s">
        <v>333</v>
      </c>
      <c r="N23" s="84">
        <v>22.4</v>
      </c>
      <c r="O23" s="89">
        <v>23.7</v>
      </c>
      <c r="P23" s="216">
        <f t="shared" si="5"/>
        <v>1.3000000000000007</v>
      </c>
    </row>
    <row r="24" spans="1:16" ht="16">
      <c r="A24" s="15">
        <v>67</v>
      </c>
      <c r="B24" s="15" t="s">
        <v>51</v>
      </c>
      <c r="C24" s="15" t="s">
        <v>50</v>
      </c>
      <c r="D24" s="62" t="s">
        <v>48</v>
      </c>
      <c r="F24" s="92">
        <v>41.7</v>
      </c>
      <c r="G24" s="53">
        <v>47.1</v>
      </c>
      <c r="H24">
        <f t="shared" si="4"/>
        <v>5.3999999999999986</v>
      </c>
      <c r="J24" s="82">
        <v>55</v>
      </c>
      <c r="K24" s="82" t="s">
        <v>46</v>
      </c>
      <c r="L24" s="82" t="s">
        <v>50</v>
      </c>
      <c r="M24" s="82" t="s">
        <v>333</v>
      </c>
      <c r="N24" s="84">
        <v>22.8</v>
      </c>
      <c r="O24" s="89">
        <v>23.6</v>
      </c>
      <c r="P24" s="216">
        <f t="shared" si="5"/>
        <v>0.80000000000000071</v>
      </c>
    </row>
    <row r="25" spans="1:16" ht="16">
      <c r="A25" s="15">
        <v>68</v>
      </c>
      <c r="B25" s="15" t="s">
        <v>51</v>
      </c>
      <c r="C25" s="15" t="s">
        <v>50</v>
      </c>
      <c r="D25" s="62" t="s">
        <v>48</v>
      </c>
      <c r="F25" s="92">
        <v>51.5</v>
      </c>
      <c r="G25" s="53">
        <v>54.4</v>
      </c>
      <c r="H25">
        <f t="shared" si="4"/>
        <v>2.8999999999999986</v>
      </c>
      <c r="J25" s="15">
        <v>56</v>
      </c>
      <c r="K25" s="15" t="s">
        <v>46</v>
      </c>
      <c r="L25" s="15" t="s">
        <v>50</v>
      </c>
      <c r="M25" s="15" t="s">
        <v>48</v>
      </c>
      <c r="N25" s="92">
        <v>22</v>
      </c>
      <c r="O25" s="53">
        <v>23</v>
      </c>
      <c r="P25">
        <f t="shared" si="5"/>
        <v>1</v>
      </c>
    </row>
    <row r="26" spans="1:16" ht="16">
      <c r="A26" s="97">
        <v>69</v>
      </c>
      <c r="B26" s="97" t="s">
        <v>51</v>
      </c>
      <c r="C26" s="97" t="s">
        <v>50</v>
      </c>
      <c r="D26" s="97" t="s">
        <v>333</v>
      </c>
      <c r="F26" s="99">
        <v>49.9</v>
      </c>
      <c r="G26" s="104">
        <v>49.4</v>
      </c>
      <c r="H26" s="217">
        <f t="shared" si="4"/>
        <v>-0.5</v>
      </c>
      <c r="J26" s="15">
        <v>57</v>
      </c>
      <c r="K26" s="15" t="s">
        <v>46</v>
      </c>
      <c r="L26" s="15" t="s">
        <v>50</v>
      </c>
      <c r="M26" s="15" t="s">
        <v>48</v>
      </c>
      <c r="N26" s="92">
        <v>20.5</v>
      </c>
      <c r="O26" s="53">
        <v>22.3</v>
      </c>
      <c r="P26">
        <f t="shared" si="5"/>
        <v>1.8000000000000007</v>
      </c>
    </row>
    <row r="27" spans="1:16" ht="16">
      <c r="A27" s="15">
        <v>70</v>
      </c>
      <c r="B27" s="15" t="s">
        <v>51</v>
      </c>
      <c r="C27" s="15" t="s">
        <v>50</v>
      </c>
      <c r="D27" s="62" t="s">
        <v>48</v>
      </c>
      <c r="F27" s="92">
        <v>46.2</v>
      </c>
      <c r="G27" s="53">
        <v>46.6</v>
      </c>
      <c r="H27">
        <f t="shared" si="4"/>
        <v>0.39999999999999858</v>
      </c>
      <c r="J27" s="82">
        <v>58</v>
      </c>
      <c r="K27" s="82" t="s">
        <v>46</v>
      </c>
      <c r="L27" s="82" t="s">
        <v>50</v>
      </c>
      <c r="M27" s="82" t="s">
        <v>333</v>
      </c>
      <c r="N27" s="84">
        <v>21.3</v>
      </c>
      <c r="O27" s="89">
        <v>22.2</v>
      </c>
      <c r="P27" s="216">
        <f t="shared" si="5"/>
        <v>0.89999999999999858</v>
      </c>
    </row>
    <row r="28" spans="1:16" ht="16">
      <c r="A28" s="107">
        <v>71</v>
      </c>
      <c r="B28" s="107" t="s">
        <v>51</v>
      </c>
      <c r="C28" s="97" t="s">
        <v>50</v>
      </c>
      <c r="D28" s="97" t="s">
        <v>333</v>
      </c>
      <c r="F28" s="99">
        <v>54.9</v>
      </c>
      <c r="G28" s="104">
        <v>57.3</v>
      </c>
      <c r="H28" s="217">
        <f t="shared" si="4"/>
        <v>2.3999999999999986</v>
      </c>
      <c r="J28" s="82">
        <v>59</v>
      </c>
      <c r="K28" s="82" t="s">
        <v>46</v>
      </c>
      <c r="L28" s="82" t="s">
        <v>50</v>
      </c>
      <c r="M28" s="82" t="s">
        <v>333</v>
      </c>
      <c r="N28" s="84">
        <v>21.3</v>
      </c>
      <c r="O28" s="89">
        <v>22.1</v>
      </c>
      <c r="P28" s="216">
        <f t="shared" si="5"/>
        <v>0.80000000000000071</v>
      </c>
    </row>
    <row r="29" spans="1:16" ht="16">
      <c r="J29" s="82">
        <v>60</v>
      </c>
      <c r="K29" s="82" t="s">
        <v>46</v>
      </c>
      <c r="L29" s="82" t="s">
        <v>50</v>
      </c>
      <c r="M29" s="82" t="s">
        <v>333</v>
      </c>
      <c r="N29" s="84">
        <v>23</v>
      </c>
      <c r="O29" s="89">
        <v>24.1</v>
      </c>
      <c r="P29" s="216">
        <f t="shared" si="5"/>
        <v>1.1000000000000014</v>
      </c>
    </row>
    <row r="34" spans="15:15">
      <c r="O3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AY39"/>
  <sheetViews>
    <sheetView workbookViewId="0"/>
  </sheetViews>
  <sheetFormatPr baseColWidth="10" defaultColWidth="14.5" defaultRowHeight="15" customHeight="1"/>
  <sheetData>
    <row r="2" spans="1:51">
      <c r="A2" s="251" t="s">
        <v>141</v>
      </c>
      <c r="B2" s="231"/>
      <c r="C2" s="231"/>
      <c r="D2" s="245"/>
      <c r="E2" s="252" t="s">
        <v>142</v>
      </c>
      <c r="F2" s="231"/>
      <c r="G2" s="231"/>
      <c r="H2" s="245"/>
      <c r="I2" s="253" t="s">
        <v>143</v>
      </c>
      <c r="J2" s="231"/>
      <c r="K2" s="231"/>
      <c r="L2" s="245"/>
      <c r="M2" s="254" t="s">
        <v>144</v>
      </c>
      <c r="N2" s="231"/>
      <c r="O2" s="231"/>
      <c r="P2" s="245"/>
      <c r="Q2" s="255" t="s">
        <v>145</v>
      </c>
      <c r="R2" s="231"/>
      <c r="S2" s="231"/>
      <c r="T2" s="245"/>
      <c r="U2" s="256" t="s">
        <v>146</v>
      </c>
      <c r="V2" s="231"/>
      <c r="W2" s="231"/>
      <c r="X2" s="245"/>
      <c r="Y2" s="244" t="s">
        <v>147</v>
      </c>
      <c r="Z2" s="231"/>
      <c r="AA2" s="231"/>
      <c r="AB2" s="245"/>
      <c r="AC2" s="243" t="s">
        <v>148</v>
      </c>
      <c r="AD2" s="231"/>
      <c r="AE2" s="231"/>
      <c r="AF2" s="232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</row>
    <row r="3" spans="1:51">
      <c r="A3" s="109" t="s">
        <v>149</v>
      </c>
      <c r="B3" s="110" t="s">
        <v>150</v>
      </c>
      <c r="C3" s="111" t="s">
        <v>151</v>
      </c>
      <c r="D3" s="112" t="s">
        <v>152</v>
      </c>
      <c r="E3" s="109" t="s">
        <v>149</v>
      </c>
      <c r="F3" s="110" t="s">
        <v>150</v>
      </c>
      <c r="G3" s="111" t="s">
        <v>151</v>
      </c>
      <c r="H3" s="112" t="s">
        <v>152</v>
      </c>
      <c r="I3" s="109" t="s">
        <v>149</v>
      </c>
      <c r="J3" s="110" t="s">
        <v>150</v>
      </c>
      <c r="K3" s="111" t="s">
        <v>151</v>
      </c>
      <c r="L3" s="112" t="s">
        <v>152</v>
      </c>
      <c r="M3" s="109" t="s">
        <v>149</v>
      </c>
      <c r="N3" s="110" t="s">
        <v>150</v>
      </c>
      <c r="O3" s="111" t="s">
        <v>151</v>
      </c>
      <c r="P3" s="112" t="s">
        <v>152</v>
      </c>
      <c r="Q3" s="109" t="s">
        <v>149</v>
      </c>
      <c r="R3" s="110" t="s">
        <v>150</v>
      </c>
      <c r="S3" s="111" t="s">
        <v>151</v>
      </c>
      <c r="T3" s="112" t="s">
        <v>152</v>
      </c>
      <c r="U3" s="109" t="s">
        <v>149</v>
      </c>
      <c r="V3" s="110" t="s">
        <v>150</v>
      </c>
      <c r="W3" s="111" t="s">
        <v>151</v>
      </c>
      <c r="X3" s="112" t="s">
        <v>152</v>
      </c>
      <c r="Y3" s="109" t="s">
        <v>149</v>
      </c>
      <c r="Z3" s="110" t="s">
        <v>150</v>
      </c>
      <c r="AA3" s="111" t="s">
        <v>151</v>
      </c>
      <c r="AB3" s="112" t="s">
        <v>152</v>
      </c>
      <c r="AC3" s="109" t="s">
        <v>149</v>
      </c>
      <c r="AD3" s="110" t="s">
        <v>150</v>
      </c>
      <c r="AE3" s="111" t="s">
        <v>151</v>
      </c>
      <c r="AF3" s="112" t="s">
        <v>152</v>
      </c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</row>
    <row r="4" spans="1:51">
      <c r="A4" s="114">
        <v>28.95</v>
      </c>
      <c r="B4" s="115">
        <v>22.23</v>
      </c>
      <c r="C4" s="115">
        <v>20.41</v>
      </c>
      <c r="D4" s="116">
        <v>0.18</v>
      </c>
      <c r="E4" s="114">
        <v>30.71</v>
      </c>
      <c r="F4" s="115">
        <v>27.19</v>
      </c>
      <c r="G4" s="115">
        <v>21.71</v>
      </c>
      <c r="H4" s="116">
        <v>0.25</v>
      </c>
      <c r="I4" s="114">
        <v>34.54</v>
      </c>
      <c r="J4" s="115">
        <v>1.76</v>
      </c>
      <c r="K4" s="115">
        <v>25.18</v>
      </c>
      <c r="L4" s="116">
        <v>0.97</v>
      </c>
      <c r="M4" s="114">
        <v>36.43</v>
      </c>
      <c r="N4" s="115">
        <v>6.56</v>
      </c>
      <c r="O4" s="115">
        <v>26.05</v>
      </c>
      <c r="P4" s="116">
        <v>0.54</v>
      </c>
      <c r="Q4" s="114">
        <v>18.91</v>
      </c>
      <c r="R4" s="115">
        <v>1.05</v>
      </c>
      <c r="S4" s="115">
        <v>14.37</v>
      </c>
      <c r="T4" s="116">
        <v>0.09</v>
      </c>
      <c r="U4" s="114">
        <v>18.71</v>
      </c>
      <c r="V4" s="115">
        <v>1.25</v>
      </c>
      <c r="W4" s="115">
        <v>14.31</v>
      </c>
      <c r="X4" s="116">
        <v>0.1</v>
      </c>
      <c r="Y4" s="114">
        <v>28.18</v>
      </c>
      <c r="Z4" s="115">
        <v>4.6100000000000003</v>
      </c>
      <c r="AA4" s="115">
        <v>19.989999999999998</v>
      </c>
      <c r="AB4" s="116">
        <v>0.24</v>
      </c>
      <c r="AC4" s="114">
        <v>27.78</v>
      </c>
      <c r="AD4" s="115">
        <v>4.54</v>
      </c>
      <c r="AE4" s="115">
        <v>19.91</v>
      </c>
      <c r="AF4" s="116">
        <v>0.09</v>
      </c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</row>
    <row r="5" spans="1:51">
      <c r="A5" s="114">
        <v>28.77</v>
      </c>
      <c r="B5" s="115">
        <v>20.37</v>
      </c>
      <c r="C5" s="115">
        <v>19.98</v>
      </c>
      <c r="D5" s="116">
        <v>0.24</v>
      </c>
      <c r="E5" s="114">
        <v>30.7</v>
      </c>
      <c r="F5" s="115">
        <v>22.62</v>
      </c>
      <c r="G5" s="115">
        <v>22.25</v>
      </c>
      <c r="H5" s="116">
        <v>0.27</v>
      </c>
      <c r="I5" s="114">
        <v>33.700000000000003</v>
      </c>
      <c r="J5" s="115">
        <v>2.82</v>
      </c>
      <c r="K5" s="115">
        <v>24.45</v>
      </c>
      <c r="L5" s="116">
        <v>0.71</v>
      </c>
      <c r="M5" s="114">
        <v>37.590000000000003</v>
      </c>
      <c r="N5" s="115">
        <v>4.07</v>
      </c>
      <c r="O5" s="115">
        <v>27.39</v>
      </c>
      <c r="P5" s="116">
        <v>0.96</v>
      </c>
      <c r="Q5" s="114">
        <v>20.07</v>
      </c>
      <c r="R5" s="115">
        <v>1.79</v>
      </c>
      <c r="S5" s="115">
        <v>14.8</v>
      </c>
      <c r="T5" s="116">
        <v>0.08</v>
      </c>
      <c r="U5" s="114">
        <v>19.510000000000002</v>
      </c>
      <c r="V5" s="115">
        <v>1.52</v>
      </c>
      <c r="W5" s="115">
        <v>15.1</v>
      </c>
      <c r="X5" s="116">
        <v>0.09</v>
      </c>
      <c r="Y5" s="114">
        <v>24.37</v>
      </c>
      <c r="Z5" s="115">
        <v>3.98</v>
      </c>
      <c r="AA5" s="115">
        <v>18.11</v>
      </c>
      <c r="AB5" s="116">
        <v>0.1</v>
      </c>
      <c r="AC5" s="114">
        <v>26.4</v>
      </c>
      <c r="AD5" s="115">
        <v>2.95</v>
      </c>
      <c r="AE5" s="115">
        <v>18.93</v>
      </c>
      <c r="AF5" s="116">
        <v>0.19</v>
      </c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</row>
    <row r="6" spans="1:51">
      <c r="A6" s="118">
        <v>31.01</v>
      </c>
      <c r="B6" s="115">
        <v>28.85</v>
      </c>
      <c r="C6" s="119">
        <v>21.08</v>
      </c>
      <c r="D6" s="120">
        <v>0.41</v>
      </c>
      <c r="E6" s="118">
        <v>26.78</v>
      </c>
      <c r="F6" s="119">
        <v>18.09</v>
      </c>
      <c r="G6" s="119">
        <v>18.86</v>
      </c>
      <c r="H6" s="120">
        <v>0.26</v>
      </c>
      <c r="I6" s="118">
        <v>31.78</v>
      </c>
      <c r="J6" s="119">
        <v>18.14</v>
      </c>
      <c r="K6" s="119">
        <v>23.06</v>
      </c>
      <c r="L6" s="120">
        <v>0.32</v>
      </c>
      <c r="M6" s="118">
        <v>37.31</v>
      </c>
      <c r="N6" s="119">
        <v>2.48</v>
      </c>
      <c r="O6" s="119">
        <v>28</v>
      </c>
      <c r="P6" s="120">
        <v>1.19</v>
      </c>
      <c r="Q6" s="118">
        <v>21.55</v>
      </c>
      <c r="R6" s="119">
        <v>1.41</v>
      </c>
      <c r="S6" s="119">
        <v>15.61</v>
      </c>
      <c r="T6" s="120">
        <v>0.16</v>
      </c>
      <c r="U6" s="118">
        <v>20.2</v>
      </c>
      <c r="V6" s="119">
        <v>3.43</v>
      </c>
      <c r="W6" s="119">
        <v>15.17</v>
      </c>
      <c r="X6" s="120">
        <v>0.05</v>
      </c>
      <c r="Y6" s="118">
        <v>25.92</v>
      </c>
      <c r="Z6" s="119">
        <v>2.4900000000000002</v>
      </c>
      <c r="AA6" s="119">
        <v>18.260000000000002</v>
      </c>
      <c r="AB6" s="120">
        <v>0.17</v>
      </c>
      <c r="AC6" s="118">
        <v>23.21</v>
      </c>
      <c r="AD6" s="119">
        <v>5.7</v>
      </c>
      <c r="AE6" s="119">
        <v>16.07</v>
      </c>
      <c r="AF6" s="120">
        <v>0.14000000000000001</v>
      </c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</row>
    <row r="7" spans="1:51">
      <c r="A7" s="121"/>
      <c r="B7" s="122"/>
      <c r="C7" s="122"/>
      <c r="D7" s="122"/>
      <c r="E7" s="121"/>
      <c r="F7" s="122"/>
      <c r="G7" s="122"/>
      <c r="H7" s="122"/>
      <c r="I7" s="121"/>
      <c r="J7" s="122"/>
      <c r="K7" s="122"/>
      <c r="L7" s="122"/>
      <c r="M7" s="121"/>
      <c r="N7" s="122"/>
      <c r="O7" s="122"/>
      <c r="P7" s="122"/>
      <c r="Q7" s="121"/>
      <c r="R7" s="122"/>
      <c r="S7" s="122"/>
      <c r="T7" s="122"/>
      <c r="U7" s="121"/>
      <c r="V7" s="122"/>
      <c r="W7" s="122"/>
      <c r="X7" s="122"/>
      <c r="Y7" s="121"/>
      <c r="Z7" s="122"/>
      <c r="AA7" s="122"/>
      <c r="AB7" s="122"/>
      <c r="AC7" s="121"/>
      <c r="AD7" s="122"/>
      <c r="AE7" s="122"/>
      <c r="AF7" s="122"/>
    </row>
    <row r="8" spans="1:51">
      <c r="A8" s="121">
        <f t="shared" ref="A8:AF8" si="0">AVERAGE(A4:A6)</f>
        <v>29.576666666666668</v>
      </c>
      <c r="B8" s="121">
        <f t="shared" si="0"/>
        <v>23.816666666666666</v>
      </c>
      <c r="C8" s="121">
        <f t="shared" si="0"/>
        <v>20.49</v>
      </c>
      <c r="D8" s="121">
        <f t="shared" si="0"/>
        <v>0.27666666666666667</v>
      </c>
      <c r="E8" s="121">
        <f t="shared" si="0"/>
        <v>29.396666666666665</v>
      </c>
      <c r="F8" s="121">
        <f t="shared" si="0"/>
        <v>22.633333333333336</v>
      </c>
      <c r="G8" s="121">
        <f t="shared" si="0"/>
        <v>20.94</v>
      </c>
      <c r="H8" s="121">
        <f t="shared" si="0"/>
        <v>0.26</v>
      </c>
      <c r="I8" s="121">
        <f t="shared" si="0"/>
        <v>33.340000000000003</v>
      </c>
      <c r="J8" s="121">
        <f t="shared" si="0"/>
        <v>7.5733333333333333</v>
      </c>
      <c r="K8" s="121">
        <f t="shared" si="0"/>
        <v>24.23</v>
      </c>
      <c r="L8" s="121">
        <f t="shared" si="0"/>
        <v>0.66666666666666663</v>
      </c>
      <c r="M8" s="121">
        <f t="shared" si="0"/>
        <v>37.110000000000007</v>
      </c>
      <c r="N8" s="121">
        <f t="shared" si="0"/>
        <v>4.37</v>
      </c>
      <c r="O8" s="121">
        <f t="shared" si="0"/>
        <v>27.146666666666665</v>
      </c>
      <c r="P8" s="121">
        <f t="shared" si="0"/>
        <v>0.89666666666666661</v>
      </c>
      <c r="Q8" s="121">
        <f t="shared" si="0"/>
        <v>20.176666666666666</v>
      </c>
      <c r="R8" s="121">
        <f t="shared" si="0"/>
        <v>1.4166666666666667</v>
      </c>
      <c r="S8" s="121">
        <f t="shared" si="0"/>
        <v>14.926666666666668</v>
      </c>
      <c r="T8" s="121">
        <f t="shared" si="0"/>
        <v>0.10999999999999999</v>
      </c>
      <c r="U8" s="121">
        <f t="shared" si="0"/>
        <v>19.473333333333333</v>
      </c>
      <c r="V8" s="121">
        <f t="shared" si="0"/>
        <v>2.0666666666666669</v>
      </c>
      <c r="W8" s="121">
        <f t="shared" si="0"/>
        <v>14.86</v>
      </c>
      <c r="X8" s="121">
        <f t="shared" si="0"/>
        <v>0.08</v>
      </c>
      <c r="Y8" s="121">
        <f t="shared" si="0"/>
        <v>26.156666666666666</v>
      </c>
      <c r="Z8" s="121">
        <f t="shared" si="0"/>
        <v>3.6933333333333334</v>
      </c>
      <c r="AA8" s="121">
        <f t="shared" si="0"/>
        <v>18.786666666666665</v>
      </c>
      <c r="AB8" s="121">
        <f t="shared" si="0"/>
        <v>0.17</v>
      </c>
      <c r="AC8" s="121">
        <f t="shared" si="0"/>
        <v>25.796666666666667</v>
      </c>
      <c r="AD8" s="121">
        <f t="shared" si="0"/>
        <v>4.3966666666666674</v>
      </c>
      <c r="AE8" s="121">
        <f t="shared" si="0"/>
        <v>18.303333333333335</v>
      </c>
      <c r="AF8" s="121">
        <f t="shared" si="0"/>
        <v>0.14000000000000001</v>
      </c>
    </row>
    <row r="9" spans="1:51">
      <c r="A9" s="121"/>
      <c r="B9" s="122"/>
      <c r="C9" s="122"/>
      <c r="D9" s="122"/>
      <c r="E9" s="121"/>
      <c r="F9" s="122"/>
      <c r="G9" s="122"/>
      <c r="H9" s="122"/>
      <c r="I9" s="121"/>
      <c r="J9" s="122"/>
      <c r="K9" s="122"/>
      <c r="L9" s="122"/>
      <c r="M9" s="121"/>
      <c r="N9" s="122"/>
      <c r="O9" s="122"/>
      <c r="P9" s="122"/>
      <c r="Q9" s="121"/>
      <c r="R9" s="122"/>
      <c r="S9" s="122"/>
      <c r="T9" s="122"/>
      <c r="U9" s="121"/>
      <c r="V9" s="122"/>
      <c r="W9" s="122"/>
      <c r="X9" s="122"/>
      <c r="Y9" s="121"/>
      <c r="Z9" s="122"/>
      <c r="AA9" s="122"/>
      <c r="AB9" s="122"/>
      <c r="AC9" s="121"/>
      <c r="AD9" s="122"/>
      <c r="AE9" s="122"/>
      <c r="AF9" s="122"/>
    </row>
    <row r="10" spans="1:51">
      <c r="A10" s="121"/>
      <c r="B10" s="122"/>
      <c r="C10" s="122"/>
      <c r="D10" s="122"/>
      <c r="E10" s="121"/>
      <c r="F10" s="122"/>
      <c r="G10" s="122"/>
      <c r="H10" s="122"/>
      <c r="I10" s="121"/>
      <c r="J10" s="122"/>
      <c r="K10" s="122"/>
      <c r="L10" s="122"/>
      <c r="M10" s="121"/>
      <c r="N10" s="122"/>
      <c r="O10" s="122"/>
      <c r="P10" s="122"/>
      <c r="Q10" s="121"/>
      <c r="R10" s="122"/>
      <c r="S10" s="122"/>
      <c r="T10" s="122"/>
      <c r="U10" s="121"/>
      <c r="V10" s="122"/>
      <c r="W10" s="122"/>
      <c r="X10" s="122"/>
      <c r="Y10" s="121"/>
      <c r="Z10" s="122"/>
      <c r="AA10" s="122"/>
      <c r="AB10" s="122"/>
      <c r="AC10" s="121"/>
      <c r="AD10" s="122"/>
      <c r="AE10" s="122"/>
      <c r="AF10" s="122"/>
    </row>
    <row r="11" spans="1:51">
      <c r="A11" s="121"/>
      <c r="B11" s="122"/>
      <c r="C11" s="122"/>
      <c r="D11" s="122"/>
      <c r="E11" s="121"/>
      <c r="F11" s="122"/>
      <c r="G11" s="122"/>
      <c r="H11" s="122"/>
      <c r="I11" s="121"/>
      <c r="J11" s="122"/>
      <c r="K11" s="122"/>
      <c r="L11" s="122"/>
      <c r="M11" s="121"/>
      <c r="N11" s="122"/>
      <c r="O11" s="122"/>
      <c r="P11" s="122"/>
      <c r="Q11" s="121"/>
      <c r="R11" s="122"/>
      <c r="S11" s="122"/>
      <c r="T11" s="122"/>
      <c r="U11" s="121"/>
      <c r="V11" s="122"/>
      <c r="W11" s="122"/>
      <c r="X11" s="122"/>
      <c r="Y11" s="121"/>
      <c r="Z11" s="122"/>
      <c r="AA11" s="122"/>
      <c r="AB11" s="122"/>
      <c r="AC11" s="121"/>
      <c r="AD11" s="122"/>
      <c r="AE11" s="122"/>
      <c r="AF11" s="122"/>
    </row>
    <row r="12" spans="1:51">
      <c r="A12" s="121"/>
      <c r="B12" s="122"/>
      <c r="C12" s="122"/>
      <c r="D12" s="122"/>
      <c r="E12" s="121"/>
      <c r="F12" s="122"/>
      <c r="G12" s="122"/>
      <c r="H12" s="122"/>
      <c r="I12" s="121"/>
      <c r="J12" s="122"/>
      <c r="K12" s="122"/>
      <c r="L12" s="122"/>
      <c r="M12" s="121"/>
      <c r="N12" s="122"/>
      <c r="O12" s="122"/>
      <c r="P12" s="122"/>
      <c r="Q12" s="121"/>
      <c r="R12" s="122"/>
      <c r="S12" s="122"/>
      <c r="T12" s="122"/>
      <c r="U12" s="121"/>
      <c r="V12" s="122"/>
      <c r="W12" s="122"/>
      <c r="X12" s="122"/>
      <c r="Y12" s="121"/>
      <c r="Z12" s="122"/>
      <c r="AA12" s="122"/>
      <c r="AB12" s="122"/>
      <c r="AC12" s="121"/>
      <c r="AD12" s="122"/>
      <c r="AE12" s="122"/>
      <c r="AF12" s="122"/>
    </row>
    <row r="13" spans="1:51">
      <c r="A13" s="251" t="s">
        <v>141</v>
      </c>
      <c r="B13" s="231"/>
      <c r="C13" s="231"/>
      <c r="D13" s="245"/>
      <c r="E13" s="252" t="s">
        <v>142</v>
      </c>
      <c r="F13" s="231"/>
      <c r="G13" s="231"/>
      <c r="H13" s="245"/>
      <c r="I13" s="253" t="s">
        <v>143</v>
      </c>
      <c r="J13" s="231"/>
      <c r="K13" s="231"/>
      <c r="L13" s="245"/>
      <c r="M13" s="254" t="s">
        <v>144</v>
      </c>
      <c r="N13" s="231"/>
      <c r="O13" s="231"/>
      <c r="P13" s="245"/>
      <c r="Q13" s="255" t="s">
        <v>145</v>
      </c>
      <c r="R13" s="231"/>
      <c r="S13" s="231"/>
      <c r="T13" s="245"/>
      <c r="U13" s="256" t="s">
        <v>146</v>
      </c>
      <c r="V13" s="231"/>
      <c r="W13" s="231"/>
      <c r="X13" s="245"/>
      <c r="Y13" s="244" t="s">
        <v>147</v>
      </c>
      <c r="Z13" s="231"/>
      <c r="AA13" s="231"/>
      <c r="AB13" s="245"/>
      <c r="AC13" s="243" t="s">
        <v>148</v>
      </c>
      <c r="AD13" s="231"/>
      <c r="AE13" s="231"/>
      <c r="AF13" s="232"/>
    </row>
    <row r="14" spans="1:51">
      <c r="A14" s="109" t="s">
        <v>149</v>
      </c>
      <c r="B14" s="110" t="s">
        <v>150</v>
      </c>
      <c r="C14" s="111" t="s">
        <v>151</v>
      </c>
      <c r="D14" s="112" t="s">
        <v>152</v>
      </c>
      <c r="E14" s="109" t="s">
        <v>149</v>
      </c>
      <c r="F14" s="110" t="s">
        <v>150</v>
      </c>
      <c r="G14" s="111" t="s">
        <v>151</v>
      </c>
      <c r="H14" s="112" t="s">
        <v>152</v>
      </c>
      <c r="I14" s="109" t="s">
        <v>149</v>
      </c>
      <c r="J14" s="110" t="s">
        <v>150</v>
      </c>
      <c r="K14" s="111" t="s">
        <v>151</v>
      </c>
      <c r="L14" s="112" t="s">
        <v>152</v>
      </c>
      <c r="M14" s="109" t="s">
        <v>149</v>
      </c>
      <c r="N14" s="110" t="s">
        <v>150</v>
      </c>
      <c r="O14" s="111" t="s">
        <v>151</v>
      </c>
      <c r="P14" s="112" t="s">
        <v>152</v>
      </c>
      <c r="Q14" s="109" t="s">
        <v>149</v>
      </c>
      <c r="R14" s="110" t="s">
        <v>150</v>
      </c>
      <c r="S14" s="111" t="s">
        <v>151</v>
      </c>
      <c r="T14" s="112" t="s">
        <v>152</v>
      </c>
      <c r="U14" s="109" t="s">
        <v>149</v>
      </c>
      <c r="V14" s="110" t="s">
        <v>150</v>
      </c>
      <c r="W14" s="111" t="s">
        <v>151</v>
      </c>
      <c r="X14" s="112" t="s">
        <v>152</v>
      </c>
      <c r="Y14" s="109" t="s">
        <v>149</v>
      </c>
      <c r="Z14" s="110" t="s">
        <v>150</v>
      </c>
      <c r="AA14" s="111" t="s">
        <v>151</v>
      </c>
      <c r="AB14" s="112" t="s">
        <v>152</v>
      </c>
      <c r="AC14" s="109" t="s">
        <v>149</v>
      </c>
      <c r="AD14" s="110" t="s">
        <v>150</v>
      </c>
      <c r="AE14" s="111" t="s">
        <v>151</v>
      </c>
      <c r="AF14" s="112" t="s">
        <v>152</v>
      </c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</row>
    <row r="15" spans="1:51">
      <c r="B15" s="122"/>
      <c r="C15" s="122"/>
      <c r="D15" s="122"/>
      <c r="E15" s="121"/>
      <c r="F15" s="122"/>
      <c r="G15" s="122"/>
      <c r="H15" s="122"/>
      <c r="I15" s="121"/>
      <c r="J15" s="122"/>
      <c r="K15" s="122"/>
      <c r="L15" s="122"/>
      <c r="M15" s="121"/>
      <c r="N15" s="122"/>
      <c r="O15" s="122"/>
      <c r="P15" s="122"/>
      <c r="Q15" s="121"/>
      <c r="R15" s="122"/>
      <c r="S15" s="122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</row>
    <row r="16" spans="1:51">
      <c r="A16" s="117">
        <v>28.12</v>
      </c>
      <c r="B16" s="117">
        <v>18.899999999999999</v>
      </c>
      <c r="C16" s="117">
        <v>20.440000000000001</v>
      </c>
      <c r="D16" s="117">
        <v>0.18</v>
      </c>
      <c r="E16" s="117">
        <v>30</v>
      </c>
      <c r="F16" s="117">
        <v>21.76</v>
      </c>
      <c r="G16" s="117">
        <v>20.9</v>
      </c>
      <c r="H16" s="117">
        <v>0.34</v>
      </c>
      <c r="I16" s="117">
        <v>33.979999999999997</v>
      </c>
      <c r="J16" s="117">
        <v>12.46</v>
      </c>
      <c r="K16" s="117">
        <v>25.01</v>
      </c>
      <c r="L16" s="117">
        <v>0.19</v>
      </c>
      <c r="M16" s="117">
        <v>36.03</v>
      </c>
      <c r="N16" s="117">
        <v>15.73</v>
      </c>
      <c r="O16" s="117">
        <v>26.42</v>
      </c>
      <c r="P16" s="117">
        <v>0.16</v>
      </c>
      <c r="Q16" s="117">
        <v>18.62</v>
      </c>
      <c r="R16" s="117">
        <v>0.8</v>
      </c>
      <c r="S16" s="117">
        <v>13.69</v>
      </c>
      <c r="T16" s="117">
        <v>0.04</v>
      </c>
      <c r="U16" s="117">
        <v>18.170000000000002</v>
      </c>
      <c r="V16" s="117">
        <v>0.85</v>
      </c>
      <c r="W16" s="117">
        <v>13.41</v>
      </c>
      <c r="X16" s="117">
        <v>0.1</v>
      </c>
      <c r="Y16" s="117">
        <v>28.55</v>
      </c>
      <c r="Z16" s="117">
        <v>2.33</v>
      </c>
      <c r="AA16" s="117">
        <v>20.399999999999999</v>
      </c>
      <c r="AB16" s="117">
        <v>0.11</v>
      </c>
      <c r="AC16" s="117">
        <v>28.3</v>
      </c>
      <c r="AD16" s="117">
        <v>2.16</v>
      </c>
      <c r="AE16" s="117">
        <v>20.18</v>
      </c>
      <c r="AF16" s="117">
        <v>0.08</v>
      </c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</row>
    <row r="17" spans="1:51">
      <c r="A17" s="117">
        <v>27.37</v>
      </c>
      <c r="B17" s="117">
        <v>17.79</v>
      </c>
      <c r="C17" s="117">
        <v>18.96</v>
      </c>
      <c r="D17" s="117">
        <v>0.19</v>
      </c>
      <c r="E17" s="117">
        <v>30.75</v>
      </c>
      <c r="F17" s="117">
        <v>19.43</v>
      </c>
      <c r="G17" s="117">
        <v>21.26</v>
      </c>
      <c r="H17" s="117">
        <v>0.28000000000000003</v>
      </c>
      <c r="I17" s="117">
        <v>31.97</v>
      </c>
      <c r="J17" s="117">
        <v>15.09</v>
      </c>
      <c r="K17" s="117">
        <v>22.83</v>
      </c>
      <c r="L17" s="117">
        <v>0.14000000000000001</v>
      </c>
      <c r="M17" s="117">
        <v>37.229999999999997</v>
      </c>
      <c r="N17" s="117">
        <v>14.16</v>
      </c>
      <c r="O17" s="117">
        <v>26.2</v>
      </c>
      <c r="P17" s="117">
        <v>0.16</v>
      </c>
      <c r="Q17" s="117">
        <v>19.260000000000002</v>
      </c>
      <c r="R17" s="117">
        <v>1.28</v>
      </c>
      <c r="S17" s="117">
        <v>14.5</v>
      </c>
      <c r="T17" s="117">
        <v>0.1</v>
      </c>
      <c r="U17" s="117">
        <v>18.61</v>
      </c>
      <c r="V17" s="117">
        <v>1.24</v>
      </c>
      <c r="W17" s="117">
        <v>14.07</v>
      </c>
      <c r="X17" s="117">
        <v>7.0000000000000007E-2</v>
      </c>
      <c r="Y17" s="117">
        <v>24.12</v>
      </c>
      <c r="Z17" s="117">
        <v>2.72</v>
      </c>
      <c r="AA17" s="117">
        <v>16.87</v>
      </c>
      <c r="AB17" s="117">
        <v>7.0000000000000007E-2</v>
      </c>
      <c r="AC17" s="117">
        <v>27.09</v>
      </c>
      <c r="AD17" s="117">
        <v>1.65</v>
      </c>
      <c r="AE17" s="117">
        <v>20.27</v>
      </c>
      <c r="AF17" s="117">
        <v>0.06</v>
      </c>
    </row>
    <row r="18" spans="1:51">
      <c r="A18" s="117">
        <v>30.03</v>
      </c>
      <c r="B18" s="117">
        <v>21.75</v>
      </c>
      <c r="C18" s="117">
        <v>21.03</v>
      </c>
      <c r="D18" s="117">
        <v>0.27</v>
      </c>
      <c r="E18" s="117">
        <v>25.17</v>
      </c>
      <c r="F18" s="117">
        <v>16.77</v>
      </c>
      <c r="G18" s="117">
        <v>18.440000000000001</v>
      </c>
      <c r="H18" s="117">
        <v>0.26</v>
      </c>
      <c r="I18" s="117">
        <v>29.57</v>
      </c>
      <c r="J18" s="117">
        <v>16.329999999999998</v>
      </c>
      <c r="K18" s="117">
        <v>21.51</v>
      </c>
      <c r="L18" s="117">
        <v>0.21</v>
      </c>
      <c r="M18" s="117">
        <v>34.39</v>
      </c>
      <c r="N18" s="117">
        <v>15.15</v>
      </c>
      <c r="O18" s="117">
        <v>23.81</v>
      </c>
      <c r="P18" s="117">
        <v>0.28999999999999998</v>
      </c>
      <c r="Q18" s="117">
        <v>20.18</v>
      </c>
      <c r="R18" s="117">
        <v>1.1000000000000001</v>
      </c>
      <c r="S18" s="117">
        <v>15.3</v>
      </c>
      <c r="T18" s="117">
        <v>0.06</v>
      </c>
      <c r="U18" s="117">
        <v>20.21</v>
      </c>
      <c r="V18" s="117">
        <v>1.93</v>
      </c>
      <c r="W18" s="117">
        <v>15.24</v>
      </c>
      <c r="X18" s="117">
        <v>0.05</v>
      </c>
      <c r="Y18" s="117">
        <v>26.12</v>
      </c>
      <c r="Z18" s="117">
        <v>1.59</v>
      </c>
      <c r="AA18" s="117">
        <v>19.13</v>
      </c>
      <c r="AB18" s="117">
        <v>0.16</v>
      </c>
      <c r="AC18" s="117">
        <v>23.63</v>
      </c>
      <c r="AD18" s="117">
        <v>3.86</v>
      </c>
      <c r="AE18" s="117">
        <v>16.829999999999998</v>
      </c>
      <c r="AF18" s="117">
        <v>0.14000000000000001</v>
      </c>
    </row>
    <row r="19" spans="1:51">
      <c r="A19" s="121"/>
      <c r="B19" s="122"/>
      <c r="C19" s="122"/>
      <c r="D19" s="122"/>
      <c r="E19" s="121"/>
      <c r="F19" s="122"/>
      <c r="G19" s="122"/>
      <c r="H19" s="122"/>
      <c r="I19" s="121"/>
      <c r="J19" s="122"/>
      <c r="K19" s="122"/>
      <c r="L19" s="122"/>
      <c r="M19" s="121"/>
      <c r="N19" s="122"/>
      <c r="O19" s="122"/>
      <c r="P19" s="122"/>
      <c r="Q19" s="121"/>
      <c r="R19" s="122"/>
      <c r="S19" s="122"/>
      <c r="T19" s="122"/>
      <c r="U19" s="121"/>
      <c r="V19" s="122"/>
      <c r="W19" s="122"/>
      <c r="X19" s="122"/>
      <c r="Y19" s="121"/>
      <c r="Z19" s="122"/>
      <c r="AA19" s="122"/>
      <c r="AB19" s="122"/>
      <c r="AC19" s="121"/>
      <c r="AD19" s="122"/>
      <c r="AE19" s="122"/>
      <c r="AF19" s="122"/>
    </row>
    <row r="20" spans="1:51">
      <c r="A20" s="121">
        <f t="shared" ref="A20:AF20" si="1">AVERAGE(A16:A18)</f>
        <v>28.506666666666671</v>
      </c>
      <c r="B20" s="121">
        <f t="shared" si="1"/>
        <v>19.48</v>
      </c>
      <c r="C20" s="121">
        <f t="shared" si="1"/>
        <v>20.143333333333334</v>
      </c>
      <c r="D20" s="121">
        <f t="shared" si="1"/>
        <v>0.21333333333333335</v>
      </c>
      <c r="E20" s="121">
        <f t="shared" si="1"/>
        <v>28.64</v>
      </c>
      <c r="F20" s="121">
        <f t="shared" si="1"/>
        <v>19.319999999999997</v>
      </c>
      <c r="G20" s="121">
        <f t="shared" si="1"/>
        <v>20.2</v>
      </c>
      <c r="H20" s="121">
        <f t="shared" si="1"/>
        <v>0.29333333333333339</v>
      </c>
      <c r="I20" s="121">
        <f t="shared" si="1"/>
        <v>31.839999999999993</v>
      </c>
      <c r="J20" s="121">
        <f t="shared" si="1"/>
        <v>14.626666666666665</v>
      </c>
      <c r="K20" s="121">
        <f t="shared" si="1"/>
        <v>23.116666666666671</v>
      </c>
      <c r="L20" s="121">
        <f t="shared" si="1"/>
        <v>0.18000000000000002</v>
      </c>
      <c r="M20" s="121">
        <f t="shared" si="1"/>
        <v>35.883333333333333</v>
      </c>
      <c r="N20" s="121">
        <f t="shared" si="1"/>
        <v>15.013333333333334</v>
      </c>
      <c r="O20" s="121">
        <f t="shared" si="1"/>
        <v>25.47666666666667</v>
      </c>
      <c r="P20" s="121">
        <f t="shared" si="1"/>
        <v>0.20333333333333334</v>
      </c>
      <c r="Q20" s="121">
        <f t="shared" si="1"/>
        <v>19.353333333333335</v>
      </c>
      <c r="R20" s="121">
        <f t="shared" si="1"/>
        <v>1.06</v>
      </c>
      <c r="S20" s="121">
        <f t="shared" si="1"/>
        <v>14.496666666666664</v>
      </c>
      <c r="T20" s="121">
        <f t="shared" si="1"/>
        <v>6.6666666666666666E-2</v>
      </c>
      <c r="U20" s="121">
        <f t="shared" si="1"/>
        <v>18.996666666666666</v>
      </c>
      <c r="V20" s="121">
        <f t="shared" si="1"/>
        <v>1.3399999999999999</v>
      </c>
      <c r="W20" s="121">
        <f t="shared" si="1"/>
        <v>14.24</v>
      </c>
      <c r="X20" s="121">
        <f t="shared" si="1"/>
        <v>7.3333333333333348E-2</v>
      </c>
      <c r="Y20" s="121">
        <f t="shared" si="1"/>
        <v>26.263333333333335</v>
      </c>
      <c r="Z20" s="121">
        <f t="shared" si="1"/>
        <v>2.2133333333333334</v>
      </c>
      <c r="AA20" s="121">
        <f t="shared" si="1"/>
        <v>18.799999999999997</v>
      </c>
      <c r="AB20" s="121">
        <f t="shared" si="1"/>
        <v>0.11333333333333333</v>
      </c>
      <c r="AC20" s="121">
        <f t="shared" si="1"/>
        <v>26.34</v>
      </c>
      <c r="AD20" s="121">
        <f t="shared" si="1"/>
        <v>2.5566666666666666</v>
      </c>
      <c r="AE20" s="121">
        <f t="shared" si="1"/>
        <v>19.093333333333334</v>
      </c>
      <c r="AF20" s="121">
        <f t="shared" si="1"/>
        <v>9.3333333333333338E-2</v>
      </c>
    </row>
    <row r="21" spans="1:51">
      <c r="A21" s="121"/>
      <c r="B21" s="122"/>
      <c r="C21" s="122"/>
      <c r="D21" s="122"/>
      <c r="E21" s="121"/>
      <c r="F21" s="122"/>
      <c r="G21" s="122"/>
      <c r="H21" s="122"/>
      <c r="I21" s="121"/>
      <c r="J21" s="122"/>
      <c r="K21" s="122"/>
      <c r="L21" s="122"/>
      <c r="M21" s="121"/>
      <c r="N21" s="122"/>
      <c r="O21" s="122"/>
      <c r="P21" s="122"/>
      <c r="Q21" s="121"/>
      <c r="R21" s="122"/>
      <c r="S21" s="122"/>
      <c r="T21" s="122"/>
      <c r="U21" s="121"/>
      <c r="V21" s="122"/>
      <c r="W21" s="122"/>
      <c r="X21" s="122"/>
      <c r="Y21" s="121"/>
      <c r="Z21" s="122"/>
      <c r="AA21" s="122"/>
      <c r="AB21" s="122"/>
      <c r="AC21" s="121"/>
      <c r="AD21" s="122"/>
      <c r="AE21" s="122"/>
      <c r="AF21" s="122"/>
    </row>
    <row r="22" spans="1:51">
      <c r="A22" s="121"/>
      <c r="B22" s="122"/>
      <c r="C22" s="122"/>
      <c r="D22" s="122"/>
      <c r="E22" s="121"/>
      <c r="F22" s="122"/>
      <c r="G22" s="122"/>
      <c r="H22" s="122"/>
      <c r="I22" s="121"/>
      <c r="J22" s="122"/>
      <c r="K22" s="122"/>
      <c r="L22" s="122"/>
      <c r="M22" s="121"/>
      <c r="N22" s="122"/>
      <c r="O22" s="122"/>
      <c r="P22" s="122"/>
      <c r="Q22" s="121"/>
      <c r="R22" s="122"/>
      <c r="S22" s="122"/>
      <c r="T22" s="122"/>
      <c r="U22" s="121"/>
      <c r="V22" s="122"/>
      <c r="W22" s="122"/>
      <c r="X22" s="122"/>
      <c r="Y22" s="121"/>
      <c r="Z22" s="122"/>
      <c r="AA22" s="122"/>
      <c r="AB22" s="122"/>
      <c r="AC22" s="121"/>
      <c r="AD22" s="122"/>
      <c r="AE22" s="122"/>
      <c r="AF22" s="122"/>
    </row>
    <row r="23" spans="1:51">
      <c r="A23" s="121"/>
      <c r="B23" s="122"/>
      <c r="C23" s="122"/>
      <c r="D23" s="122"/>
      <c r="E23" s="121"/>
      <c r="F23" s="122"/>
      <c r="G23" s="122"/>
      <c r="H23" s="122"/>
      <c r="I23" s="121"/>
      <c r="J23" s="122"/>
      <c r="K23" s="122"/>
      <c r="L23" s="122"/>
      <c r="M23" s="121"/>
      <c r="N23" s="122"/>
      <c r="O23" s="122"/>
      <c r="P23" s="122"/>
      <c r="Q23" s="121"/>
      <c r="R23" s="122"/>
      <c r="S23" s="122"/>
      <c r="T23" s="122"/>
      <c r="U23" s="121"/>
      <c r="V23" s="122"/>
      <c r="W23" s="122"/>
      <c r="X23" s="122"/>
      <c r="Y23" s="121"/>
      <c r="Z23" s="122"/>
      <c r="AA23" s="122"/>
      <c r="AB23" s="122"/>
      <c r="AC23" s="121"/>
      <c r="AD23" s="122"/>
      <c r="AE23" s="122"/>
      <c r="AF23" s="122"/>
    </row>
    <row r="24" spans="1:51">
      <c r="A24" s="121"/>
      <c r="B24" s="122"/>
      <c r="C24" s="122"/>
      <c r="D24" s="122"/>
      <c r="E24" s="121"/>
      <c r="F24" s="122"/>
      <c r="G24" s="122"/>
      <c r="H24" s="122"/>
      <c r="I24" s="121"/>
      <c r="J24" s="122"/>
      <c r="K24" s="122"/>
      <c r="L24" s="122"/>
      <c r="M24" s="121"/>
      <c r="N24" s="122"/>
      <c r="O24" s="122"/>
      <c r="P24" s="122"/>
      <c r="Q24" s="121"/>
      <c r="R24" s="122"/>
      <c r="S24" s="122"/>
      <c r="T24" s="122"/>
      <c r="U24" s="121"/>
      <c r="V24" s="122"/>
      <c r="W24" s="122"/>
      <c r="X24" s="122"/>
      <c r="Y24" s="121"/>
      <c r="Z24" s="122"/>
      <c r="AA24" s="122"/>
      <c r="AB24" s="122"/>
      <c r="AC24" s="121"/>
      <c r="AD24" s="122"/>
      <c r="AE24" s="122"/>
      <c r="AF24" s="122"/>
    </row>
    <row r="25" spans="1:51">
      <c r="A25" s="121"/>
      <c r="B25" s="122"/>
      <c r="C25" s="122"/>
      <c r="D25" s="122"/>
      <c r="E25" s="121"/>
      <c r="F25" s="122"/>
      <c r="G25" s="122"/>
      <c r="H25" s="122"/>
      <c r="I25" s="121"/>
      <c r="J25" s="122"/>
      <c r="K25" s="122"/>
      <c r="L25" s="122"/>
      <c r="M25" s="121"/>
      <c r="N25" s="122"/>
      <c r="O25" s="122"/>
      <c r="P25" s="122"/>
      <c r="Q25" s="121"/>
      <c r="R25" s="122"/>
      <c r="S25" s="122"/>
      <c r="T25" s="122"/>
      <c r="U25" s="121"/>
      <c r="V25" s="122"/>
      <c r="W25" s="122"/>
      <c r="X25" s="122"/>
      <c r="Y25" s="121"/>
      <c r="Z25" s="122"/>
      <c r="AA25" s="122"/>
      <c r="AB25" s="122"/>
      <c r="AC25" s="121"/>
      <c r="AD25" s="122"/>
      <c r="AE25" s="122"/>
      <c r="AF25" s="122"/>
    </row>
    <row r="26" spans="1:51">
      <c r="A26" s="121"/>
      <c r="B26" s="122"/>
      <c r="C26" s="122"/>
      <c r="D26" s="122"/>
      <c r="E26" s="121"/>
      <c r="F26" s="122"/>
      <c r="G26" s="122"/>
      <c r="H26" s="122"/>
      <c r="I26" s="121"/>
      <c r="J26" s="122"/>
      <c r="K26" s="122"/>
      <c r="L26" s="122"/>
      <c r="M26" s="121"/>
      <c r="N26" s="122"/>
      <c r="O26" s="122"/>
      <c r="P26" s="122"/>
      <c r="Q26" s="121"/>
      <c r="R26" s="122"/>
      <c r="S26" s="122"/>
      <c r="T26" s="122"/>
      <c r="U26" s="121"/>
      <c r="V26" s="122"/>
      <c r="W26" s="122"/>
      <c r="X26" s="122"/>
      <c r="Y26" s="121"/>
      <c r="Z26" s="122"/>
      <c r="AA26" s="122"/>
      <c r="AB26" s="122"/>
      <c r="AC26" s="121"/>
      <c r="AD26" s="122"/>
      <c r="AE26" s="122"/>
      <c r="AF26" s="122"/>
    </row>
    <row r="27" spans="1:51">
      <c r="A27" s="121"/>
      <c r="B27" s="122"/>
      <c r="C27" s="122"/>
      <c r="D27" s="122"/>
      <c r="E27" s="121"/>
      <c r="F27" s="122"/>
      <c r="G27" s="122"/>
      <c r="H27" s="122"/>
      <c r="I27" s="121"/>
      <c r="J27" s="122"/>
      <c r="K27" s="122"/>
      <c r="L27" s="122"/>
      <c r="M27" s="121"/>
      <c r="N27" s="122"/>
      <c r="O27" s="122"/>
      <c r="P27" s="122"/>
      <c r="Q27" s="121"/>
      <c r="R27" s="122"/>
      <c r="S27" s="122"/>
      <c r="T27" s="122"/>
      <c r="U27" s="121"/>
      <c r="V27" s="122"/>
      <c r="W27" s="122"/>
      <c r="X27" s="122"/>
      <c r="Y27" s="121"/>
      <c r="Z27" s="122"/>
      <c r="AA27" s="122"/>
      <c r="AB27" s="122"/>
      <c r="AC27" s="121"/>
      <c r="AD27" s="122"/>
      <c r="AE27" s="122"/>
      <c r="AF27" s="122"/>
    </row>
    <row r="28" spans="1:51">
      <c r="A28" s="121"/>
      <c r="B28" s="122"/>
      <c r="C28" s="122"/>
      <c r="D28" s="122"/>
      <c r="E28" s="121"/>
      <c r="F28" s="122"/>
      <c r="G28" s="122"/>
      <c r="H28" s="122"/>
      <c r="I28" s="121"/>
      <c r="J28" s="122"/>
      <c r="K28" s="122"/>
      <c r="L28" s="122"/>
      <c r="M28" s="121"/>
      <c r="N28" s="122"/>
      <c r="O28" s="122"/>
      <c r="P28" s="122"/>
      <c r="Q28" s="121"/>
      <c r="R28" s="122"/>
      <c r="S28" s="122"/>
      <c r="T28" s="122"/>
      <c r="U28" s="121"/>
      <c r="V28" s="122"/>
      <c r="W28" s="122"/>
      <c r="X28" s="122"/>
      <c r="Y28" s="121"/>
      <c r="Z28" s="122"/>
      <c r="AA28" s="122"/>
      <c r="AB28" s="122"/>
      <c r="AC28" s="121"/>
      <c r="AD28" s="122"/>
      <c r="AE28" s="122"/>
      <c r="AF28" s="122"/>
    </row>
    <row r="29" spans="1:51">
      <c r="A29" s="246" t="s">
        <v>141</v>
      </c>
      <c r="B29" s="247"/>
      <c r="C29" s="247"/>
      <c r="D29" s="247"/>
      <c r="E29" s="248" t="s">
        <v>142</v>
      </c>
      <c r="F29" s="247"/>
      <c r="G29" s="247"/>
      <c r="H29" s="247"/>
      <c r="I29" s="249" t="s">
        <v>145</v>
      </c>
      <c r="J29" s="247"/>
      <c r="K29" s="247"/>
      <c r="L29" s="247"/>
      <c r="M29" s="250" t="s">
        <v>146</v>
      </c>
      <c r="N29" s="247"/>
      <c r="O29" s="247"/>
      <c r="P29" s="247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</row>
    <row r="30" spans="1:51">
      <c r="A30" s="124" t="s">
        <v>149</v>
      </c>
      <c r="B30" s="125" t="s">
        <v>150</v>
      </c>
      <c r="C30" s="126" t="s">
        <v>151</v>
      </c>
      <c r="D30" s="127" t="s">
        <v>152</v>
      </c>
      <c r="E30" s="128" t="s">
        <v>149</v>
      </c>
      <c r="F30" s="125" t="s">
        <v>150</v>
      </c>
      <c r="G30" s="126" t="s">
        <v>151</v>
      </c>
      <c r="H30" s="127" t="s">
        <v>152</v>
      </c>
      <c r="I30" s="128" t="s">
        <v>149</v>
      </c>
      <c r="J30" s="125" t="s">
        <v>150</v>
      </c>
      <c r="K30" s="126" t="s">
        <v>151</v>
      </c>
      <c r="L30" s="127" t="s">
        <v>152</v>
      </c>
      <c r="M30" s="128" t="s">
        <v>149</v>
      </c>
      <c r="N30" s="125" t="s">
        <v>150</v>
      </c>
      <c r="O30" s="126" t="s">
        <v>151</v>
      </c>
      <c r="P30" s="127" t="s">
        <v>152</v>
      </c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30"/>
    </row>
    <row r="31" spans="1:51">
      <c r="A31" s="117"/>
      <c r="B31" s="117"/>
      <c r="C31" s="117"/>
      <c r="D31" s="117"/>
      <c r="E31" s="117"/>
      <c r="F31" s="117"/>
      <c r="G31" s="117"/>
      <c r="H31" s="117"/>
      <c r="L31" s="117"/>
      <c r="M31" s="117"/>
      <c r="N31" s="117"/>
      <c r="O31" s="117"/>
      <c r="P31" s="117"/>
    </row>
    <row r="32" spans="1:5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</row>
    <row r="33" spans="1:16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</row>
    <row r="34" spans="1:16">
      <c r="I34" s="117"/>
      <c r="J34" s="117"/>
      <c r="K34" s="117"/>
      <c r="L34" s="117"/>
      <c r="M34" s="117"/>
      <c r="N34" s="117"/>
      <c r="O34" s="117"/>
      <c r="P34" s="117"/>
    </row>
    <row r="37" spans="1:16">
      <c r="A37" s="121"/>
      <c r="B37" s="122"/>
      <c r="C37" s="122"/>
      <c r="D37" s="122"/>
      <c r="E37" s="121"/>
      <c r="F37" s="122"/>
      <c r="G37" s="122"/>
      <c r="H37" s="122"/>
      <c r="I37" s="121"/>
      <c r="J37" s="122"/>
      <c r="K37" s="122"/>
      <c r="L37" s="122"/>
      <c r="M37" s="121"/>
      <c r="N37" s="122"/>
      <c r="O37" s="122"/>
      <c r="P37" s="122"/>
    </row>
    <row r="38" spans="1:16">
      <c r="A38" s="121"/>
      <c r="B38" s="122"/>
      <c r="C38" s="122"/>
      <c r="D38" s="122"/>
      <c r="E38" s="121"/>
      <c r="F38" s="122"/>
      <c r="G38" s="122"/>
      <c r="H38" s="122"/>
      <c r="I38" s="121"/>
      <c r="J38" s="122"/>
      <c r="K38" s="122"/>
      <c r="L38" s="122"/>
      <c r="M38" s="121"/>
      <c r="N38" s="122"/>
      <c r="O38" s="122"/>
      <c r="P38" s="122"/>
    </row>
    <row r="39" spans="1:16">
      <c r="A39" s="121"/>
      <c r="B39" s="122"/>
      <c r="C39" s="122"/>
      <c r="D39" s="122"/>
      <c r="E39" s="121"/>
      <c r="F39" s="122"/>
      <c r="G39" s="122"/>
      <c r="H39" s="122"/>
      <c r="I39" s="121"/>
      <c r="J39" s="122"/>
      <c r="K39" s="122"/>
      <c r="L39" s="122"/>
      <c r="M39" s="121"/>
      <c r="N39" s="122"/>
      <c r="O39" s="122"/>
      <c r="P39" s="122"/>
    </row>
  </sheetData>
  <mergeCells count="20">
    <mergeCell ref="M2:P2"/>
    <mergeCell ref="Q2:T2"/>
    <mergeCell ref="U2:X2"/>
    <mergeCell ref="Y2:AB2"/>
    <mergeCell ref="AC2:AF2"/>
    <mergeCell ref="Y13:AB13"/>
    <mergeCell ref="AC13:AF13"/>
    <mergeCell ref="A29:D29"/>
    <mergeCell ref="E29:H29"/>
    <mergeCell ref="I29:L29"/>
    <mergeCell ref="M29:P29"/>
    <mergeCell ref="A2:D2"/>
    <mergeCell ref="A13:D13"/>
    <mergeCell ref="E13:H13"/>
    <mergeCell ref="I13:L13"/>
    <mergeCell ref="M13:P13"/>
    <mergeCell ref="Q13:T13"/>
    <mergeCell ref="U13:X13"/>
    <mergeCell ref="E2:H2"/>
    <mergeCell ref="I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26"/>
  <sheetViews>
    <sheetView zoomScale="150" zoomScaleNormal="150" workbookViewId="0">
      <selection sqref="A1:A2"/>
    </sheetView>
  </sheetViews>
  <sheetFormatPr baseColWidth="10" defaultColWidth="14.5" defaultRowHeight="15" customHeight="1"/>
  <cols>
    <col min="5" max="5" width="16.5" customWidth="1"/>
  </cols>
  <sheetData>
    <row r="1" spans="1:26" ht="30" customHeight="1">
      <c r="A1" s="228" t="s">
        <v>59</v>
      </c>
      <c r="B1" s="228" t="s">
        <v>0</v>
      </c>
      <c r="C1" s="228" t="s">
        <v>1</v>
      </c>
      <c r="D1" s="228" t="s">
        <v>2</v>
      </c>
      <c r="E1" s="257" t="s">
        <v>153</v>
      </c>
    </row>
    <row r="2" spans="1:26" ht="27" customHeight="1">
      <c r="A2" s="229"/>
      <c r="B2" s="229"/>
      <c r="C2" s="229"/>
      <c r="D2" s="229"/>
      <c r="E2" s="229"/>
    </row>
    <row r="3" spans="1:26" ht="16">
      <c r="A3" s="15">
        <v>1</v>
      </c>
      <c r="B3" s="15" t="s">
        <v>46</v>
      </c>
      <c r="C3" s="15" t="s">
        <v>47</v>
      </c>
      <c r="D3" s="15" t="s">
        <v>48</v>
      </c>
      <c r="E3" s="131">
        <v>540.70000000000005</v>
      </c>
    </row>
    <row r="4" spans="1:26" ht="16">
      <c r="A4" s="22">
        <v>2</v>
      </c>
      <c r="B4" s="22" t="s">
        <v>46</v>
      </c>
      <c r="C4" s="22" t="s">
        <v>47</v>
      </c>
      <c r="D4" s="22" t="s">
        <v>49</v>
      </c>
      <c r="E4" s="132">
        <v>438.9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spans="1:26" ht="16">
      <c r="A5" s="15">
        <v>3</v>
      </c>
      <c r="B5" s="15" t="s">
        <v>46</v>
      </c>
      <c r="C5" s="15" t="s">
        <v>47</v>
      </c>
      <c r="D5" s="15" t="s">
        <v>48</v>
      </c>
      <c r="E5" s="131">
        <v>664</v>
      </c>
    </row>
    <row r="6" spans="1:26" ht="16">
      <c r="A6" s="22">
        <v>4</v>
      </c>
      <c r="B6" s="22" t="s">
        <v>46</v>
      </c>
      <c r="C6" s="22" t="s">
        <v>47</v>
      </c>
      <c r="D6" s="22" t="s">
        <v>49</v>
      </c>
      <c r="E6" s="132">
        <v>383.9</v>
      </c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spans="1:26" ht="16">
      <c r="A7" s="15">
        <v>5</v>
      </c>
      <c r="B7" s="15" t="s">
        <v>46</v>
      </c>
      <c r="C7" s="15" t="s">
        <v>47</v>
      </c>
      <c r="D7" s="15" t="s">
        <v>48</v>
      </c>
      <c r="E7" s="131">
        <v>440</v>
      </c>
    </row>
    <row r="8" spans="1:26" ht="16">
      <c r="A8" s="22">
        <v>6</v>
      </c>
      <c r="B8" s="22" t="s">
        <v>46</v>
      </c>
      <c r="C8" s="22" t="s">
        <v>47</v>
      </c>
      <c r="D8" s="22" t="s">
        <v>49</v>
      </c>
      <c r="E8" s="132">
        <v>641.9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spans="1:26" ht="16">
      <c r="A9" s="15">
        <v>7</v>
      </c>
      <c r="B9" s="15" t="s">
        <v>46</v>
      </c>
      <c r="C9" s="15" t="s">
        <v>50</v>
      </c>
      <c r="D9" s="15" t="s">
        <v>48</v>
      </c>
      <c r="E9" s="131">
        <v>575.79999999999995</v>
      </c>
    </row>
    <row r="10" spans="1:26" ht="16">
      <c r="A10" s="22">
        <v>8</v>
      </c>
      <c r="B10" s="22" t="s">
        <v>46</v>
      </c>
      <c r="C10" s="22" t="s">
        <v>50</v>
      </c>
      <c r="D10" s="22" t="s">
        <v>49</v>
      </c>
      <c r="E10" s="132">
        <v>662.6</v>
      </c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 spans="1:26" ht="16">
      <c r="A11" s="15">
        <v>9</v>
      </c>
      <c r="B11" s="15" t="s">
        <v>46</v>
      </c>
      <c r="C11" s="15" t="s">
        <v>50</v>
      </c>
      <c r="D11" s="15" t="s">
        <v>48</v>
      </c>
      <c r="E11" s="131">
        <v>592.5</v>
      </c>
    </row>
    <row r="12" spans="1:26" ht="16">
      <c r="A12" s="22">
        <v>10</v>
      </c>
      <c r="B12" s="22" t="s">
        <v>46</v>
      </c>
      <c r="C12" s="22" t="s">
        <v>50</v>
      </c>
      <c r="D12" s="22" t="s">
        <v>49</v>
      </c>
      <c r="E12" s="132">
        <v>543.29999999999995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</row>
    <row r="13" spans="1:26" ht="16">
      <c r="A13" s="15">
        <v>11</v>
      </c>
      <c r="B13" s="15" t="s">
        <v>46</v>
      </c>
      <c r="C13" s="15" t="s">
        <v>50</v>
      </c>
      <c r="D13" s="15" t="s">
        <v>48</v>
      </c>
      <c r="E13" s="131">
        <v>571</v>
      </c>
    </row>
    <row r="14" spans="1:26" ht="16">
      <c r="A14" s="22">
        <v>12</v>
      </c>
      <c r="B14" s="22" t="s">
        <v>46</v>
      </c>
      <c r="C14" s="22" t="s">
        <v>50</v>
      </c>
      <c r="D14" s="22" t="s">
        <v>49</v>
      </c>
      <c r="E14" s="132">
        <v>866.4</v>
      </c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 spans="1:26" ht="16">
      <c r="A15" s="15">
        <v>13</v>
      </c>
      <c r="B15" s="15" t="s">
        <v>51</v>
      </c>
      <c r="C15" s="15" t="s">
        <v>47</v>
      </c>
      <c r="D15" s="15" t="s">
        <v>48</v>
      </c>
      <c r="E15" s="131">
        <v>244.8</v>
      </c>
    </row>
    <row r="16" spans="1:26" ht="16">
      <c r="A16" s="22">
        <v>14</v>
      </c>
      <c r="B16" s="22" t="s">
        <v>51</v>
      </c>
      <c r="C16" s="22" t="s">
        <v>47</v>
      </c>
      <c r="D16" s="22" t="s">
        <v>49</v>
      </c>
      <c r="E16" s="132">
        <v>470.5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spans="1:26" ht="16">
      <c r="A17" s="15">
        <v>15</v>
      </c>
      <c r="B17" s="15" t="s">
        <v>51</v>
      </c>
      <c r="C17" s="15" t="s">
        <v>47</v>
      </c>
      <c r="D17" s="15" t="s">
        <v>48</v>
      </c>
      <c r="E17" s="131">
        <v>476.9</v>
      </c>
    </row>
    <row r="18" spans="1:26" ht="16">
      <c r="A18" s="22">
        <v>16</v>
      </c>
      <c r="B18" s="22" t="s">
        <v>51</v>
      </c>
      <c r="C18" s="22" t="s">
        <v>47</v>
      </c>
      <c r="D18" s="22" t="s">
        <v>49</v>
      </c>
      <c r="E18" s="132">
        <v>422.6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spans="1:26" ht="16">
      <c r="A19" s="15">
        <v>17</v>
      </c>
      <c r="B19" s="15" t="s">
        <v>51</v>
      </c>
      <c r="C19" s="15" t="s">
        <v>47</v>
      </c>
      <c r="D19" s="15" t="s">
        <v>48</v>
      </c>
      <c r="E19" s="131">
        <v>254.5</v>
      </c>
    </row>
    <row r="20" spans="1:26" ht="16">
      <c r="A20" s="22">
        <v>18</v>
      </c>
      <c r="B20" s="22" t="s">
        <v>51</v>
      </c>
      <c r="C20" s="22" t="s">
        <v>47</v>
      </c>
      <c r="D20" s="22" t="s">
        <v>49</v>
      </c>
      <c r="E20" s="132">
        <v>749.6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spans="1:26" ht="16">
      <c r="A21" s="15">
        <v>19</v>
      </c>
      <c r="B21" s="15" t="s">
        <v>51</v>
      </c>
      <c r="C21" s="15" t="s">
        <v>50</v>
      </c>
      <c r="D21" s="15" t="s">
        <v>48</v>
      </c>
      <c r="E21" s="131">
        <v>502.8</v>
      </c>
    </row>
    <row r="22" spans="1:26" ht="16">
      <c r="A22" s="22">
        <v>20</v>
      </c>
      <c r="B22" s="22" t="s">
        <v>51</v>
      </c>
      <c r="C22" s="22" t="s">
        <v>50</v>
      </c>
      <c r="D22" s="22" t="s">
        <v>49</v>
      </c>
      <c r="E22" s="132">
        <v>634.1</v>
      </c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spans="1:26" ht="16">
      <c r="A23" s="15">
        <v>21</v>
      </c>
      <c r="B23" s="15" t="s">
        <v>51</v>
      </c>
      <c r="C23" s="15" t="s">
        <v>50</v>
      </c>
      <c r="D23" s="15" t="s">
        <v>48</v>
      </c>
      <c r="E23" s="131">
        <v>610</v>
      </c>
    </row>
    <row r="24" spans="1:26" ht="16">
      <c r="A24" s="22">
        <v>22</v>
      </c>
      <c r="B24" s="22" t="s">
        <v>51</v>
      </c>
      <c r="C24" s="22" t="s">
        <v>50</v>
      </c>
      <c r="D24" s="22" t="s">
        <v>49</v>
      </c>
      <c r="E24" s="132">
        <v>753.7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spans="1:26" ht="16">
      <c r="A25" s="15">
        <v>23</v>
      </c>
      <c r="B25" s="15" t="s">
        <v>51</v>
      </c>
      <c r="C25" s="15" t="s">
        <v>50</v>
      </c>
      <c r="D25" s="15" t="s">
        <v>48</v>
      </c>
      <c r="E25" s="131">
        <v>719.7</v>
      </c>
    </row>
    <row r="26" spans="1:26" ht="16">
      <c r="A26" s="22">
        <v>24</v>
      </c>
      <c r="B26" s="22" t="s">
        <v>51</v>
      </c>
      <c r="C26" s="22" t="s">
        <v>50</v>
      </c>
      <c r="D26" s="22" t="s">
        <v>49</v>
      </c>
      <c r="E26" s="132">
        <v>767.7</v>
      </c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I1002"/>
  <sheetViews>
    <sheetView workbookViewId="0">
      <pane xSplit="3" topLeftCell="S1" activePane="topRight" state="frozen"/>
      <selection pane="topRight" activeCell="E2" sqref="E2:E3"/>
    </sheetView>
  </sheetViews>
  <sheetFormatPr baseColWidth="10" defaultColWidth="14.5" defaultRowHeight="15" customHeight="1"/>
  <cols>
    <col min="5" max="5" width="15.6640625" customWidth="1"/>
    <col min="9" max="9" width="15.6640625" customWidth="1"/>
    <col min="12" max="12" width="10.6640625" customWidth="1"/>
    <col min="13" max="13" width="16" customWidth="1"/>
    <col min="17" max="17" width="17.6640625" customWidth="1"/>
    <col min="21" max="21" width="16.6640625" customWidth="1"/>
    <col min="25" max="25" width="15.83203125" customWidth="1"/>
    <col min="29" max="29" width="17.33203125" customWidth="1"/>
    <col min="33" max="33" width="16.33203125" customWidth="1"/>
    <col min="34" max="35" width="16.1640625" customWidth="1"/>
    <col min="36" max="36" width="18.6640625" customWidth="1"/>
    <col min="37" max="37" width="17.6640625" customWidth="1"/>
    <col min="38" max="38" width="16.83203125" customWidth="1"/>
    <col min="39" max="39" width="15.83203125" customWidth="1"/>
    <col min="41" max="41" width="16.1640625" customWidth="1"/>
    <col min="42" max="42" width="16.33203125" customWidth="1"/>
    <col min="43" max="43" width="16.1640625" customWidth="1"/>
    <col min="45" max="45" width="16.83203125" customWidth="1"/>
    <col min="46" max="46" width="16" customWidth="1"/>
    <col min="47" max="47" width="15.83203125" customWidth="1"/>
    <col min="49" max="49" width="20" customWidth="1"/>
    <col min="50" max="50" width="18.6640625" customWidth="1"/>
  </cols>
  <sheetData>
    <row r="1" spans="1:61" ht="42.75" customHeight="1">
      <c r="A1" s="134" t="s">
        <v>154</v>
      </c>
      <c r="B1" s="134"/>
      <c r="C1" s="135"/>
      <c r="D1" s="272" t="s">
        <v>3</v>
      </c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136"/>
      <c r="Q1" s="273" t="s">
        <v>155</v>
      </c>
      <c r="R1" s="260"/>
      <c r="S1" s="260"/>
      <c r="T1" s="260"/>
      <c r="U1" s="260"/>
      <c r="V1" s="260"/>
      <c r="W1" s="260"/>
      <c r="X1" s="136"/>
      <c r="Y1" s="274" t="s">
        <v>156</v>
      </c>
      <c r="Z1" s="260"/>
      <c r="AA1" s="260"/>
      <c r="AB1" s="260"/>
      <c r="AC1" s="260"/>
      <c r="AD1" s="260"/>
      <c r="AE1" s="260"/>
      <c r="AF1" s="137"/>
      <c r="AG1" s="275" t="s">
        <v>157</v>
      </c>
      <c r="AH1" s="260"/>
      <c r="AI1" s="260"/>
      <c r="AJ1" s="260"/>
      <c r="AK1" s="260"/>
      <c r="AL1" s="260"/>
      <c r="AM1" s="260"/>
      <c r="AN1" s="137"/>
      <c r="AO1" s="276" t="s">
        <v>158</v>
      </c>
      <c r="AP1" s="260"/>
      <c r="AQ1" s="260"/>
      <c r="AR1" s="260"/>
      <c r="AS1" s="260"/>
      <c r="AT1" s="260"/>
      <c r="AU1" s="260"/>
      <c r="AV1" s="137"/>
      <c r="AW1" s="274" t="s">
        <v>159</v>
      </c>
      <c r="AX1" s="260"/>
      <c r="AY1" s="260"/>
      <c r="AZ1" s="137"/>
      <c r="BA1" s="137"/>
      <c r="BB1" s="137"/>
      <c r="BC1" s="137"/>
      <c r="BD1" s="137"/>
      <c r="BE1" s="137"/>
      <c r="BF1" s="137"/>
      <c r="BG1" s="137"/>
      <c r="BH1" s="137"/>
      <c r="BI1" s="137"/>
    </row>
    <row r="2" spans="1:61">
      <c r="A2" s="228" t="s">
        <v>160</v>
      </c>
      <c r="B2" s="228" t="s">
        <v>0</v>
      </c>
      <c r="C2" s="228" t="s">
        <v>1</v>
      </c>
      <c r="D2" s="228" t="s">
        <v>2</v>
      </c>
      <c r="E2" s="258" t="s">
        <v>161</v>
      </c>
      <c r="F2" s="258" t="s">
        <v>162</v>
      </c>
      <c r="G2" s="266" t="s">
        <v>163</v>
      </c>
      <c r="H2" s="138"/>
      <c r="I2" s="258" t="s">
        <v>164</v>
      </c>
      <c r="J2" s="258" t="s">
        <v>165</v>
      </c>
      <c r="K2" s="266" t="s">
        <v>166</v>
      </c>
      <c r="L2" s="136"/>
      <c r="M2" s="258" t="s">
        <v>167</v>
      </c>
      <c r="N2" s="258" t="s">
        <v>168</v>
      </c>
      <c r="O2" s="266" t="s">
        <v>169</v>
      </c>
      <c r="P2" s="136"/>
      <c r="Q2" s="258" t="s">
        <v>170</v>
      </c>
      <c r="R2" s="258" t="s">
        <v>171</v>
      </c>
      <c r="S2" s="266" t="s">
        <v>172</v>
      </c>
      <c r="T2" s="136"/>
      <c r="U2" s="258" t="s">
        <v>173</v>
      </c>
      <c r="V2" s="258" t="s">
        <v>174</v>
      </c>
      <c r="W2" s="266" t="s">
        <v>175</v>
      </c>
      <c r="X2" s="136"/>
      <c r="Y2" s="258" t="s">
        <v>176</v>
      </c>
      <c r="Z2" s="258" t="s">
        <v>177</v>
      </c>
      <c r="AA2" s="266" t="s">
        <v>178</v>
      </c>
      <c r="AB2" s="136"/>
      <c r="AC2" s="258" t="s">
        <v>179</v>
      </c>
      <c r="AD2" s="258" t="s">
        <v>180</v>
      </c>
      <c r="AE2" s="266" t="s">
        <v>181</v>
      </c>
      <c r="AF2" s="139"/>
      <c r="AG2" s="258" t="s">
        <v>182</v>
      </c>
      <c r="AH2" s="258" t="s">
        <v>183</v>
      </c>
      <c r="AI2" s="266" t="s">
        <v>184</v>
      </c>
      <c r="AJ2" s="139"/>
      <c r="AK2" s="258" t="s">
        <v>185</v>
      </c>
      <c r="AL2" s="258" t="s">
        <v>186</v>
      </c>
      <c r="AM2" s="266" t="s">
        <v>187</v>
      </c>
      <c r="AN2" s="139"/>
      <c r="AO2" s="258" t="s">
        <v>188</v>
      </c>
      <c r="AP2" s="258" t="s">
        <v>189</v>
      </c>
      <c r="AQ2" s="266" t="s">
        <v>190</v>
      </c>
      <c r="AR2" s="139"/>
      <c r="AS2" s="258" t="s">
        <v>191</v>
      </c>
      <c r="AT2" s="258" t="s">
        <v>192</v>
      </c>
      <c r="AU2" s="266" t="s">
        <v>193</v>
      </c>
      <c r="AV2" s="139"/>
      <c r="AW2" s="277" t="s">
        <v>194</v>
      </c>
      <c r="AX2" s="270" t="s">
        <v>195</v>
      </c>
      <c r="AY2" s="270" t="s">
        <v>196</v>
      </c>
      <c r="AZ2" s="140"/>
      <c r="BA2" s="140"/>
      <c r="BB2" s="140"/>
      <c r="BC2" s="140"/>
      <c r="BD2" s="140"/>
      <c r="BE2" s="140"/>
      <c r="BF2" s="140"/>
      <c r="BG2" s="140"/>
      <c r="BH2" s="140"/>
      <c r="BI2" s="140"/>
    </row>
    <row r="3" spans="1:61">
      <c r="A3" s="229"/>
      <c r="B3" s="229"/>
      <c r="C3" s="229"/>
      <c r="D3" s="229"/>
      <c r="E3" s="229"/>
      <c r="F3" s="229"/>
      <c r="G3" s="229"/>
      <c r="H3" s="138"/>
      <c r="I3" s="229"/>
      <c r="J3" s="229"/>
      <c r="K3" s="229"/>
      <c r="L3" s="136"/>
      <c r="M3" s="229"/>
      <c r="N3" s="229"/>
      <c r="O3" s="229"/>
      <c r="P3" s="136"/>
      <c r="Q3" s="229"/>
      <c r="R3" s="229"/>
      <c r="S3" s="229"/>
      <c r="T3" s="136"/>
      <c r="U3" s="229"/>
      <c r="V3" s="229"/>
      <c r="W3" s="229"/>
      <c r="X3" s="136"/>
      <c r="Y3" s="229"/>
      <c r="Z3" s="229"/>
      <c r="AA3" s="229"/>
      <c r="AB3" s="136"/>
      <c r="AC3" s="229"/>
      <c r="AD3" s="229"/>
      <c r="AE3" s="229"/>
      <c r="AF3" s="139"/>
      <c r="AG3" s="229"/>
      <c r="AH3" s="229"/>
      <c r="AI3" s="229"/>
      <c r="AJ3" s="139"/>
      <c r="AK3" s="229"/>
      <c r="AL3" s="229"/>
      <c r="AM3" s="229"/>
      <c r="AN3" s="139"/>
      <c r="AO3" s="229"/>
      <c r="AP3" s="229"/>
      <c r="AQ3" s="229"/>
      <c r="AR3" s="139"/>
      <c r="AS3" s="229"/>
      <c r="AT3" s="229"/>
      <c r="AU3" s="229"/>
      <c r="AV3" s="139"/>
      <c r="AW3" s="229"/>
      <c r="AX3" s="271"/>
      <c r="AY3" s="271"/>
      <c r="AZ3" s="139"/>
      <c r="BA3" s="139"/>
      <c r="BB3" s="139"/>
      <c r="BC3" s="139"/>
      <c r="BD3" s="139"/>
      <c r="BE3" s="139"/>
      <c r="BF3" s="139"/>
      <c r="BG3" s="139"/>
      <c r="BH3" s="139"/>
      <c r="BI3" s="139"/>
    </row>
    <row r="4" spans="1:61" ht="16">
      <c r="A4" s="15">
        <v>1</v>
      </c>
      <c r="B4" s="15" t="s">
        <v>46</v>
      </c>
      <c r="C4" s="15" t="s">
        <v>47</v>
      </c>
      <c r="D4" s="15" t="s">
        <v>48</v>
      </c>
      <c r="E4" s="131">
        <v>262.33</v>
      </c>
      <c r="F4" s="131">
        <v>246.85</v>
      </c>
      <c r="G4" s="131">
        <f t="shared" ref="G4:G27" si="0">(E4-F4)/3</f>
        <v>5.1599999999999966</v>
      </c>
      <c r="H4" s="138"/>
      <c r="I4" s="131">
        <v>246.85</v>
      </c>
      <c r="J4" s="131">
        <v>213.21</v>
      </c>
      <c r="K4" s="18">
        <f t="shared" ref="K4:K27" si="1">(I4-J4)/4</f>
        <v>8.4099999999999966</v>
      </c>
      <c r="L4" s="136"/>
      <c r="M4" s="131">
        <v>281.17</v>
      </c>
      <c r="N4" s="131">
        <v>265.85000000000002</v>
      </c>
      <c r="O4" s="18">
        <f t="shared" ref="O4:O27" si="2">(M4-N4)/3</f>
        <v>5.1066666666666647</v>
      </c>
      <c r="P4" s="136"/>
      <c r="Q4" s="131">
        <v>265.85000000000002</v>
      </c>
      <c r="R4" s="131">
        <v>253.99</v>
      </c>
      <c r="S4" s="18">
        <f t="shared" ref="S4:S27" si="3">(Q4-R4)/3</f>
        <v>3.953333333333338</v>
      </c>
      <c r="T4" s="136"/>
      <c r="U4" s="131">
        <v>253.99</v>
      </c>
      <c r="V4" s="131">
        <v>234.68</v>
      </c>
      <c r="W4" s="18">
        <f t="shared" ref="W4:W27" si="4">(U4-V4)/4</f>
        <v>4.8275000000000006</v>
      </c>
      <c r="X4" s="136"/>
      <c r="Y4" s="131">
        <v>234.68</v>
      </c>
      <c r="Z4" s="131">
        <v>221.22</v>
      </c>
      <c r="AA4" s="18">
        <f t="shared" ref="AA4:AA27" si="5">(Y4-Z4)/3</f>
        <v>4.486666666666669</v>
      </c>
      <c r="AB4" s="136"/>
      <c r="AC4" s="131">
        <v>221.22</v>
      </c>
      <c r="AD4" s="131">
        <v>204.4</v>
      </c>
      <c r="AE4" s="18">
        <f t="shared" ref="AE4:AE27" si="6">(AC4-AD4)/4</f>
        <v>4.2049999999999983</v>
      </c>
      <c r="AF4" s="136"/>
      <c r="AG4" s="131">
        <v>204.4</v>
      </c>
      <c r="AH4" s="131">
        <v>191</v>
      </c>
      <c r="AI4" s="18">
        <f t="shared" ref="AI4:AI27" si="7">(AG4-AH4)/3</f>
        <v>4.4666666666666686</v>
      </c>
      <c r="AJ4" s="136"/>
      <c r="AK4" s="131">
        <v>357.15</v>
      </c>
      <c r="AL4" s="131">
        <v>293.94</v>
      </c>
      <c r="AM4" s="18">
        <f t="shared" ref="AM4:AM27" si="8">(AK4-AL4)/4</f>
        <v>15.802499999999995</v>
      </c>
      <c r="AN4" s="136"/>
      <c r="AO4" s="131">
        <v>293.94</v>
      </c>
      <c r="AP4" s="131">
        <v>262.35000000000002</v>
      </c>
      <c r="AQ4" s="18">
        <f t="shared" ref="AQ4:AQ27" si="9">(AO4-AP4)/3</f>
        <v>10.529999999999992</v>
      </c>
      <c r="AR4" s="136"/>
      <c r="AS4" s="131">
        <v>262.35000000000002</v>
      </c>
      <c r="AT4" s="131">
        <v>234.84</v>
      </c>
      <c r="AU4" s="131">
        <f t="shared" ref="AU4:AU27" si="10">(AS4-AT4)/4</f>
        <v>6.8775000000000048</v>
      </c>
      <c r="AV4" s="136"/>
      <c r="AW4" s="131">
        <v>207.81</v>
      </c>
      <c r="AX4" s="131">
        <v>202.14</v>
      </c>
      <c r="AY4" s="131">
        <f t="shared" ref="AY4:AY27" si="11">(AW4-AX4)/2</f>
        <v>2.835000000000008</v>
      </c>
      <c r="AZ4" s="136"/>
      <c r="BA4" s="136"/>
      <c r="BB4" s="136"/>
      <c r="BC4" s="136"/>
      <c r="BD4" s="136"/>
      <c r="BE4" s="136"/>
      <c r="BF4" s="136"/>
      <c r="BG4" s="136"/>
      <c r="BH4" s="136"/>
      <c r="BI4" s="136"/>
    </row>
    <row r="5" spans="1:61" ht="16">
      <c r="A5" s="22">
        <v>2</v>
      </c>
      <c r="B5" s="22" t="s">
        <v>46</v>
      </c>
      <c r="C5" s="22" t="s">
        <v>47</v>
      </c>
      <c r="D5" s="22" t="s">
        <v>49</v>
      </c>
      <c r="E5" s="132">
        <v>344.34</v>
      </c>
      <c r="F5" s="132">
        <v>326</v>
      </c>
      <c r="G5" s="25">
        <f t="shared" si="0"/>
        <v>6.1133333333333253</v>
      </c>
      <c r="H5" s="141"/>
      <c r="I5" s="132">
        <v>326</v>
      </c>
      <c r="J5" s="132">
        <v>299.42</v>
      </c>
      <c r="K5" s="25">
        <f t="shared" si="1"/>
        <v>6.644999999999996</v>
      </c>
      <c r="L5" s="142"/>
      <c r="M5" s="132">
        <v>235.65</v>
      </c>
      <c r="N5" s="132">
        <v>220.35</v>
      </c>
      <c r="O5" s="25">
        <f t="shared" si="2"/>
        <v>5.1000000000000041</v>
      </c>
      <c r="P5" s="142"/>
      <c r="Q5" s="132">
        <v>220.35</v>
      </c>
      <c r="R5" s="132">
        <v>209.96</v>
      </c>
      <c r="S5" s="25">
        <f t="shared" si="3"/>
        <v>3.4633333333333289</v>
      </c>
      <c r="T5" s="142"/>
      <c r="U5" s="132">
        <v>209.96</v>
      </c>
      <c r="V5" s="132">
        <v>193.7</v>
      </c>
      <c r="W5" s="25">
        <f t="shared" si="4"/>
        <v>4.0650000000000048</v>
      </c>
      <c r="X5" s="142"/>
      <c r="Y5" s="132">
        <v>193.7</v>
      </c>
      <c r="Z5" s="132">
        <v>181.09</v>
      </c>
      <c r="AA5" s="25">
        <f t="shared" si="5"/>
        <v>4.2033333333333287</v>
      </c>
      <c r="AB5" s="142"/>
      <c r="AC5" s="132">
        <v>181.09</v>
      </c>
      <c r="AD5" s="132">
        <v>163.92</v>
      </c>
      <c r="AE5" s="25">
        <f t="shared" si="6"/>
        <v>4.292500000000004</v>
      </c>
      <c r="AF5" s="142"/>
      <c r="AG5" s="132">
        <v>163.92</v>
      </c>
      <c r="AH5" s="132">
        <v>151.5</v>
      </c>
      <c r="AI5" s="25">
        <f t="shared" si="7"/>
        <v>4.1399999999999961</v>
      </c>
      <c r="AJ5" s="142"/>
      <c r="AK5" s="132">
        <v>314.94</v>
      </c>
      <c r="AL5" s="132">
        <v>289.51</v>
      </c>
      <c r="AM5" s="25">
        <f t="shared" si="8"/>
        <v>6.3575000000000017</v>
      </c>
      <c r="AN5" s="142"/>
      <c r="AO5" s="132">
        <v>289.51</v>
      </c>
      <c r="AP5" s="132">
        <v>275.24</v>
      </c>
      <c r="AQ5" s="25">
        <f t="shared" si="9"/>
        <v>4.7566666666666606</v>
      </c>
      <c r="AR5" s="142"/>
      <c r="AS5" s="132">
        <v>275.24</v>
      </c>
      <c r="AT5" s="132">
        <v>258.20999999999998</v>
      </c>
      <c r="AU5" s="132">
        <f t="shared" si="10"/>
        <v>4.2575000000000074</v>
      </c>
      <c r="AV5" s="142"/>
      <c r="AW5" s="132">
        <v>296.95</v>
      </c>
      <c r="AX5" s="132">
        <v>290.92</v>
      </c>
      <c r="AY5" s="132">
        <f t="shared" si="11"/>
        <v>3.0149999999999864</v>
      </c>
      <c r="AZ5" s="142"/>
      <c r="BA5" s="142"/>
      <c r="BB5" s="142"/>
      <c r="BC5" s="142"/>
      <c r="BD5" s="142"/>
      <c r="BE5" s="142"/>
      <c r="BF5" s="142"/>
      <c r="BG5" s="142"/>
      <c r="BH5" s="142"/>
      <c r="BI5" s="142"/>
    </row>
    <row r="6" spans="1:61" ht="16">
      <c r="A6" s="15">
        <v>3</v>
      </c>
      <c r="B6" s="15" t="s">
        <v>46</v>
      </c>
      <c r="C6" s="15" t="s">
        <v>47</v>
      </c>
      <c r="D6" s="15" t="s">
        <v>48</v>
      </c>
      <c r="E6" s="131">
        <v>291.39999999999998</v>
      </c>
      <c r="F6" s="131">
        <v>271.49</v>
      </c>
      <c r="G6" s="18">
        <f t="shared" si="0"/>
        <v>6.6366666666666561</v>
      </c>
      <c r="H6" s="138"/>
      <c r="I6" s="131">
        <v>271.49</v>
      </c>
      <c r="J6" s="131">
        <v>250.21</v>
      </c>
      <c r="K6" s="18">
        <f t="shared" si="1"/>
        <v>5.32</v>
      </c>
      <c r="L6" s="136"/>
      <c r="M6" s="131">
        <v>352.5</v>
      </c>
      <c r="N6" s="131">
        <v>336.12</v>
      </c>
      <c r="O6" s="18">
        <f t="shared" si="2"/>
        <v>5.4599999999999982</v>
      </c>
      <c r="P6" s="136"/>
      <c r="Q6" s="131">
        <v>336.12</v>
      </c>
      <c r="R6" s="131">
        <v>321.91000000000003</v>
      </c>
      <c r="S6" s="18">
        <f t="shared" si="3"/>
        <v>4.7366666666666601</v>
      </c>
      <c r="T6" s="136"/>
      <c r="U6" s="131">
        <v>321.91000000000003</v>
      </c>
      <c r="V6" s="131">
        <v>298.72000000000003</v>
      </c>
      <c r="W6" s="18">
        <f t="shared" si="4"/>
        <v>5.7974999999999994</v>
      </c>
      <c r="X6" s="136"/>
      <c r="Y6" s="131">
        <v>298.72000000000003</v>
      </c>
      <c r="Z6" s="131">
        <v>279.20999999999998</v>
      </c>
      <c r="AA6" s="18">
        <f t="shared" si="5"/>
        <v>6.503333333333349</v>
      </c>
      <c r="AB6" s="136"/>
      <c r="AC6" s="131">
        <v>279.20999999999998</v>
      </c>
      <c r="AD6" s="131">
        <v>253</v>
      </c>
      <c r="AE6" s="18">
        <f t="shared" si="6"/>
        <v>6.5524999999999949</v>
      </c>
      <c r="AF6" s="136"/>
      <c r="AG6" s="131">
        <v>253</v>
      </c>
      <c r="AH6" s="131">
        <v>236.95</v>
      </c>
      <c r="AI6" s="18">
        <f t="shared" si="7"/>
        <v>5.3500000000000041</v>
      </c>
      <c r="AJ6" s="136"/>
      <c r="AK6" s="131">
        <v>324.74</v>
      </c>
      <c r="AL6" s="131">
        <v>292.39</v>
      </c>
      <c r="AM6" s="18">
        <f t="shared" si="8"/>
        <v>8.0875000000000057</v>
      </c>
      <c r="AN6" s="136"/>
      <c r="AO6" s="131">
        <v>292.39</v>
      </c>
      <c r="AP6" s="131">
        <v>277.52</v>
      </c>
      <c r="AQ6" s="18">
        <f t="shared" si="9"/>
        <v>4.9566666666666679</v>
      </c>
      <c r="AR6" s="136"/>
      <c r="AS6" s="131">
        <v>277.52</v>
      </c>
      <c r="AT6" s="131">
        <v>257.48</v>
      </c>
      <c r="AU6" s="131">
        <f t="shared" si="10"/>
        <v>5.0099999999999909</v>
      </c>
      <c r="AV6" s="136"/>
      <c r="AW6" s="131">
        <v>218.68</v>
      </c>
      <c r="AX6" s="131">
        <v>210.64</v>
      </c>
      <c r="AY6" s="131">
        <f t="shared" si="11"/>
        <v>4.0200000000000102</v>
      </c>
      <c r="AZ6" s="136"/>
      <c r="BA6" s="136"/>
      <c r="BB6" s="136"/>
      <c r="BC6" s="136"/>
      <c r="BD6" s="136"/>
      <c r="BE6" s="136"/>
      <c r="BF6" s="136"/>
      <c r="BG6" s="136"/>
      <c r="BH6" s="136"/>
      <c r="BI6" s="136"/>
    </row>
    <row r="7" spans="1:61" ht="16">
      <c r="A7" s="22">
        <v>4</v>
      </c>
      <c r="B7" s="22" t="s">
        <v>46</v>
      </c>
      <c r="C7" s="22" t="s">
        <v>47</v>
      </c>
      <c r="D7" s="22" t="s">
        <v>49</v>
      </c>
      <c r="E7" s="132">
        <v>332.05</v>
      </c>
      <c r="F7" s="132">
        <v>313.91000000000003</v>
      </c>
      <c r="G7" s="25">
        <f t="shared" si="0"/>
        <v>6.0466666666666624</v>
      </c>
      <c r="H7" s="141"/>
      <c r="I7" s="132">
        <v>313.91000000000003</v>
      </c>
      <c r="J7" s="132">
        <v>294.18</v>
      </c>
      <c r="K7" s="25">
        <f t="shared" si="1"/>
        <v>4.9325000000000045</v>
      </c>
      <c r="L7" s="142"/>
      <c r="M7" s="132">
        <v>371.55</v>
      </c>
      <c r="N7" s="132">
        <v>354.57</v>
      </c>
      <c r="O7" s="25">
        <f t="shared" si="2"/>
        <v>5.6600000000000064</v>
      </c>
      <c r="P7" s="142"/>
      <c r="Q7" s="132">
        <v>354.57</v>
      </c>
      <c r="R7" s="132">
        <v>344.08</v>
      </c>
      <c r="S7" s="25">
        <f t="shared" si="3"/>
        <v>3.4966666666666697</v>
      </c>
      <c r="T7" s="142"/>
      <c r="U7" s="132">
        <v>344.08</v>
      </c>
      <c r="V7" s="132">
        <v>324.83999999999997</v>
      </c>
      <c r="W7" s="25">
        <f t="shared" si="4"/>
        <v>4.8100000000000023</v>
      </c>
      <c r="X7" s="142"/>
      <c r="Y7" s="132">
        <v>324.83999999999997</v>
      </c>
      <c r="Z7" s="132">
        <v>310.57</v>
      </c>
      <c r="AA7" s="25">
        <f t="shared" si="5"/>
        <v>4.7566666666666606</v>
      </c>
      <c r="AB7" s="142"/>
      <c r="AC7" s="132">
        <v>310.57</v>
      </c>
      <c r="AD7" s="132">
        <v>294.11</v>
      </c>
      <c r="AE7" s="25">
        <f t="shared" si="6"/>
        <v>4.1149999999999949</v>
      </c>
      <c r="AF7" s="142"/>
      <c r="AG7" s="132">
        <v>294.11</v>
      </c>
      <c r="AH7" s="132">
        <v>281.10000000000002</v>
      </c>
      <c r="AI7" s="25">
        <f t="shared" si="7"/>
        <v>4.3366666666666633</v>
      </c>
      <c r="AJ7" s="142"/>
      <c r="AK7" s="132">
        <v>306.06</v>
      </c>
      <c r="AL7" s="132">
        <v>280.45</v>
      </c>
      <c r="AM7" s="25">
        <f t="shared" si="8"/>
        <v>6.4025000000000034</v>
      </c>
      <c r="AN7" s="142"/>
      <c r="AO7" s="132">
        <v>280.45</v>
      </c>
      <c r="AP7" s="132">
        <v>266.01</v>
      </c>
      <c r="AQ7" s="25">
        <f t="shared" si="9"/>
        <v>4.8133333333333326</v>
      </c>
      <c r="AR7" s="142"/>
      <c r="AS7" s="132">
        <v>266.01</v>
      </c>
      <c r="AT7" s="132">
        <v>249.17</v>
      </c>
      <c r="AU7" s="132">
        <f t="shared" si="10"/>
        <v>4.2100000000000009</v>
      </c>
      <c r="AV7" s="142"/>
      <c r="AW7" s="132">
        <v>301.95999999999998</v>
      </c>
      <c r="AX7" s="132">
        <v>292.39</v>
      </c>
      <c r="AY7" s="132">
        <f t="shared" si="11"/>
        <v>4.7849999999999966</v>
      </c>
      <c r="AZ7" s="142"/>
      <c r="BA7" s="142"/>
      <c r="BB7" s="142"/>
      <c r="BC7" s="142"/>
      <c r="BD7" s="142"/>
      <c r="BE7" s="142"/>
      <c r="BF7" s="142"/>
      <c r="BG7" s="142"/>
      <c r="BH7" s="142"/>
      <c r="BI7" s="142"/>
    </row>
    <row r="8" spans="1:61" ht="16">
      <c r="A8" s="15">
        <v>5</v>
      </c>
      <c r="B8" s="15" t="s">
        <v>46</v>
      </c>
      <c r="C8" s="15" t="s">
        <v>47</v>
      </c>
      <c r="D8" s="15" t="s">
        <v>48</v>
      </c>
      <c r="E8" s="131">
        <v>339.99</v>
      </c>
      <c r="F8" s="131">
        <v>323.95</v>
      </c>
      <c r="G8" s="18">
        <f t="shared" si="0"/>
        <v>5.3466666666666738</v>
      </c>
      <c r="H8" s="138"/>
      <c r="I8" s="131">
        <v>323.95</v>
      </c>
      <c r="J8" s="131">
        <v>304.87</v>
      </c>
      <c r="K8" s="18">
        <f t="shared" si="1"/>
        <v>4.769999999999996</v>
      </c>
      <c r="L8" s="136"/>
      <c r="M8" s="131">
        <v>285.97000000000003</v>
      </c>
      <c r="N8" s="131">
        <v>272.52999999999997</v>
      </c>
      <c r="O8" s="18">
        <f t="shared" si="2"/>
        <v>4.4800000000000182</v>
      </c>
      <c r="P8" s="136"/>
      <c r="Q8" s="131">
        <v>272.52999999999997</v>
      </c>
      <c r="R8" s="131">
        <v>259.36</v>
      </c>
      <c r="S8" s="18">
        <f t="shared" si="3"/>
        <v>4.3899999999999864</v>
      </c>
      <c r="T8" s="136"/>
      <c r="U8" s="131">
        <v>259.36</v>
      </c>
      <c r="V8" s="131">
        <v>240.81</v>
      </c>
      <c r="W8" s="18">
        <f t="shared" si="4"/>
        <v>4.6375000000000028</v>
      </c>
      <c r="X8" s="136"/>
      <c r="Y8" s="131">
        <v>240.81</v>
      </c>
      <c r="Z8" s="131">
        <v>227.94</v>
      </c>
      <c r="AA8" s="18">
        <f t="shared" si="5"/>
        <v>4.2900000000000018</v>
      </c>
      <c r="AB8" s="136"/>
      <c r="AC8" s="131">
        <v>227.94</v>
      </c>
      <c r="AD8" s="131">
        <v>212.06</v>
      </c>
      <c r="AE8" s="18">
        <f t="shared" si="6"/>
        <v>3.9699999999999989</v>
      </c>
      <c r="AF8" s="136"/>
      <c r="AG8" s="131">
        <v>212.06</v>
      </c>
      <c r="AH8" s="131">
        <v>201.62</v>
      </c>
      <c r="AI8" s="18">
        <f t="shared" si="7"/>
        <v>3.4799999999999991</v>
      </c>
      <c r="AJ8" s="136"/>
      <c r="AK8" s="131">
        <v>310.72000000000003</v>
      </c>
      <c r="AL8" s="131">
        <v>284.31</v>
      </c>
      <c r="AM8" s="18">
        <f t="shared" si="8"/>
        <v>6.6025000000000063</v>
      </c>
      <c r="AN8" s="136"/>
      <c r="AO8" s="131">
        <v>284.31</v>
      </c>
      <c r="AP8" s="131">
        <v>270.02</v>
      </c>
      <c r="AQ8" s="18">
        <f t="shared" si="9"/>
        <v>4.7633333333333399</v>
      </c>
      <c r="AR8" s="136"/>
      <c r="AS8" s="131">
        <v>270.02</v>
      </c>
      <c r="AT8" s="131">
        <v>252.5</v>
      </c>
      <c r="AU8" s="131">
        <f t="shared" si="10"/>
        <v>4.3799999999999955</v>
      </c>
      <c r="AV8" s="136"/>
      <c r="AW8" s="131">
        <v>234.91</v>
      </c>
      <c r="AX8" s="131">
        <v>228.74</v>
      </c>
      <c r="AY8" s="131">
        <f t="shared" si="11"/>
        <v>3.0849999999999937</v>
      </c>
      <c r="AZ8" s="136"/>
      <c r="BA8" s="136"/>
      <c r="BB8" s="136"/>
      <c r="BC8" s="136"/>
      <c r="BD8" s="136"/>
      <c r="BE8" s="136"/>
      <c r="BF8" s="136"/>
      <c r="BG8" s="136"/>
      <c r="BH8" s="136"/>
      <c r="BI8" s="136"/>
    </row>
    <row r="9" spans="1:61" ht="16">
      <c r="A9" s="22">
        <v>6</v>
      </c>
      <c r="B9" s="22" t="s">
        <v>46</v>
      </c>
      <c r="C9" s="22" t="s">
        <v>47</v>
      </c>
      <c r="D9" s="22" t="s">
        <v>49</v>
      </c>
      <c r="E9" s="132">
        <v>217.59</v>
      </c>
      <c r="F9" s="132">
        <v>200.34</v>
      </c>
      <c r="G9" s="132">
        <f t="shared" si="0"/>
        <v>5.75</v>
      </c>
      <c r="H9" s="141"/>
      <c r="I9" s="132">
        <v>200.34</v>
      </c>
      <c r="J9" s="132">
        <v>173.38</v>
      </c>
      <c r="K9" s="25">
        <f t="shared" si="1"/>
        <v>6.740000000000002</v>
      </c>
      <c r="L9" s="142"/>
      <c r="M9" s="132">
        <v>295.82</v>
      </c>
      <c r="N9" s="132">
        <v>269.35000000000002</v>
      </c>
      <c r="O9" s="25">
        <f t="shared" si="2"/>
        <v>8.8233333333333235</v>
      </c>
      <c r="P9" s="142"/>
      <c r="Q9" s="132">
        <v>269.35000000000002</v>
      </c>
      <c r="R9" s="132">
        <v>247.99</v>
      </c>
      <c r="S9" s="25">
        <f t="shared" si="3"/>
        <v>7.1200000000000045</v>
      </c>
      <c r="T9" s="142"/>
      <c r="U9" s="132">
        <v>247.99</v>
      </c>
      <c r="V9" s="132">
        <v>233.2</v>
      </c>
      <c r="W9" s="25">
        <f t="shared" si="4"/>
        <v>3.6975000000000051</v>
      </c>
      <c r="X9" s="142"/>
      <c r="Y9" s="132">
        <v>233.2</v>
      </c>
      <c r="Z9" s="132">
        <v>220.67</v>
      </c>
      <c r="AA9" s="25">
        <f t="shared" si="5"/>
        <v>4.1766666666666667</v>
      </c>
      <c r="AB9" s="142"/>
      <c r="AC9" s="132">
        <v>220.67</v>
      </c>
      <c r="AD9" s="132">
        <v>202.52</v>
      </c>
      <c r="AE9" s="25">
        <f t="shared" si="6"/>
        <v>4.5374999999999943</v>
      </c>
      <c r="AF9" s="142"/>
      <c r="AG9" s="132">
        <v>202.52</v>
      </c>
      <c r="AH9" s="132">
        <v>192.8</v>
      </c>
      <c r="AI9" s="25">
        <f t="shared" si="7"/>
        <v>3.2399999999999998</v>
      </c>
      <c r="AJ9" s="142"/>
      <c r="AK9" s="132">
        <v>349.26</v>
      </c>
      <c r="AL9" s="132">
        <v>281.58</v>
      </c>
      <c r="AM9" s="25">
        <f t="shared" si="8"/>
        <v>16.920000000000002</v>
      </c>
      <c r="AN9" s="142"/>
      <c r="AO9" s="132">
        <v>281.58</v>
      </c>
      <c r="AP9" s="132">
        <v>261.70999999999998</v>
      </c>
      <c r="AQ9" s="25">
        <f t="shared" si="9"/>
        <v>6.6233333333333348</v>
      </c>
      <c r="AR9" s="142"/>
      <c r="AS9" s="132">
        <v>261.70999999999998</v>
      </c>
      <c r="AT9" s="132">
        <v>247.43</v>
      </c>
      <c r="AU9" s="132">
        <f t="shared" si="10"/>
        <v>3.5699999999999932</v>
      </c>
      <c r="AV9" s="142"/>
      <c r="AW9" s="132">
        <v>253.61</v>
      </c>
      <c r="AX9" s="132">
        <v>247.67</v>
      </c>
      <c r="AY9" s="132">
        <f t="shared" si="11"/>
        <v>2.9700000000000131</v>
      </c>
      <c r="AZ9" s="142"/>
      <c r="BA9" s="142"/>
      <c r="BB9" s="142"/>
      <c r="BC9" s="142"/>
      <c r="BD9" s="142"/>
      <c r="BE9" s="142"/>
      <c r="BF9" s="142"/>
      <c r="BG9" s="142"/>
      <c r="BH9" s="142"/>
      <c r="BI9" s="142"/>
    </row>
    <row r="10" spans="1:61" ht="16">
      <c r="A10" s="15">
        <v>7</v>
      </c>
      <c r="B10" s="15" t="s">
        <v>46</v>
      </c>
      <c r="C10" s="15" t="s">
        <v>50</v>
      </c>
      <c r="D10" s="15" t="s">
        <v>48</v>
      </c>
      <c r="E10" s="131">
        <v>324.37</v>
      </c>
      <c r="F10" s="131">
        <v>305.22000000000003</v>
      </c>
      <c r="G10" s="18">
        <f t="shared" si="0"/>
        <v>6.3833333333333258</v>
      </c>
      <c r="H10" s="138"/>
      <c r="I10" s="131">
        <v>305.22000000000003</v>
      </c>
      <c r="J10" s="131">
        <v>249.25</v>
      </c>
      <c r="K10" s="18">
        <f t="shared" si="1"/>
        <v>13.992500000000007</v>
      </c>
      <c r="L10" s="136"/>
      <c r="M10" s="131">
        <v>283.63</v>
      </c>
      <c r="N10" s="131">
        <v>260.58999999999997</v>
      </c>
      <c r="O10" s="18">
        <f t="shared" si="2"/>
        <v>7.6800000000000068</v>
      </c>
      <c r="P10" s="136"/>
      <c r="Q10" s="131">
        <v>260.58999999999997</v>
      </c>
      <c r="R10" s="131">
        <v>240.21</v>
      </c>
      <c r="S10" s="18">
        <f t="shared" si="3"/>
        <v>6.7933333333333223</v>
      </c>
      <c r="T10" s="136"/>
      <c r="U10" s="131">
        <v>240.21</v>
      </c>
      <c r="V10" s="131">
        <v>208.99</v>
      </c>
      <c r="W10" s="18">
        <f t="shared" si="4"/>
        <v>7.8049999999999997</v>
      </c>
      <c r="X10" s="136"/>
      <c r="Y10" s="131">
        <v>208.99</v>
      </c>
      <c r="Z10" s="131">
        <v>187.44</v>
      </c>
      <c r="AA10" s="18">
        <f t="shared" si="5"/>
        <v>7.1833333333333371</v>
      </c>
      <c r="AB10" s="136"/>
      <c r="AC10" s="131">
        <v>187.44</v>
      </c>
      <c r="AD10" s="131">
        <v>161.33000000000001</v>
      </c>
      <c r="AE10" s="18">
        <f t="shared" si="6"/>
        <v>6.5274999999999963</v>
      </c>
      <c r="AF10" s="136"/>
      <c r="AG10" s="131">
        <v>161.33000000000001</v>
      </c>
      <c r="AH10" s="131">
        <v>139.05000000000001</v>
      </c>
      <c r="AI10" s="18">
        <f t="shared" si="7"/>
        <v>7.4266666666666667</v>
      </c>
      <c r="AJ10" s="136"/>
      <c r="AK10" s="131">
        <v>307.89999999999998</v>
      </c>
      <c r="AL10" s="131">
        <v>222.92</v>
      </c>
      <c r="AM10" s="18">
        <f t="shared" si="8"/>
        <v>21.244999999999997</v>
      </c>
      <c r="AN10" s="136"/>
      <c r="AO10" s="131">
        <v>222.92</v>
      </c>
      <c r="AP10" s="131">
        <v>184.04</v>
      </c>
      <c r="AQ10" s="18">
        <f t="shared" si="9"/>
        <v>12.959999999999999</v>
      </c>
      <c r="AR10" s="136"/>
      <c r="AS10" s="131">
        <v>184.04</v>
      </c>
      <c r="AT10" s="131">
        <v>154.41</v>
      </c>
      <c r="AU10" s="131">
        <f t="shared" si="10"/>
        <v>7.4074999999999989</v>
      </c>
      <c r="AV10" s="136"/>
      <c r="AW10" s="131">
        <v>246.61</v>
      </c>
      <c r="AX10" s="131">
        <v>227.63</v>
      </c>
      <c r="AY10" s="131">
        <f t="shared" si="11"/>
        <v>9.4900000000000091</v>
      </c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</row>
    <row r="11" spans="1:61" ht="16">
      <c r="A11" s="22">
        <v>8</v>
      </c>
      <c r="B11" s="22" t="s">
        <v>46</v>
      </c>
      <c r="C11" s="22" t="s">
        <v>50</v>
      </c>
      <c r="D11" s="22" t="s">
        <v>49</v>
      </c>
      <c r="E11" s="132">
        <v>284.83999999999997</v>
      </c>
      <c r="F11" s="132">
        <v>270.58</v>
      </c>
      <c r="G11" s="25">
        <f t="shared" si="0"/>
        <v>4.7533333333333303</v>
      </c>
      <c r="H11" s="141"/>
      <c r="I11" s="132">
        <v>270.58</v>
      </c>
      <c r="J11" s="132">
        <v>254.33</v>
      </c>
      <c r="K11" s="25">
        <f t="shared" si="1"/>
        <v>4.0624999999999929</v>
      </c>
      <c r="L11" s="142"/>
      <c r="M11" s="132">
        <v>335.15</v>
      </c>
      <c r="N11" s="132">
        <v>321.45</v>
      </c>
      <c r="O11" s="25">
        <f t="shared" si="2"/>
        <v>4.5666666666666629</v>
      </c>
      <c r="P11" s="142"/>
      <c r="Q11" s="132">
        <v>321.45</v>
      </c>
      <c r="R11" s="132">
        <v>311.56</v>
      </c>
      <c r="S11" s="25">
        <f t="shared" si="3"/>
        <v>3.296666666666662</v>
      </c>
      <c r="T11" s="142"/>
      <c r="U11" s="132">
        <v>311.56</v>
      </c>
      <c r="V11" s="132">
        <v>296.02999999999997</v>
      </c>
      <c r="W11" s="25">
        <f t="shared" si="4"/>
        <v>3.8825000000000074</v>
      </c>
      <c r="X11" s="142"/>
      <c r="Y11" s="132">
        <v>296.02999999999997</v>
      </c>
      <c r="Z11" s="132">
        <v>283.88</v>
      </c>
      <c r="AA11" s="25">
        <f t="shared" si="5"/>
        <v>4.0499999999999927</v>
      </c>
      <c r="AB11" s="142"/>
      <c r="AC11" s="132">
        <v>283.88</v>
      </c>
      <c r="AD11" s="132">
        <v>268.92</v>
      </c>
      <c r="AE11" s="25">
        <f t="shared" si="6"/>
        <v>3.7399999999999949</v>
      </c>
      <c r="AF11" s="142"/>
      <c r="AG11" s="132">
        <v>268.92</v>
      </c>
      <c r="AH11" s="132">
        <v>257.89999999999998</v>
      </c>
      <c r="AI11" s="25">
        <f t="shared" si="7"/>
        <v>3.6733333333333462</v>
      </c>
      <c r="AJ11" s="142"/>
      <c r="AK11" s="132">
        <v>310.55</v>
      </c>
      <c r="AL11" s="132">
        <v>288.83999999999997</v>
      </c>
      <c r="AM11" s="25">
        <f t="shared" si="8"/>
        <v>5.4275000000000091</v>
      </c>
      <c r="AN11" s="142"/>
      <c r="AO11" s="132">
        <v>288.83999999999997</v>
      </c>
      <c r="AP11" s="132">
        <v>275.77</v>
      </c>
      <c r="AQ11" s="25">
        <f t="shared" si="9"/>
        <v>4.3566666666666647</v>
      </c>
      <c r="AR11" s="142"/>
      <c r="AS11" s="132">
        <v>275.77</v>
      </c>
      <c r="AT11" s="132">
        <v>259.89999999999998</v>
      </c>
      <c r="AU11" s="132">
        <f t="shared" si="10"/>
        <v>3.9675000000000011</v>
      </c>
      <c r="AV11" s="142"/>
      <c r="AW11" s="132">
        <v>230.36</v>
      </c>
      <c r="AX11" s="132">
        <v>224.02</v>
      </c>
      <c r="AY11" s="132">
        <f t="shared" si="11"/>
        <v>3.1700000000000017</v>
      </c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</row>
    <row r="12" spans="1:61" ht="16">
      <c r="A12" s="15">
        <v>9</v>
      </c>
      <c r="B12" s="15" t="s">
        <v>46</v>
      </c>
      <c r="C12" s="15" t="s">
        <v>50</v>
      </c>
      <c r="D12" s="15" t="s">
        <v>48</v>
      </c>
      <c r="E12" s="131">
        <v>307.12</v>
      </c>
      <c r="F12" s="131">
        <v>288.85000000000002</v>
      </c>
      <c r="G12" s="131">
        <f t="shared" si="0"/>
        <v>6.0899999999999936</v>
      </c>
      <c r="H12" s="138"/>
      <c r="I12" s="131">
        <v>288.85000000000002</v>
      </c>
      <c r="J12" s="131">
        <v>264.57</v>
      </c>
      <c r="K12" s="18">
        <f t="shared" si="1"/>
        <v>6.0700000000000074</v>
      </c>
      <c r="L12" s="136"/>
      <c r="M12" s="131">
        <v>294.26</v>
      </c>
      <c r="N12" s="131">
        <v>275.56</v>
      </c>
      <c r="O12" s="18">
        <f t="shared" si="2"/>
        <v>6.2333333333333298</v>
      </c>
      <c r="P12" s="136"/>
      <c r="Q12" s="131">
        <v>275.56</v>
      </c>
      <c r="R12" s="131">
        <v>263.13</v>
      </c>
      <c r="S12" s="18">
        <f t="shared" si="3"/>
        <v>4.1433333333333353</v>
      </c>
      <c r="T12" s="136"/>
      <c r="U12" s="131">
        <v>263.13</v>
      </c>
      <c r="V12" s="131">
        <v>245.8</v>
      </c>
      <c r="W12" s="18">
        <f t="shared" si="4"/>
        <v>4.332499999999996</v>
      </c>
      <c r="X12" s="136"/>
      <c r="Y12" s="131">
        <v>245.8</v>
      </c>
      <c r="Z12" s="131">
        <v>233.08</v>
      </c>
      <c r="AA12" s="18">
        <f t="shared" si="5"/>
        <v>4.2399999999999993</v>
      </c>
      <c r="AB12" s="136"/>
      <c r="AC12" s="131">
        <v>233.08</v>
      </c>
      <c r="AD12" s="131">
        <v>217.48</v>
      </c>
      <c r="AE12" s="18">
        <f t="shared" si="6"/>
        <v>3.9000000000000057</v>
      </c>
      <c r="AF12" s="136"/>
      <c r="AG12" s="131">
        <v>217.48</v>
      </c>
      <c r="AH12" s="131">
        <v>207.04</v>
      </c>
      <c r="AI12" s="18">
        <f t="shared" si="7"/>
        <v>3.4799999999999991</v>
      </c>
      <c r="AJ12" s="136"/>
      <c r="AK12" s="131">
        <v>273.87</v>
      </c>
      <c r="AL12" s="131">
        <v>253.15</v>
      </c>
      <c r="AM12" s="18">
        <f t="shared" si="8"/>
        <v>5.18</v>
      </c>
      <c r="AN12" s="136"/>
      <c r="AO12" s="131">
        <v>253.15</v>
      </c>
      <c r="AP12" s="131">
        <v>237.63</v>
      </c>
      <c r="AQ12" s="18">
        <f t="shared" si="9"/>
        <v>5.1733333333333364</v>
      </c>
      <c r="AR12" s="136"/>
      <c r="AS12" s="131">
        <v>237.63</v>
      </c>
      <c r="AT12" s="131">
        <v>218.51</v>
      </c>
      <c r="AU12" s="131">
        <f t="shared" si="10"/>
        <v>4.7800000000000011</v>
      </c>
      <c r="AV12" s="136"/>
      <c r="AW12" s="131">
        <v>204.44</v>
      </c>
      <c r="AX12" s="131">
        <v>199.55</v>
      </c>
      <c r="AY12" s="131">
        <f t="shared" si="11"/>
        <v>2.4449999999999932</v>
      </c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</row>
    <row r="13" spans="1:61" ht="16">
      <c r="A13" s="22">
        <v>10</v>
      </c>
      <c r="B13" s="22" t="s">
        <v>46</v>
      </c>
      <c r="C13" s="22" t="s">
        <v>50</v>
      </c>
      <c r="D13" s="22" t="s">
        <v>49</v>
      </c>
      <c r="E13" s="132">
        <v>323.41000000000003</v>
      </c>
      <c r="F13" s="132">
        <v>302.89</v>
      </c>
      <c r="G13" s="132">
        <f t="shared" si="0"/>
        <v>6.8400000000000132</v>
      </c>
      <c r="H13" s="141"/>
      <c r="I13" s="132">
        <v>302.89</v>
      </c>
      <c r="J13" s="132">
        <v>274.93</v>
      </c>
      <c r="K13" s="25">
        <f t="shared" si="1"/>
        <v>6.9899999999999949</v>
      </c>
      <c r="L13" s="142"/>
      <c r="M13" s="132">
        <v>347</v>
      </c>
      <c r="N13" s="132">
        <v>330.82</v>
      </c>
      <c r="O13" s="25">
        <f t="shared" si="2"/>
        <v>5.3933333333333353</v>
      </c>
      <c r="P13" s="142"/>
      <c r="Q13" s="132">
        <v>330.82</v>
      </c>
      <c r="R13" s="132">
        <v>321.04000000000002</v>
      </c>
      <c r="S13" s="25">
        <f t="shared" si="3"/>
        <v>3.2599999999999909</v>
      </c>
      <c r="T13" s="142"/>
      <c r="U13" s="132">
        <v>321.04000000000002</v>
      </c>
      <c r="V13" s="132">
        <v>296.22000000000003</v>
      </c>
      <c r="W13" s="25">
        <f t="shared" si="4"/>
        <v>6.2049999999999983</v>
      </c>
      <c r="X13" s="142"/>
      <c r="Y13" s="132">
        <v>296.22000000000003</v>
      </c>
      <c r="Z13" s="132">
        <v>281.33</v>
      </c>
      <c r="AA13" s="25">
        <f t="shared" si="5"/>
        <v>4.963333333333348</v>
      </c>
      <c r="AB13" s="142"/>
      <c r="AC13" s="132">
        <v>281.33</v>
      </c>
      <c r="AD13" s="132">
        <v>264.98</v>
      </c>
      <c r="AE13" s="25">
        <f t="shared" si="6"/>
        <v>4.0874999999999915</v>
      </c>
      <c r="AF13" s="142"/>
      <c r="AG13" s="132">
        <v>264.98</v>
      </c>
      <c r="AH13" s="132">
        <v>251.08</v>
      </c>
      <c r="AI13" s="25">
        <f t="shared" si="7"/>
        <v>4.6333333333333355</v>
      </c>
      <c r="AJ13" s="142"/>
      <c r="AK13" s="132">
        <v>351.57</v>
      </c>
      <c r="AL13" s="132">
        <v>307.88</v>
      </c>
      <c r="AM13" s="25">
        <f t="shared" si="8"/>
        <v>10.922499999999999</v>
      </c>
      <c r="AN13" s="142"/>
      <c r="AO13" s="132">
        <v>307.88</v>
      </c>
      <c r="AP13" s="132">
        <v>289.43</v>
      </c>
      <c r="AQ13" s="25">
        <f t="shared" si="9"/>
        <v>6.1499999999999959</v>
      </c>
      <c r="AR13" s="142"/>
      <c r="AS13" s="132">
        <v>289.43</v>
      </c>
      <c r="AT13" s="132">
        <v>265.88</v>
      </c>
      <c r="AU13" s="132">
        <f t="shared" si="10"/>
        <v>5.8875000000000028</v>
      </c>
      <c r="AV13" s="142"/>
      <c r="AW13" s="132">
        <v>251.7</v>
      </c>
      <c r="AX13" s="132">
        <v>245.77</v>
      </c>
      <c r="AY13" s="132">
        <f t="shared" si="11"/>
        <v>2.9649999999999892</v>
      </c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</row>
    <row r="14" spans="1:61" ht="16">
      <c r="A14" s="15">
        <v>11</v>
      </c>
      <c r="B14" s="15" t="s">
        <v>46</v>
      </c>
      <c r="C14" s="15" t="s">
        <v>50</v>
      </c>
      <c r="D14" s="15" t="s">
        <v>48</v>
      </c>
      <c r="E14" s="131">
        <v>343.14</v>
      </c>
      <c r="F14" s="131">
        <v>314.18</v>
      </c>
      <c r="G14" s="18">
        <f t="shared" si="0"/>
        <v>9.6533333333333271</v>
      </c>
      <c r="H14" s="138"/>
      <c r="I14" s="131">
        <v>314.18</v>
      </c>
      <c r="J14" s="131">
        <v>277.81</v>
      </c>
      <c r="K14" s="18">
        <f t="shared" si="1"/>
        <v>9.0925000000000011</v>
      </c>
      <c r="L14" s="136"/>
      <c r="M14" s="131">
        <v>337.21</v>
      </c>
      <c r="N14" s="131">
        <v>307.2</v>
      </c>
      <c r="O14" s="18">
        <f t="shared" si="2"/>
        <v>10.00333333333333</v>
      </c>
      <c r="P14" s="136"/>
      <c r="Q14" s="131">
        <v>307.2</v>
      </c>
      <c r="R14" s="131">
        <v>281.39999999999998</v>
      </c>
      <c r="S14" s="18">
        <f t="shared" si="3"/>
        <v>8.6000000000000032</v>
      </c>
      <c r="T14" s="136"/>
      <c r="U14" s="131">
        <v>281.39999999999998</v>
      </c>
      <c r="V14" s="131">
        <v>243.24</v>
      </c>
      <c r="W14" s="18">
        <f t="shared" si="4"/>
        <v>9.539999999999992</v>
      </c>
      <c r="X14" s="136"/>
      <c r="Y14" s="131">
        <v>243.24</v>
      </c>
      <c r="Z14" s="131">
        <v>208.88</v>
      </c>
      <c r="AA14" s="18">
        <f t="shared" si="5"/>
        <v>11.453333333333338</v>
      </c>
      <c r="AB14" s="136"/>
      <c r="AC14" s="131">
        <v>208.88</v>
      </c>
      <c r="AD14" s="131">
        <v>183.16</v>
      </c>
      <c r="AE14" s="18">
        <f t="shared" si="6"/>
        <v>6.43</v>
      </c>
      <c r="AF14" s="136"/>
      <c r="AG14" s="131">
        <v>183.16</v>
      </c>
      <c r="AH14" s="131">
        <v>173.86</v>
      </c>
      <c r="AI14" s="18">
        <f t="shared" si="7"/>
        <v>3.0999999999999943</v>
      </c>
      <c r="AJ14" s="136"/>
      <c r="AK14" s="131">
        <v>167.86</v>
      </c>
      <c r="AL14" s="131">
        <v>154.41999999999999</v>
      </c>
      <c r="AM14" s="18">
        <f t="shared" si="8"/>
        <v>3.3600000000000065</v>
      </c>
      <c r="AN14" s="136"/>
      <c r="AO14" s="131">
        <v>154.41999999999999</v>
      </c>
      <c r="AP14" s="131">
        <v>144.01</v>
      </c>
      <c r="AQ14" s="18">
        <f t="shared" si="9"/>
        <v>3.4699999999999989</v>
      </c>
      <c r="AR14" s="136"/>
      <c r="AS14" s="131">
        <v>144.01</v>
      </c>
      <c r="AT14" s="131">
        <v>130.08000000000001</v>
      </c>
      <c r="AU14" s="131">
        <f t="shared" si="10"/>
        <v>3.4824999999999946</v>
      </c>
      <c r="AV14" s="136"/>
      <c r="AW14" s="131">
        <v>335.03</v>
      </c>
      <c r="AX14" s="131">
        <v>313.58</v>
      </c>
      <c r="AY14" s="131">
        <f t="shared" si="11"/>
        <v>10.724999999999994</v>
      </c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</row>
    <row r="15" spans="1:61" ht="16">
      <c r="A15" s="22">
        <v>12</v>
      </c>
      <c r="B15" s="22" t="s">
        <v>46</v>
      </c>
      <c r="C15" s="22" t="s">
        <v>50</v>
      </c>
      <c r="D15" s="22" t="s">
        <v>49</v>
      </c>
      <c r="E15" s="132">
        <v>316.08999999999997</v>
      </c>
      <c r="F15" s="132">
        <v>281.82</v>
      </c>
      <c r="G15" s="25">
        <f t="shared" si="0"/>
        <v>11.423333333333327</v>
      </c>
      <c r="H15" s="141"/>
      <c r="I15" s="132">
        <v>281.82</v>
      </c>
      <c r="J15" s="132">
        <v>253.6</v>
      </c>
      <c r="K15" s="25">
        <f t="shared" si="1"/>
        <v>7.0549999999999997</v>
      </c>
      <c r="L15" s="142"/>
      <c r="M15" s="132">
        <v>307.64999999999998</v>
      </c>
      <c r="N15" s="132">
        <v>292.14</v>
      </c>
      <c r="O15" s="25">
        <f t="shared" si="2"/>
        <v>5.1699999999999973</v>
      </c>
      <c r="P15" s="142"/>
      <c r="Q15" s="132">
        <v>292.14</v>
      </c>
      <c r="R15" s="132">
        <v>277.51</v>
      </c>
      <c r="S15" s="25">
        <f t="shared" si="3"/>
        <v>4.8766666666666652</v>
      </c>
      <c r="T15" s="142"/>
      <c r="U15" s="132">
        <v>277.51</v>
      </c>
      <c r="V15" s="132">
        <v>259.32</v>
      </c>
      <c r="W15" s="25">
        <f t="shared" si="4"/>
        <v>4.5474999999999994</v>
      </c>
      <c r="X15" s="142"/>
      <c r="Y15" s="132">
        <v>259.32</v>
      </c>
      <c r="Z15" s="132">
        <v>247.6</v>
      </c>
      <c r="AA15" s="25">
        <f t="shared" si="5"/>
        <v>3.9066666666666663</v>
      </c>
      <c r="AB15" s="142"/>
      <c r="AC15" s="132">
        <v>247.6</v>
      </c>
      <c r="AD15" s="132">
        <v>229.66</v>
      </c>
      <c r="AE15" s="25">
        <f t="shared" si="6"/>
        <v>4.4849999999999994</v>
      </c>
      <c r="AF15" s="142"/>
      <c r="AG15" s="132">
        <v>229.66</v>
      </c>
      <c r="AH15" s="132">
        <v>215.92</v>
      </c>
      <c r="AI15" s="25">
        <f t="shared" si="7"/>
        <v>4.5800000000000027</v>
      </c>
      <c r="AJ15" s="142"/>
      <c r="AK15" s="132">
        <v>325.19</v>
      </c>
      <c r="AL15" s="132">
        <v>280.89999999999998</v>
      </c>
      <c r="AM15" s="25">
        <f t="shared" si="8"/>
        <v>11.072500000000005</v>
      </c>
      <c r="AN15" s="142"/>
      <c r="AO15" s="132">
        <v>280.89999999999998</v>
      </c>
      <c r="AP15" s="132">
        <v>260.77</v>
      </c>
      <c r="AQ15" s="25">
        <f t="shared" si="9"/>
        <v>6.7099999999999982</v>
      </c>
      <c r="AR15" s="142"/>
      <c r="AS15" s="132">
        <v>260.77</v>
      </c>
      <c r="AT15" s="132">
        <v>238.64</v>
      </c>
      <c r="AU15" s="132">
        <f t="shared" si="10"/>
        <v>5.5324999999999989</v>
      </c>
      <c r="AV15" s="142"/>
      <c r="AW15" s="132">
        <v>222.79</v>
      </c>
      <c r="AX15" s="132">
        <v>216.36</v>
      </c>
      <c r="AY15" s="132">
        <f t="shared" si="11"/>
        <v>3.2149999999999892</v>
      </c>
      <c r="AZ15" s="142"/>
      <c r="BA15" s="142"/>
      <c r="BB15" s="142"/>
      <c r="BC15" s="142"/>
      <c r="BD15" s="142"/>
      <c r="BE15" s="142"/>
      <c r="BF15" s="142"/>
      <c r="BG15" s="142"/>
      <c r="BH15" s="142"/>
      <c r="BI15" s="142"/>
    </row>
    <row r="16" spans="1:61" ht="16">
      <c r="A16" s="15">
        <v>13</v>
      </c>
      <c r="B16" s="15" t="s">
        <v>51</v>
      </c>
      <c r="C16" s="15" t="s">
        <v>47</v>
      </c>
      <c r="D16" s="15" t="s">
        <v>48</v>
      </c>
      <c r="E16" s="131">
        <v>320.14999999999998</v>
      </c>
      <c r="F16" s="131">
        <v>300.29000000000002</v>
      </c>
      <c r="G16" s="131">
        <f t="shared" si="0"/>
        <v>6.6199999999999859</v>
      </c>
      <c r="H16" s="138"/>
      <c r="I16" s="131">
        <v>300.29000000000002</v>
      </c>
      <c r="J16" s="131">
        <v>273.31</v>
      </c>
      <c r="K16" s="18">
        <f t="shared" si="1"/>
        <v>6.7450000000000045</v>
      </c>
      <c r="L16" s="136"/>
      <c r="M16" s="131">
        <v>272.58999999999997</v>
      </c>
      <c r="N16" s="131">
        <v>252.69</v>
      </c>
      <c r="O16" s="18">
        <f t="shared" si="2"/>
        <v>6.6333333333333258</v>
      </c>
      <c r="P16" s="136"/>
      <c r="Q16" s="131">
        <v>252.69</v>
      </c>
      <c r="R16" s="131">
        <v>231.62</v>
      </c>
      <c r="S16" s="18">
        <f t="shared" si="3"/>
        <v>7.0233333333333308</v>
      </c>
      <c r="T16" s="136"/>
      <c r="U16" s="131">
        <v>231.62</v>
      </c>
      <c r="V16" s="131">
        <v>205.19</v>
      </c>
      <c r="W16" s="18">
        <f t="shared" si="4"/>
        <v>6.6075000000000017</v>
      </c>
      <c r="X16" s="136"/>
      <c r="Y16" s="131">
        <v>205.19</v>
      </c>
      <c r="Z16" s="131">
        <v>185.35</v>
      </c>
      <c r="AA16" s="18">
        <f t="shared" si="5"/>
        <v>6.6133333333333342</v>
      </c>
      <c r="AB16" s="136"/>
      <c r="AC16" s="131">
        <v>185.35</v>
      </c>
      <c r="AD16" s="131">
        <v>159.13</v>
      </c>
      <c r="AE16" s="18">
        <f t="shared" si="6"/>
        <v>6.5549999999999997</v>
      </c>
      <c r="AF16" s="136"/>
      <c r="AG16" s="131">
        <v>159.13</v>
      </c>
      <c r="AH16" s="131">
        <v>136.13999999999999</v>
      </c>
      <c r="AI16" s="18">
        <f t="shared" si="7"/>
        <v>7.6633333333333367</v>
      </c>
      <c r="AJ16" s="136"/>
      <c r="AK16" s="131">
        <v>282.88</v>
      </c>
      <c r="AL16" s="131">
        <v>248.41</v>
      </c>
      <c r="AM16" s="18">
        <f t="shared" si="8"/>
        <v>8.6174999999999997</v>
      </c>
      <c r="AN16" s="136"/>
      <c r="AO16" s="131">
        <v>248.41</v>
      </c>
      <c r="AP16" s="131">
        <v>225.26</v>
      </c>
      <c r="AQ16" s="18">
        <f t="shared" si="9"/>
        <v>7.7166666666666686</v>
      </c>
      <c r="AR16" s="136"/>
      <c r="AS16" s="131">
        <v>225.26</v>
      </c>
      <c r="AT16" s="131">
        <v>189.08</v>
      </c>
      <c r="AU16" s="131">
        <f t="shared" si="10"/>
        <v>9.0449999999999946</v>
      </c>
      <c r="AV16" s="136"/>
      <c r="AW16" s="131">
        <v>304.61</v>
      </c>
      <c r="AX16" s="131">
        <v>289.35000000000002</v>
      </c>
      <c r="AY16" s="131">
        <f t="shared" si="11"/>
        <v>7.6299999999999955</v>
      </c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</row>
    <row r="17" spans="1:61" ht="16">
      <c r="A17" s="22">
        <v>14</v>
      </c>
      <c r="B17" s="22" t="s">
        <v>51</v>
      </c>
      <c r="C17" s="22" t="s">
        <v>47</v>
      </c>
      <c r="D17" s="22" t="s">
        <v>49</v>
      </c>
      <c r="E17" s="132">
        <v>349.32</v>
      </c>
      <c r="F17" s="132">
        <v>329.66</v>
      </c>
      <c r="G17" s="25">
        <f t="shared" si="0"/>
        <v>6.553333333333323</v>
      </c>
      <c r="H17" s="141"/>
      <c r="I17" s="132">
        <v>329.66</v>
      </c>
      <c r="J17" s="132">
        <v>302.04000000000002</v>
      </c>
      <c r="K17" s="25">
        <f t="shared" si="1"/>
        <v>6.9050000000000011</v>
      </c>
      <c r="L17" s="142"/>
      <c r="M17" s="132">
        <v>293.14</v>
      </c>
      <c r="N17" s="132">
        <v>271.23</v>
      </c>
      <c r="O17" s="25">
        <f t="shared" si="2"/>
        <v>7.303333333333323</v>
      </c>
      <c r="P17" s="142"/>
      <c r="Q17" s="132">
        <v>271.23</v>
      </c>
      <c r="R17" s="132">
        <v>257.02999999999997</v>
      </c>
      <c r="S17" s="25">
        <f t="shared" si="3"/>
        <v>4.7333333333333485</v>
      </c>
      <c r="T17" s="142"/>
      <c r="U17" s="132">
        <v>257.02999999999997</v>
      </c>
      <c r="V17" s="132">
        <v>235.13</v>
      </c>
      <c r="W17" s="25">
        <f t="shared" si="4"/>
        <v>5.4749999999999943</v>
      </c>
      <c r="X17" s="142"/>
      <c r="Y17" s="132">
        <v>235.13</v>
      </c>
      <c r="Z17" s="132">
        <v>221.33</v>
      </c>
      <c r="AA17" s="25">
        <f t="shared" si="5"/>
        <v>4.5999999999999943</v>
      </c>
      <c r="AB17" s="142"/>
      <c r="AC17" s="132">
        <v>221.33</v>
      </c>
      <c r="AD17" s="132">
        <v>200.25</v>
      </c>
      <c r="AE17" s="25">
        <f t="shared" si="6"/>
        <v>5.2700000000000031</v>
      </c>
      <c r="AF17" s="142"/>
      <c r="AG17" s="132">
        <v>200.25</v>
      </c>
      <c r="AH17" s="132">
        <v>180.17</v>
      </c>
      <c r="AI17" s="25">
        <f t="shared" si="7"/>
        <v>6.6933333333333378</v>
      </c>
      <c r="AJ17" s="142"/>
      <c r="AK17" s="132">
        <v>325.36</v>
      </c>
      <c r="AL17" s="132">
        <v>296.25</v>
      </c>
      <c r="AM17" s="25">
        <f t="shared" si="8"/>
        <v>7.2775000000000034</v>
      </c>
      <c r="AN17" s="142"/>
      <c r="AO17" s="132">
        <v>296.25</v>
      </c>
      <c r="AP17" s="132">
        <v>267.60000000000002</v>
      </c>
      <c r="AQ17" s="25">
        <f t="shared" si="9"/>
        <v>9.5499999999999918</v>
      </c>
      <c r="AR17" s="142"/>
      <c r="AS17" s="132">
        <v>267.60000000000002</v>
      </c>
      <c r="AT17" s="132">
        <v>234.73</v>
      </c>
      <c r="AU17" s="132">
        <f t="shared" si="10"/>
        <v>8.2175000000000082</v>
      </c>
      <c r="AV17" s="142"/>
      <c r="AW17" s="132">
        <v>300.73</v>
      </c>
      <c r="AX17" s="132">
        <v>287.95</v>
      </c>
      <c r="AY17" s="132">
        <f t="shared" si="11"/>
        <v>6.3900000000000148</v>
      </c>
      <c r="AZ17" s="142"/>
      <c r="BA17" s="142"/>
      <c r="BB17" s="142"/>
      <c r="BC17" s="142"/>
      <c r="BD17" s="142"/>
      <c r="BE17" s="142"/>
      <c r="BF17" s="142"/>
      <c r="BG17" s="142"/>
      <c r="BH17" s="142"/>
      <c r="BI17" s="142"/>
    </row>
    <row r="18" spans="1:61" ht="16">
      <c r="A18" s="15">
        <v>15</v>
      </c>
      <c r="B18" s="15" t="s">
        <v>51</v>
      </c>
      <c r="C18" s="15" t="s">
        <v>47</v>
      </c>
      <c r="D18" s="15" t="s">
        <v>48</v>
      </c>
      <c r="E18" s="131">
        <v>305.08</v>
      </c>
      <c r="F18" s="131">
        <v>283.58999999999997</v>
      </c>
      <c r="G18" s="18">
        <f t="shared" si="0"/>
        <v>7.1633333333333367</v>
      </c>
      <c r="H18" s="138"/>
      <c r="I18" s="131">
        <v>283.58999999999997</v>
      </c>
      <c r="J18" s="131">
        <v>250.27</v>
      </c>
      <c r="K18" s="18">
        <f t="shared" si="1"/>
        <v>8.3299999999999912</v>
      </c>
      <c r="L18" s="136"/>
      <c r="M18" s="131">
        <v>306.05</v>
      </c>
      <c r="N18" s="131">
        <v>278.47000000000003</v>
      </c>
      <c r="O18" s="18">
        <f t="shared" si="2"/>
        <v>9.193333333333328</v>
      </c>
      <c r="P18" s="136"/>
      <c r="Q18" s="131">
        <v>278.47000000000003</v>
      </c>
      <c r="R18" s="131">
        <v>248.23</v>
      </c>
      <c r="S18" s="18">
        <f t="shared" si="3"/>
        <v>10.080000000000013</v>
      </c>
      <c r="T18" s="136"/>
      <c r="U18" s="131">
        <v>248.23</v>
      </c>
      <c r="V18" s="131">
        <v>207.02</v>
      </c>
      <c r="W18" s="18">
        <f t="shared" si="4"/>
        <v>10.302499999999995</v>
      </c>
      <c r="X18" s="136"/>
      <c r="Y18" s="131">
        <v>207.02</v>
      </c>
      <c r="Z18" s="131">
        <v>181.2</v>
      </c>
      <c r="AA18" s="18">
        <f t="shared" si="5"/>
        <v>8.6066666666666745</v>
      </c>
      <c r="AB18" s="136"/>
      <c r="AC18" s="131">
        <v>181.2</v>
      </c>
      <c r="AD18" s="131">
        <v>137.41999999999999</v>
      </c>
      <c r="AE18" s="18">
        <f t="shared" si="6"/>
        <v>10.945</v>
      </c>
      <c r="AF18" s="136"/>
      <c r="AG18" s="131">
        <v>137.41999999999999</v>
      </c>
      <c r="AH18" s="131">
        <v>101.63</v>
      </c>
      <c r="AI18" s="18">
        <f t="shared" si="7"/>
        <v>11.929999999999998</v>
      </c>
      <c r="AJ18" s="136"/>
      <c r="AK18" s="131">
        <v>320.73</v>
      </c>
      <c r="AL18" s="131">
        <v>248.5</v>
      </c>
      <c r="AM18" s="18">
        <f t="shared" si="8"/>
        <v>18.057500000000005</v>
      </c>
      <c r="AN18" s="136"/>
      <c r="AO18" s="131">
        <v>248.5</v>
      </c>
      <c r="AP18" s="131">
        <v>187.42</v>
      </c>
      <c r="AQ18" s="18">
        <f t="shared" si="9"/>
        <v>20.360000000000003</v>
      </c>
      <c r="AR18" s="136"/>
      <c r="AS18" s="131">
        <v>187.42</v>
      </c>
      <c r="AT18" s="131">
        <v>117.6</v>
      </c>
      <c r="AU18" s="131">
        <f t="shared" si="10"/>
        <v>17.454999999999998</v>
      </c>
      <c r="AV18" s="136"/>
      <c r="AW18" s="131">
        <v>331.33</v>
      </c>
      <c r="AX18" s="131">
        <v>305.08</v>
      </c>
      <c r="AY18" s="131">
        <f t="shared" si="11"/>
        <v>13.125</v>
      </c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</row>
    <row r="19" spans="1:61" ht="16">
      <c r="A19" s="22">
        <v>16</v>
      </c>
      <c r="B19" s="22" t="s">
        <v>51</v>
      </c>
      <c r="C19" s="22" t="s">
        <v>47</v>
      </c>
      <c r="D19" s="22" t="s">
        <v>49</v>
      </c>
      <c r="E19" s="132">
        <v>330.62</v>
      </c>
      <c r="F19" s="132">
        <v>315.61</v>
      </c>
      <c r="G19" s="25">
        <f t="shared" si="0"/>
        <v>5.0033333333333303</v>
      </c>
      <c r="H19" s="141"/>
      <c r="I19" s="132">
        <v>315.61</v>
      </c>
      <c r="J19" s="132">
        <v>292.86</v>
      </c>
      <c r="K19" s="25">
        <f t="shared" si="1"/>
        <v>5.6875</v>
      </c>
      <c r="L19" s="142"/>
      <c r="M19" s="132">
        <v>324.57</v>
      </c>
      <c r="N19" s="132">
        <v>307.58</v>
      </c>
      <c r="O19" s="25">
        <f t="shared" si="2"/>
        <v>5.6633333333333367</v>
      </c>
      <c r="P19" s="142"/>
      <c r="Q19" s="132">
        <v>307.58</v>
      </c>
      <c r="R19" s="132">
        <v>294</v>
      </c>
      <c r="S19" s="25">
        <f t="shared" si="3"/>
        <v>4.5266666666666611</v>
      </c>
      <c r="T19" s="142"/>
      <c r="U19" s="132">
        <v>294</v>
      </c>
      <c r="V19" s="132">
        <v>273.52999999999997</v>
      </c>
      <c r="W19" s="25">
        <f t="shared" si="4"/>
        <v>5.1175000000000068</v>
      </c>
      <c r="X19" s="142"/>
      <c r="Y19" s="132">
        <v>273.52999999999997</v>
      </c>
      <c r="Z19" s="132">
        <v>258.32</v>
      </c>
      <c r="AA19" s="25">
        <f t="shared" si="5"/>
        <v>5.0699999999999932</v>
      </c>
      <c r="AB19" s="142"/>
      <c r="AC19" s="132">
        <v>258.32</v>
      </c>
      <c r="AD19" s="132">
        <v>239.02</v>
      </c>
      <c r="AE19" s="25">
        <f t="shared" si="6"/>
        <v>4.8249999999999957</v>
      </c>
      <c r="AF19" s="142"/>
      <c r="AG19" s="132">
        <v>239.02</v>
      </c>
      <c r="AH19" s="132">
        <v>222.7</v>
      </c>
      <c r="AI19" s="25">
        <f t="shared" si="7"/>
        <v>5.4400000000000075</v>
      </c>
      <c r="AJ19" s="142"/>
      <c r="AK19" s="132">
        <v>331.53</v>
      </c>
      <c r="AL19" s="132">
        <v>306.7</v>
      </c>
      <c r="AM19" s="25">
        <f t="shared" si="8"/>
        <v>6.207499999999996</v>
      </c>
      <c r="AN19" s="142"/>
      <c r="AO19" s="132">
        <v>306.7</v>
      </c>
      <c r="AP19" s="132">
        <v>289.58</v>
      </c>
      <c r="AQ19" s="25">
        <f t="shared" si="9"/>
        <v>5.7066666666666679</v>
      </c>
      <c r="AR19" s="142"/>
      <c r="AS19" s="132">
        <v>289.58</v>
      </c>
      <c r="AT19" s="132">
        <v>265.95</v>
      </c>
      <c r="AU19" s="132">
        <f t="shared" si="10"/>
        <v>5.9074999999999989</v>
      </c>
      <c r="AV19" s="142"/>
      <c r="AW19" s="132">
        <v>314.93</v>
      </c>
      <c r="AX19" s="132">
        <v>302.24</v>
      </c>
      <c r="AY19" s="132">
        <f t="shared" si="11"/>
        <v>6.3449999999999989</v>
      </c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</row>
    <row r="20" spans="1:61" ht="16">
      <c r="A20" s="15">
        <v>17</v>
      </c>
      <c r="B20" s="15" t="s">
        <v>51</v>
      </c>
      <c r="C20" s="15" t="s">
        <v>47</v>
      </c>
      <c r="D20" s="15" t="s">
        <v>48</v>
      </c>
      <c r="E20" s="131">
        <v>295.45</v>
      </c>
      <c r="F20" s="131">
        <v>274.20999999999998</v>
      </c>
      <c r="G20" s="131">
        <f t="shared" si="0"/>
        <v>7.0800000000000027</v>
      </c>
      <c r="H20" s="138"/>
      <c r="I20" s="131">
        <v>274.20999999999998</v>
      </c>
      <c r="J20" s="131">
        <v>243.87</v>
      </c>
      <c r="K20" s="18">
        <f t="shared" si="1"/>
        <v>7.5849999999999937</v>
      </c>
      <c r="L20" s="136"/>
      <c r="M20" s="131">
        <v>261.89</v>
      </c>
      <c r="N20" s="131">
        <v>244.33</v>
      </c>
      <c r="O20" s="18">
        <f t="shared" si="2"/>
        <v>5.8533333333333246</v>
      </c>
      <c r="P20" s="136"/>
      <c r="Q20" s="131">
        <v>244.33</v>
      </c>
      <c r="R20" s="131">
        <v>226.21</v>
      </c>
      <c r="S20" s="18">
        <f t="shared" si="3"/>
        <v>6.0400000000000018</v>
      </c>
      <c r="T20" s="136"/>
      <c r="U20" s="131">
        <v>226.21</v>
      </c>
      <c r="V20" s="131">
        <v>200.05</v>
      </c>
      <c r="W20" s="18">
        <f t="shared" si="4"/>
        <v>6.5399999999999991</v>
      </c>
      <c r="X20" s="136"/>
      <c r="Y20" s="131">
        <v>200.05</v>
      </c>
      <c r="Z20" s="131">
        <v>175.84</v>
      </c>
      <c r="AA20" s="18">
        <f t="shared" si="5"/>
        <v>8.0700000000000021</v>
      </c>
      <c r="AB20" s="136"/>
      <c r="AC20" s="131">
        <v>175.84</v>
      </c>
      <c r="AD20" s="131">
        <v>142.25</v>
      </c>
      <c r="AE20" s="18">
        <f t="shared" si="6"/>
        <v>8.3975000000000009</v>
      </c>
      <c r="AF20" s="136"/>
      <c r="AG20" s="131">
        <v>142.25</v>
      </c>
      <c r="AH20" s="131">
        <v>117.06</v>
      </c>
      <c r="AI20" s="18">
        <f t="shared" si="7"/>
        <v>8.3966666666666665</v>
      </c>
      <c r="AJ20" s="136"/>
      <c r="AK20" s="131">
        <v>344.43</v>
      </c>
      <c r="AL20" s="131">
        <v>301.63</v>
      </c>
      <c r="AM20" s="18">
        <f t="shared" si="8"/>
        <v>10.700000000000003</v>
      </c>
      <c r="AN20" s="136"/>
      <c r="AO20" s="131">
        <v>301.63</v>
      </c>
      <c r="AP20" s="131">
        <v>267.98</v>
      </c>
      <c r="AQ20" s="18">
        <f t="shared" si="9"/>
        <v>11.21666666666666</v>
      </c>
      <c r="AR20" s="136"/>
      <c r="AS20" s="131">
        <v>267.98</v>
      </c>
      <c r="AT20" s="131">
        <v>219.18</v>
      </c>
      <c r="AU20" s="131">
        <f t="shared" si="10"/>
        <v>12.200000000000003</v>
      </c>
      <c r="AV20" s="136"/>
      <c r="AW20" s="131">
        <v>310.67</v>
      </c>
      <c r="AX20" s="131">
        <v>282.61</v>
      </c>
      <c r="AY20" s="131">
        <f t="shared" si="11"/>
        <v>14.030000000000001</v>
      </c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</row>
    <row r="21" spans="1:61" ht="16">
      <c r="A21" s="22">
        <v>18</v>
      </c>
      <c r="B21" s="22" t="s">
        <v>51</v>
      </c>
      <c r="C21" s="22" t="s">
        <v>47</v>
      </c>
      <c r="D21" s="22" t="s">
        <v>49</v>
      </c>
      <c r="E21" s="132">
        <v>306.83</v>
      </c>
      <c r="F21" s="132">
        <v>287.16000000000003</v>
      </c>
      <c r="G21" s="25">
        <f t="shared" si="0"/>
        <v>6.5566666666666533</v>
      </c>
      <c r="H21" s="141"/>
      <c r="I21" s="132">
        <v>287.16000000000003</v>
      </c>
      <c r="J21" s="132">
        <v>259.8</v>
      </c>
      <c r="K21" s="25">
        <f t="shared" si="1"/>
        <v>6.8400000000000034</v>
      </c>
      <c r="L21" s="142"/>
      <c r="M21" s="132">
        <v>410.06</v>
      </c>
      <c r="N21" s="132">
        <v>390.45</v>
      </c>
      <c r="O21" s="25">
        <f t="shared" si="2"/>
        <v>6.5366666666666715</v>
      </c>
      <c r="P21" s="142"/>
      <c r="Q21" s="132">
        <v>390.45</v>
      </c>
      <c r="R21" s="132">
        <v>373.94</v>
      </c>
      <c r="S21" s="25">
        <f t="shared" si="3"/>
        <v>5.5033333333333303</v>
      </c>
      <c r="T21" s="142"/>
      <c r="U21" s="132">
        <v>373.94</v>
      </c>
      <c r="V21" s="132">
        <v>367.97</v>
      </c>
      <c r="W21" s="25">
        <f t="shared" si="4"/>
        <v>1.4924999999999926</v>
      </c>
      <c r="X21" s="142"/>
      <c r="Y21" s="132">
        <v>367.97</v>
      </c>
      <c r="Z21" s="132">
        <v>352.08</v>
      </c>
      <c r="AA21" s="25">
        <f t="shared" si="5"/>
        <v>5.2966666666666811</v>
      </c>
      <c r="AB21" s="142"/>
      <c r="AC21" s="132">
        <v>352.08</v>
      </c>
      <c r="AD21" s="132">
        <v>323.01</v>
      </c>
      <c r="AE21" s="25">
        <f t="shared" si="6"/>
        <v>7.2674999999999983</v>
      </c>
      <c r="AF21" s="142"/>
      <c r="AG21" s="132">
        <v>323.01</v>
      </c>
      <c r="AH21" s="132">
        <v>294.04000000000002</v>
      </c>
      <c r="AI21" s="25">
        <f t="shared" si="7"/>
        <v>9.6566666666666574</v>
      </c>
      <c r="AJ21" s="142"/>
      <c r="AK21" s="132">
        <v>324.87</v>
      </c>
      <c r="AL21" s="132">
        <v>288.22000000000003</v>
      </c>
      <c r="AM21" s="25">
        <f t="shared" si="8"/>
        <v>9.1624999999999943</v>
      </c>
      <c r="AN21" s="142"/>
      <c r="AO21" s="132">
        <v>288.22000000000003</v>
      </c>
      <c r="AP21" s="132">
        <v>258.85000000000002</v>
      </c>
      <c r="AQ21" s="25">
        <f t="shared" si="9"/>
        <v>9.7900000000000009</v>
      </c>
      <c r="AR21" s="142"/>
      <c r="AS21" s="132">
        <v>258.85000000000002</v>
      </c>
      <c r="AT21" s="132">
        <v>217.65</v>
      </c>
      <c r="AU21" s="132">
        <f t="shared" si="10"/>
        <v>10.300000000000004</v>
      </c>
      <c r="AV21" s="142"/>
      <c r="AW21" s="132">
        <v>339.45</v>
      </c>
      <c r="AX21" s="132">
        <v>320.02999999999997</v>
      </c>
      <c r="AY21" s="132">
        <f t="shared" si="11"/>
        <v>9.710000000000008</v>
      </c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</row>
    <row r="22" spans="1:61" ht="16">
      <c r="A22" s="15">
        <v>19</v>
      </c>
      <c r="B22" s="15" t="s">
        <v>51</v>
      </c>
      <c r="C22" s="15" t="s">
        <v>50</v>
      </c>
      <c r="D22" s="15" t="s">
        <v>48</v>
      </c>
      <c r="E22" s="131">
        <v>341.76</v>
      </c>
      <c r="F22" s="131">
        <v>329.03</v>
      </c>
      <c r="G22" s="18">
        <f t="shared" si="0"/>
        <v>4.2433333333333394</v>
      </c>
      <c r="H22" s="138"/>
      <c r="I22" s="131">
        <v>329.03</v>
      </c>
      <c r="J22" s="131">
        <v>308.83</v>
      </c>
      <c r="K22" s="18">
        <f t="shared" si="1"/>
        <v>5.0499999999999972</v>
      </c>
      <c r="L22" s="136"/>
      <c r="M22" s="131">
        <v>260.26</v>
      </c>
      <c r="N22" s="131">
        <v>245.05</v>
      </c>
      <c r="O22" s="18">
        <f t="shared" si="2"/>
        <v>5.0699999999999932</v>
      </c>
      <c r="P22" s="136"/>
      <c r="Q22" s="131">
        <v>245.05</v>
      </c>
      <c r="R22" s="131">
        <v>231.8</v>
      </c>
      <c r="S22" s="18">
        <f t="shared" si="3"/>
        <v>4.416666666666667</v>
      </c>
      <c r="T22" s="136"/>
      <c r="U22" s="131">
        <v>231.8</v>
      </c>
      <c r="V22" s="131">
        <v>210.7</v>
      </c>
      <c r="W22" s="18">
        <f t="shared" si="4"/>
        <v>5.2750000000000057</v>
      </c>
      <c r="X22" s="136"/>
      <c r="Y22" s="131">
        <v>210.7</v>
      </c>
      <c r="Z22" s="131">
        <v>195.76</v>
      </c>
      <c r="AA22" s="18">
        <f t="shared" si="5"/>
        <v>4.9799999999999995</v>
      </c>
      <c r="AB22" s="136"/>
      <c r="AC22" s="131">
        <v>195.76</v>
      </c>
      <c r="AD22" s="131">
        <v>175.97</v>
      </c>
      <c r="AE22" s="18">
        <f t="shared" si="6"/>
        <v>4.947499999999998</v>
      </c>
      <c r="AF22" s="136"/>
      <c r="AG22" s="131">
        <v>175.97</v>
      </c>
      <c r="AH22" s="131">
        <v>162.34</v>
      </c>
      <c r="AI22" s="18">
        <f t="shared" si="7"/>
        <v>4.5433333333333321</v>
      </c>
      <c r="AJ22" s="136"/>
      <c r="AK22" s="131">
        <v>350.84</v>
      </c>
      <c r="AL22" s="131">
        <v>325.66000000000003</v>
      </c>
      <c r="AM22" s="18">
        <f t="shared" si="8"/>
        <v>6.2949999999999875</v>
      </c>
      <c r="AN22" s="136"/>
      <c r="AO22" s="131">
        <v>325.66000000000003</v>
      </c>
      <c r="AP22" s="131">
        <v>310.64</v>
      </c>
      <c r="AQ22" s="18">
        <f t="shared" si="9"/>
        <v>5.0066666666666793</v>
      </c>
      <c r="AR22" s="136"/>
      <c r="AS22" s="131">
        <v>310.64</v>
      </c>
      <c r="AT22" s="131">
        <v>291.55</v>
      </c>
      <c r="AU22" s="131">
        <f t="shared" si="10"/>
        <v>4.7724999999999937</v>
      </c>
      <c r="AV22" s="136"/>
      <c r="AW22" s="131">
        <v>328.49</v>
      </c>
      <c r="AX22" s="131">
        <v>318.77999999999997</v>
      </c>
      <c r="AY22" s="131">
        <f t="shared" si="11"/>
        <v>4.8550000000000182</v>
      </c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</row>
    <row r="23" spans="1:61" ht="16">
      <c r="A23" s="22">
        <v>20</v>
      </c>
      <c r="B23" s="22" t="s">
        <v>51</v>
      </c>
      <c r="C23" s="22" t="s">
        <v>50</v>
      </c>
      <c r="D23" s="22" t="s">
        <v>49</v>
      </c>
      <c r="E23" s="132">
        <v>305.20999999999998</v>
      </c>
      <c r="F23" s="132">
        <v>289.88</v>
      </c>
      <c r="G23" s="132">
        <f t="shared" si="0"/>
        <v>5.109999999999995</v>
      </c>
      <c r="H23" s="141"/>
      <c r="I23" s="132">
        <v>289.88</v>
      </c>
      <c r="J23" s="132">
        <v>266.79000000000002</v>
      </c>
      <c r="K23" s="25">
        <f t="shared" si="1"/>
        <v>5.7724999999999937</v>
      </c>
      <c r="L23" s="142"/>
      <c r="M23" s="132">
        <v>310.04000000000002</v>
      </c>
      <c r="N23" s="132">
        <v>293.95</v>
      </c>
      <c r="O23" s="25">
        <f t="shared" si="2"/>
        <v>5.3633333333333439</v>
      </c>
      <c r="P23" s="142"/>
      <c r="Q23" s="132">
        <v>293.95</v>
      </c>
      <c r="R23" s="132">
        <v>282.17</v>
      </c>
      <c r="S23" s="25">
        <f t="shared" si="3"/>
        <v>3.9266666666666574</v>
      </c>
      <c r="T23" s="142"/>
      <c r="U23" s="132">
        <v>282.17</v>
      </c>
      <c r="V23" s="132">
        <v>264.77</v>
      </c>
      <c r="W23" s="25">
        <f t="shared" si="4"/>
        <v>4.3500000000000085</v>
      </c>
      <c r="X23" s="142"/>
      <c r="Y23" s="132">
        <v>264.77</v>
      </c>
      <c r="Z23" s="132">
        <v>251.06</v>
      </c>
      <c r="AA23" s="25">
        <f t="shared" si="5"/>
        <v>4.5699999999999932</v>
      </c>
      <c r="AB23" s="142"/>
      <c r="AC23" s="132">
        <v>251.06</v>
      </c>
      <c r="AD23" s="132">
        <v>235.32</v>
      </c>
      <c r="AE23" s="25">
        <f t="shared" si="6"/>
        <v>3.9350000000000023</v>
      </c>
      <c r="AF23" s="142"/>
      <c r="AG23" s="132">
        <v>235.32</v>
      </c>
      <c r="AH23" s="132">
        <v>221.29</v>
      </c>
      <c r="AI23" s="25">
        <f t="shared" si="7"/>
        <v>4.6766666666666667</v>
      </c>
      <c r="AJ23" s="142"/>
      <c r="AK23" s="132">
        <v>323.64</v>
      </c>
      <c r="AL23" s="132">
        <v>302.89999999999998</v>
      </c>
      <c r="AM23" s="25">
        <f t="shared" si="8"/>
        <v>5.1850000000000023</v>
      </c>
      <c r="AN23" s="142"/>
      <c r="AO23" s="132">
        <v>302.89999999999998</v>
      </c>
      <c r="AP23" s="132">
        <v>288.47000000000003</v>
      </c>
      <c r="AQ23" s="25">
        <f t="shared" si="9"/>
        <v>4.8099999999999836</v>
      </c>
      <c r="AR23" s="142"/>
      <c r="AS23" s="132">
        <v>288.47000000000003</v>
      </c>
      <c r="AT23" s="132">
        <v>267.05</v>
      </c>
      <c r="AU23" s="132">
        <f t="shared" si="10"/>
        <v>5.355000000000004</v>
      </c>
      <c r="AV23" s="142"/>
      <c r="AW23" s="132">
        <v>306.45</v>
      </c>
      <c r="AX23" s="132">
        <v>296.23</v>
      </c>
      <c r="AY23" s="132">
        <f t="shared" si="11"/>
        <v>5.1099999999999852</v>
      </c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</row>
    <row r="24" spans="1:61" ht="16">
      <c r="A24" s="15">
        <v>21</v>
      </c>
      <c r="B24" s="15" t="s">
        <v>51</v>
      </c>
      <c r="C24" s="15" t="s">
        <v>50</v>
      </c>
      <c r="D24" s="15" t="s">
        <v>48</v>
      </c>
      <c r="E24" s="131">
        <v>344.82</v>
      </c>
      <c r="F24" s="131">
        <v>328.61</v>
      </c>
      <c r="G24" s="18">
        <f t="shared" si="0"/>
        <v>5.4033333333333262</v>
      </c>
      <c r="H24" s="138"/>
      <c r="I24" s="131">
        <v>328.61</v>
      </c>
      <c r="J24" s="131">
        <v>307.20999999999998</v>
      </c>
      <c r="K24" s="18">
        <f t="shared" si="1"/>
        <v>5.3500000000000085</v>
      </c>
      <c r="L24" s="136"/>
      <c r="M24" s="131">
        <v>331.11</v>
      </c>
      <c r="N24" s="131">
        <v>316.24</v>
      </c>
      <c r="O24" s="18">
        <f t="shared" si="2"/>
        <v>4.9566666666666679</v>
      </c>
      <c r="P24" s="136"/>
      <c r="Q24" s="131">
        <v>316.24</v>
      </c>
      <c r="R24" s="131">
        <v>300.51</v>
      </c>
      <c r="S24" s="18">
        <f t="shared" si="3"/>
        <v>5.2433333333333394</v>
      </c>
      <c r="T24" s="136"/>
      <c r="U24" s="131">
        <v>300.51</v>
      </c>
      <c r="V24" s="131">
        <v>279.47000000000003</v>
      </c>
      <c r="W24" s="18">
        <f t="shared" si="4"/>
        <v>5.2599999999999909</v>
      </c>
      <c r="X24" s="136"/>
      <c r="Y24" s="131">
        <v>279.47000000000003</v>
      </c>
      <c r="Z24" s="131">
        <v>263.51</v>
      </c>
      <c r="AA24" s="18">
        <f t="shared" si="5"/>
        <v>5.3200000000000118</v>
      </c>
      <c r="AB24" s="136"/>
      <c r="AC24" s="131">
        <v>263.51</v>
      </c>
      <c r="AD24" s="131">
        <v>242.55</v>
      </c>
      <c r="AE24" s="18">
        <f t="shared" si="6"/>
        <v>5.2399999999999949</v>
      </c>
      <c r="AF24" s="136"/>
      <c r="AG24" s="131">
        <v>242.55</v>
      </c>
      <c r="AH24" s="131">
        <v>226.9</v>
      </c>
      <c r="AI24" s="18">
        <f t="shared" si="7"/>
        <v>5.2166666666666686</v>
      </c>
      <c r="AJ24" s="136"/>
      <c r="AK24" s="131">
        <v>299.05</v>
      </c>
      <c r="AL24" s="131">
        <v>271.16000000000003</v>
      </c>
      <c r="AM24" s="18">
        <f t="shared" si="8"/>
        <v>6.9724999999999966</v>
      </c>
      <c r="AN24" s="136"/>
      <c r="AO24" s="131">
        <v>271.16000000000003</v>
      </c>
      <c r="AP24" s="131">
        <v>254.98</v>
      </c>
      <c r="AQ24" s="18">
        <f t="shared" si="9"/>
        <v>5.3933333333333451</v>
      </c>
      <c r="AR24" s="136"/>
      <c r="AS24" s="131">
        <v>254.98</v>
      </c>
      <c r="AT24" s="131">
        <v>231.78</v>
      </c>
      <c r="AU24" s="131">
        <f t="shared" si="10"/>
        <v>5.7999999999999972</v>
      </c>
      <c r="AV24" s="136"/>
      <c r="AW24" s="131">
        <v>369.99</v>
      </c>
      <c r="AX24" s="131">
        <v>359.07</v>
      </c>
      <c r="AY24" s="131">
        <f t="shared" si="11"/>
        <v>5.460000000000008</v>
      </c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</row>
    <row r="25" spans="1:61" ht="16">
      <c r="A25" s="22">
        <v>22</v>
      </c>
      <c r="B25" s="22" t="s">
        <v>51</v>
      </c>
      <c r="C25" s="22" t="s">
        <v>50</v>
      </c>
      <c r="D25" s="22" t="s">
        <v>49</v>
      </c>
      <c r="E25" s="132">
        <v>298.66000000000003</v>
      </c>
      <c r="F25" s="132">
        <v>289.76</v>
      </c>
      <c r="G25" s="25">
        <f t="shared" si="0"/>
        <v>2.9666666666666779</v>
      </c>
      <c r="H25" s="141"/>
      <c r="I25" s="132">
        <v>289.76</v>
      </c>
      <c r="J25" s="132">
        <v>276.61</v>
      </c>
      <c r="K25" s="25">
        <f t="shared" si="1"/>
        <v>3.2874999999999943</v>
      </c>
      <c r="L25" s="142"/>
      <c r="M25" s="132">
        <v>288.75</v>
      </c>
      <c r="N25" s="132">
        <v>273.68</v>
      </c>
      <c r="O25" s="25">
        <f t="shared" si="2"/>
        <v>5.0233333333333308</v>
      </c>
      <c r="P25" s="142"/>
      <c r="Q25" s="132">
        <v>273.68</v>
      </c>
      <c r="R25" s="132">
        <v>257.58</v>
      </c>
      <c r="S25" s="25">
        <f t="shared" si="3"/>
        <v>5.3666666666666742</v>
      </c>
      <c r="T25" s="142"/>
      <c r="U25" s="132">
        <v>257.58</v>
      </c>
      <c r="V25" s="132">
        <v>240.94</v>
      </c>
      <c r="W25" s="25">
        <f t="shared" si="4"/>
        <v>4.1599999999999966</v>
      </c>
      <c r="X25" s="142"/>
      <c r="Y25" s="132">
        <v>240.94</v>
      </c>
      <c r="Z25" s="132">
        <v>227.02</v>
      </c>
      <c r="AA25" s="25">
        <f t="shared" si="5"/>
        <v>4.6399999999999961</v>
      </c>
      <c r="AB25" s="142"/>
      <c r="AC25" s="132">
        <v>227.02</v>
      </c>
      <c r="AD25" s="132">
        <v>207.62</v>
      </c>
      <c r="AE25" s="25">
        <f t="shared" si="6"/>
        <v>4.8500000000000014</v>
      </c>
      <c r="AF25" s="142"/>
      <c r="AG25" s="132">
        <v>207.62</v>
      </c>
      <c r="AH25" s="132">
        <v>194.16</v>
      </c>
      <c r="AI25" s="25">
        <f t="shared" si="7"/>
        <v>4.486666666666669</v>
      </c>
      <c r="AJ25" s="142"/>
      <c r="AK25" s="132">
        <v>305.63</v>
      </c>
      <c r="AL25" s="132">
        <v>290.83999999999997</v>
      </c>
      <c r="AM25" s="25">
        <f t="shared" si="8"/>
        <v>3.6975000000000051</v>
      </c>
      <c r="AN25" s="142"/>
      <c r="AO25" s="132">
        <v>290.83999999999997</v>
      </c>
      <c r="AP25" s="132">
        <v>275.88</v>
      </c>
      <c r="AQ25" s="25">
        <f t="shared" si="9"/>
        <v>4.9866666666666601</v>
      </c>
      <c r="AR25" s="142"/>
      <c r="AS25" s="132">
        <v>275.88</v>
      </c>
      <c r="AT25" s="132">
        <v>255.86</v>
      </c>
      <c r="AU25" s="132">
        <f t="shared" si="10"/>
        <v>5.0049999999999955</v>
      </c>
      <c r="AV25" s="142"/>
      <c r="AW25" s="132">
        <v>354.82</v>
      </c>
      <c r="AX25" s="132">
        <v>344.57</v>
      </c>
      <c r="AY25" s="132">
        <f t="shared" si="11"/>
        <v>5.125</v>
      </c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</row>
    <row r="26" spans="1:61" ht="16">
      <c r="A26" s="15">
        <v>23</v>
      </c>
      <c r="B26" s="15" t="s">
        <v>51</v>
      </c>
      <c r="C26" s="15" t="s">
        <v>50</v>
      </c>
      <c r="D26" s="15" t="s">
        <v>48</v>
      </c>
      <c r="E26" s="131">
        <v>324.14999999999998</v>
      </c>
      <c r="F26" s="131">
        <v>310.83</v>
      </c>
      <c r="G26" s="131">
        <f t="shared" si="0"/>
        <v>4.4399999999999977</v>
      </c>
      <c r="H26" s="138"/>
      <c r="I26" s="131">
        <v>310.83</v>
      </c>
      <c r="J26" s="131">
        <v>294.95999999999998</v>
      </c>
      <c r="K26" s="18">
        <f t="shared" si="1"/>
        <v>3.9675000000000011</v>
      </c>
      <c r="L26" s="136"/>
      <c r="M26" s="131">
        <v>331.88</v>
      </c>
      <c r="N26" s="131">
        <v>311.45999999999998</v>
      </c>
      <c r="O26" s="18">
        <f t="shared" si="2"/>
        <v>6.806666666666672</v>
      </c>
      <c r="P26" s="136"/>
      <c r="Q26" s="131">
        <v>311.45999999999998</v>
      </c>
      <c r="R26" s="131">
        <v>296.29000000000002</v>
      </c>
      <c r="S26" s="18">
        <f t="shared" si="3"/>
        <v>5.0566666666666533</v>
      </c>
      <c r="T26" s="136"/>
      <c r="U26" s="131">
        <v>296.29000000000002</v>
      </c>
      <c r="V26" s="131">
        <v>273.99</v>
      </c>
      <c r="W26" s="18">
        <f t="shared" si="4"/>
        <v>5.5750000000000028</v>
      </c>
      <c r="X26" s="136"/>
      <c r="Y26" s="131">
        <v>273.99</v>
      </c>
      <c r="Z26" s="131">
        <v>253.54</v>
      </c>
      <c r="AA26" s="18">
        <f t="shared" si="5"/>
        <v>6.8166666666666726</v>
      </c>
      <c r="AB26" s="136"/>
      <c r="AC26" s="131">
        <v>253.54</v>
      </c>
      <c r="AD26" s="131">
        <v>231.2</v>
      </c>
      <c r="AE26" s="18">
        <f t="shared" si="6"/>
        <v>5.5850000000000009</v>
      </c>
      <c r="AF26" s="136"/>
      <c r="AG26" s="131">
        <v>231.2</v>
      </c>
      <c r="AH26" s="131">
        <v>212.78</v>
      </c>
      <c r="AI26" s="18">
        <f t="shared" si="7"/>
        <v>6.1399999999999961</v>
      </c>
      <c r="AJ26" s="136"/>
      <c r="AK26" s="131">
        <v>294.08999999999997</v>
      </c>
      <c r="AL26" s="131">
        <v>267.95</v>
      </c>
      <c r="AM26" s="18">
        <f t="shared" si="8"/>
        <v>6.5349999999999966</v>
      </c>
      <c r="AN26" s="136"/>
      <c r="AO26" s="131">
        <v>267.95</v>
      </c>
      <c r="AP26" s="131">
        <v>249</v>
      </c>
      <c r="AQ26" s="18">
        <f t="shared" si="9"/>
        <v>6.3166666666666629</v>
      </c>
      <c r="AR26" s="136"/>
      <c r="AS26" s="131">
        <v>249</v>
      </c>
      <c r="AT26" s="131">
        <v>224.94</v>
      </c>
      <c r="AU26" s="131">
        <f t="shared" si="10"/>
        <v>6.0150000000000006</v>
      </c>
      <c r="AV26" s="136"/>
      <c r="AW26" s="131">
        <v>357.96</v>
      </c>
      <c r="AX26" s="131">
        <v>346.05</v>
      </c>
      <c r="AY26" s="131">
        <f t="shared" si="11"/>
        <v>5.9549999999999841</v>
      </c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</row>
    <row r="27" spans="1:61" ht="16">
      <c r="A27" s="22">
        <v>24</v>
      </c>
      <c r="B27" s="22" t="s">
        <v>51</v>
      </c>
      <c r="C27" s="22" t="s">
        <v>50</v>
      </c>
      <c r="D27" s="22" t="s">
        <v>49</v>
      </c>
      <c r="E27" s="132">
        <v>321.42</v>
      </c>
      <c r="F27" s="132">
        <v>308.99</v>
      </c>
      <c r="G27" s="25">
        <f t="shared" si="0"/>
        <v>4.1433333333333353</v>
      </c>
      <c r="H27" s="141"/>
      <c r="I27" s="132">
        <v>308.99</v>
      </c>
      <c r="J27" s="132">
        <v>294.79000000000002</v>
      </c>
      <c r="K27" s="25">
        <f t="shared" si="1"/>
        <v>3.5499999999999972</v>
      </c>
      <c r="L27" s="142"/>
      <c r="M27" s="132">
        <v>286.98</v>
      </c>
      <c r="N27" s="132">
        <v>270.89999999999998</v>
      </c>
      <c r="O27" s="25">
        <f t="shared" si="2"/>
        <v>5.3600000000000136</v>
      </c>
      <c r="P27" s="142"/>
      <c r="Q27" s="132">
        <v>270.89999999999998</v>
      </c>
      <c r="R27" s="132">
        <v>256.14999999999998</v>
      </c>
      <c r="S27" s="25">
        <f t="shared" si="3"/>
        <v>4.916666666666667</v>
      </c>
      <c r="T27" s="142"/>
      <c r="U27" s="132">
        <v>256.14999999999998</v>
      </c>
      <c r="V27" s="132">
        <v>236.12</v>
      </c>
      <c r="W27" s="25">
        <f t="shared" si="4"/>
        <v>5.0074999999999932</v>
      </c>
      <c r="X27" s="142"/>
      <c r="Y27" s="132">
        <v>236.12</v>
      </c>
      <c r="Z27" s="132">
        <v>224.05</v>
      </c>
      <c r="AA27" s="25">
        <f t="shared" si="5"/>
        <v>4.0233333333333308</v>
      </c>
      <c r="AB27" s="142"/>
      <c r="AC27" s="132">
        <v>224.05</v>
      </c>
      <c r="AD27" s="132">
        <v>207.08</v>
      </c>
      <c r="AE27" s="25">
        <f t="shared" si="6"/>
        <v>4.2424999999999997</v>
      </c>
      <c r="AF27" s="142"/>
      <c r="AG27" s="132">
        <v>207.08</v>
      </c>
      <c r="AH27" s="132">
        <v>192.01</v>
      </c>
      <c r="AI27" s="25">
        <f t="shared" si="7"/>
        <v>5.0233333333333405</v>
      </c>
      <c r="AJ27" s="142"/>
      <c r="AK27" s="132">
        <v>338.22</v>
      </c>
      <c r="AL27" s="132">
        <v>319.85000000000002</v>
      </c>
      <c r="AM27" s="25">
        <f t="shared" si="8"/>
        <v>4.5925000000000011</v>
      </c>
      <c r="AN27" s="142"/>
      <c r="AO27" s="132">
        <v>319.85000000000002</v>
      </c>
      <c r="AP27" s="132">
        <v>303.93</v>
      </c>
      <c r="AQ27" s="25">
        <f t="shared" si="9"/>
        <v>5.306666666666672</v>
      </c>
      <c r="AR27" s="142"/>
      <c r="AS27" s="132">
        <v>303.93</v>
      </c>
      <c r="AT27" s="132">
        <v>283.08</v>
      </c>
      <c r="AU27" s="132">
        <f t="shared" si="10"/>
        <v>5.2125000000000057</v>
      </c>
      <c r="AV27" s="142"/>
      <c r="AW27" s="132">
        <v>330.07</v>
      </c>
      <c r="AX27" s="132">
        <v>319.45999999999998</v>
      </c>
      <c r="AY27" s="132">
        <f t="shared" si="11"/>
        <v>5.3050000000000068</v>
      </c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</row>
    <row r="28" spans="1:61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</row>
    <row r="29" spans="1:61">
      <c r="A29" s="134"/>
      <c r="B29" s="134"/>
      <c r="C29" s="134"/>
      <c r="D29" s="134"/>
      <c r="E29" s="268" t="s">
        <v>3</v>
      </c>
      <c r="F29" s="260"/>
      <c r="G29" s="260"/>
      <c r="H29" s="136"/>
      <c r="I29" s="267" t="s">
        <v>155</v>
      </c>
      <c r="J29" s="260"/>
      <c r="K29" s="260"/>
      <c r="L29" s="260"/>
      <c r="M29" s="260"/>
      <c r="N29" s="260"/>
      <c r="O29" s="260"/>
      <c r="P29" s="136"/>
      <c r="Q29" s="259" t="s">
        <v>156</v>
      </c>
      <c r="R29" s="260"/>
      <c r="S29" s="260"/>
      <c r="T29" s="260"/>
      <c r="U29" s="260"/>
      <c r="V29" s="260"/>
      <c r="W29" s="260"/>
      <c r="X29" s="136"/>
      <c r="Y29" s="261" t="s">
        <v>197</v>
      </c>
      <c r="Z29" s="260"/>
      <c r="AA29" s="260"/>
      <c r="AB29" s="260"/>
      <c r="AC29" s="260"/>
      <c r="AD29" s="260"/>
      <c r="AE29" s="260"/>
      <c r="AF29" s="136"/>
      <c r="AG29" s="262" t="s">
        <v>198</v>
      </c>
      <c r="AH29" s="260"/>
      <c r="AI29" s="260"/>
      <c r="AJ29" s="260"/>
      <c r="AK29" s="260"/>
      <c r="AL29" s="260"/>
      <c r="AM29" s="260"/>
      <c r="AN29" s="136"/>
      <c r="AO29" s="263" t="s">
        <v>199</v>
      </c>
      <c r="AP29" s="260"/>
      <c r="AQ29" s="260"/>
      <c r="AR29" s="260"/>
      <c r="AS29" s="260"/>
      <c r="AT29" s="260"/>
      <c r="AU29" s="260"/>
      <c r="AV29" s="136"/>
      <c r="AW29" s="264" t="s">
        <v>200</v>
      </c>
      <c r="AX29" s="260"/>
      <c r="AY29" s="260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</row>
    <row r="30" spans="1:61" ht="29.25" customHeight="1">
      <c r="A30" s="228" t="s">
        <v>59</v>
      </c>
      <c r="B30" s="228" t="s">
        <v>0</v>
      </c>
      <c r="C30" s="228" t="s">
        <v>1</v>
      </c>
      <c r="D30" s="228" t="s">
        <v>2</v>
      </c>
      <c r="E30" s="258" t="s">
        <v>201</v>
      </c>
      <c r="F30" s="258" t="s">
        <v>202</v>
      </c>
      <c r="G30" s="258" t="s">
        <v>203</v>
      </c>
      <c r="H30" s="143"/>
      <c r="I30" s="258" t="s">
        <v>204</v>
      </c>
      <c r="J30" s="258" t="s">
        <v>205</v>
      </c>
      <c r="K30" s="258" t="s">
        <v>206</v>
      </c>
      <c r="L30" s="144"/>
      <c r="M30" s="258" t="s">
        <v>207</v>
      </c>
      <c r="N30" s="258" t="s">
        <v>208</v>
      </c>
      <c r="O30" s="258" t="s">
        <v>209</v>
      </c>
      <c r="P30" s="143"/>
      <c r="Q30" s="258" t="s">
        <v>210</v>
      </c>
      <c r="R30" s="258" t="s">
        <v>211</v>
      </c>
      <c r="S30" s="258" t="s">
        <v>212</v>
      </c>
      <c r="T30" s="144"/>
      <c r="U30" s="258" t="s">
        <v>213</v>
      </c>
      <c r="V30" s="258" t="s">
        <v>214</v>
      </c>
      <c r="W30" s="258" t="s">
        <v>215</v>
      </c>
      <c r="X30" s="143"/>
      <c r="Y30" s="258" t="s">
        <v>216</v>
      </c>
      <c r="Z30" s="258" t="s">
        <v>217</v>
      </c>
      <c r="AA30" s="258" t="s">
        <v>218</v>
      </c>
      <c r="AB30" s="144"/>
      <c r="AC30" s="258" t="s">
        <v>219</v>
      </c>
      <c r="AD30" s="258" t="s">
        <v>220</v>
      </c>
      <c r="AE30" s="258" t="s">
        <v>221</v>
      </c>
      <c r="AF30" s="143"/>
      <c r="AG30" s="258" t="s">
        <v>222</v>
      </c>
      <c r="AH30" s="258" t="s">
        <v>223</v>
      </c>
      <c r="AI30" s="258" t="s">
        <v>224</v>
      </c>
      <c r="AJ30" s="144"/>
      <c r="AK30" s="258" t="s">
        <v>225</v>
      </c>
      <c r="AL30" s="258" t="s">
        <v>226</v>
      </c>
      <c r="AM30" s="258" t="s">
        <v>227</v>
      </c>
      <c r="AN30" s="143"/>
      <c r="AO30" s="258" t="s">
        <v>228</v>
      </c>
      <c r="AP30" s="258" t="s">
        <v>229</v>
      </c>
      <c r="AQ30" s="258" t="s">
        <v>230</v>
      </c>
      <c r="AR30" s="145"/>
      <c r="AS30" s="258" t="s">
        <v>231</v>
      </c>
      <c r="AT30" s="258" t="s">
        <v>232</v>
      </c>
      <c r="AU30" s="258" t="s">
        <v>233</v>
      </c>
      <c r="AV30" s="143"/>
      <c r="AW30" s="265" t="s">
        <v>234</v>
      </c>
      <c r="AX30" s="265" t="s">
        <v>235</v>
      </c>
      <c r="AY30" s="269" t="s">
        <v>236</v>
      </c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</row>
    <row r="31" spans="1:61">
      <c r="A31" s="229"/>
      <c r="B31" s="229"/>
      <c r="C31" s="229"/>
      <c r="D31" s="229"/>
      <c r="E31" s="229"/>
      <c r="F31" s="229"/>
      <c r="G31" s="229"/>
      <c r="H31" s="136"/>
      <c r="I31" s="229"/>
      <c r="J31" s="229"/>
      <c r="K31" s="229"/>
      <c r="M31" s="229"/>
      <c r="N31" s="229"/>
      <c r="O31" s="229"/>
      <c r="P31" s="136"/>
      <c r="Q31" s="229"/>
      <c r="R31" s="229"/>
      <c r="S31" s="229"/>
      <c r="U31" s="229"/>
      <c r="V31" s="229"/>
      <c r="W31" s="229"/>
      <c r="X31" s="136"/>
      <c r="Y31" s="229"/>
      <c r="Z31" s="229"/>
      <c r="AA31" s="229"/>
      <c r="AC31" s="229"/>
      <c r="AD31" s="229"/>
      <c r="AE31" s="229"/>
      <c r="AF31" s="136"/>
      <c r="AG31" s="229"/>
      <c r="AH31" s="229"/>
      <c r="AI31" s="229"/>
      <c r="AK31" s="229"/>
      <c r="AL31" s="229"/>
      <c r="AM31" s="229"/>
      <c r="AN31" s="136"/>
      <c r="AO31" s="229"/>
      <c r="AP31" s="229"/>
      <c r="AQ31" s="229"/>
      <c r="AS31" s="229"/>
      <c r="AT31" s="229"/>
      <c r="AU31" s="229"/>
      <c r="AV31" s="136"/>
      <c r="AW31" s="260"/>
      <c r="AX31" s="260"/>
      <c r="AY31" s="260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</row>
    <row r="32" spans="1:61" ht="16">
      <c r="A32" s="15">
        <v>25</v>
      </c>
      <c r="B32" s="15" t="s">
        <v>46</v>
      </c>
      <c r="C32" s="15" t="s">
        <v>47</v>
      </c>
      <c r="D32" s="15" t="s">
        <v>48</v>
      </c>
      <c r="E32" s="131">
        <v>313.97000000000003</v>
      </c>
      <c r="F32" s="131">
        <v>294.94</v>
      </c>
      <c r="G32" s="18">
        <f t="shared" ref="G32:G55" si="12">(E32-F32)/3</f>
        <v>6.3433333333333435</v>
      </c>
      <c r="H32" s="136"/>
      <c r="I32" s="131">
        <v>294.94</v>
      </c>
      <c r="J32" s="131">
        <v>274.58999999999997</v>
      </c>
      <c r="K32" s="18">
        <f t="shared" ref="K32:K55" si="13">(I32-J32)/4</f>
        <v>5.0875000000000057</v>
      </c>
      <c r="L32" s="136"/>
      <c r="M32" s="131">
        <v>274.58999999999997</v>
      </c>
      <c r="N32" s="131">
        <v>261.5</v>
      </c>
      <c r="O32" s="18">
        <f t="shared" ref="O32:O55" si="14">(M32-N32)/3</f>
        <v>4.3633333333333253</v>
      </c>
      <c r="P32" s="136"/>
      <c r="Q32" s="131">
        <v>261.5</v>
      </c>
      <c r="R32" s="131">
        <v>242.51</v>
      </c>
      <c r="S32" s="18">
        <f t="shared" ref="S32:S55" si="15">(Q32-R32)/4</f>
        <v>4.7475000000000023</v>
      </c>
      <c r="T32" s="136"/>
      <c r="U32" s="131">
        <v>242.51</v>
      </c>
      <c r="V32" s="131">
        <v>230.48</v>
      </c>
      <c r="W32" s="18">
        <f t="shared" ref="W32:W55" si="16">(U32-V32)/3</f>
        <v>4.0100000000000007</v>
      </c>
      <c r="X32" s="136"/>
      <c r="Y32" s="131">
        <v>230.48</v>
      </c>
      <c r="Z32" s="131">
        <v>198.52</v>
      </c>
      <c r="AA32" s="18">
        <f t="shared" ref="AA32:AA55" si="17">(Y32-Z32)/4</f>
        <v>7.9899999999999949</v>
      </c>
      <c r="AB32" s="136"/>
      <c r="AC32" s="131">
        <v>230.37</v>
      </c>
      <c r="AD32" s="131">
        <v>215.06</v>
      </c>
      <c r="AE32" s="18">
        <f t="shared" ref="AE32:AE55" si="18">(AC32-AD32)/3</f>
        <v>5.1033333333333344</v>
      </c>
      <c r="AF32" s="136"/>
      <c r="AG32" s="131">
        <v>215.06</v>
      </c>
      <c r="AH32" s="131">
        <v>197.2</v>
      </c>
      <c r="AI32" s="18">
        <f t="shared" ref="AI32:AI55" si="19">(AG32-AH32)/4</f>
        <v>4.4650000000000034</v>
      </c>
      <c r="AJ32" s="136"/>
      <c r="AK32" s="131">
        <v>232.86</v>
      </c>
      <c r="AL32" s="131">
        <v>218</v>
      </c>
      <c r="AM32" s="18">
        <f t="shared" ref="AM32:AM55" si="20">(AK32-AL32)/3</f>
        <v>4.9533333333333376</v>
      </c>
      <c r="AN32" s="136"/>
      <c r="AO32" s="131">
        <v>298.35000000000002</v>
      </c>
      <c r="AP32" s="131">
        <v>283.32</v>
      </c>
      <c r="AQ32" s="18">
        <f t="shared" ref="AQ32:AQ55" si="21">(AO32-AP32)/2</f>
        <v>7.5150000000000148</v>
      </c>
      <c r="AR32" s="136"/>
      <c r="AS32" s="131">
        <v>283.32</v>
      </c>
      <c r="AT32" s="131">
        <v>266.3</v>
      </c>
      <c r="AU32" s="18">
        <f t="shared" ref="AU32:AU43" si="22">(AS32-AT32)/4</f>
        <v>4.2549999999999955</v>
      </c>
      <c r="AV32" s="136"/>
      <c r="AW32" s="136"/>
      <c r="AX32" s="136" t="s">
        <v>237</v>
      </c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</row>
    <row r="33" spans="1:61" ht="16">
      <c r="A33" s="22">
        <v>26</v>
      </c>
      <c r="B33" s="22" t="s">
        <v>46</v>
      </c>
      <c r="C33" s="22" t="s">
        <v>47</v>
      </c>
      <c r="D33" s="22" t="s">
        <v>49</v>
      </c>
      <c r="E33" s="132">
        <v>328.87</v>
      </c>
      <c r="F33" s="132">
        <v>304.48</v>
      </c>
      <c r="G33" s="25">
        <f t="shared" si="12"/>
        <v>8.1299999999999955</v>
      </c>
      <c r="H33" s="142"/>
      <c r="I33" s="132">
        <v>304.48</v>
      </c>
      <c r="J33" s="132">
        <v>278.41000000000003</v>
      </c>
      <c r="K33" s="25">
        <f t="shared" si="13"/>
        <v>6.5174999999999983</v>
      </c>
      <c r="L33" s="142"/>
      <c r="M33" s="132">
        <v>278.41000000000003</v>
      </c>
      <c r="N33" s="132">
        <v>262.92</v>
      </c>
      <c r="O33" s="25">
        <f t="shared" si="14"/>
        <v>5.1633333333333367</v>
      </c>
      <c r="P33" s="142"/>
      <c r="Q33" s="132">
        <v>262.92</v>
      </c>
      <c r="R33" s="132">
        <v>245.77</v>
      </c>
      <c r="S33" s="25">
        <f t="shared" si="15"/>
        <v>4.2875000000000014</v>
      </c>
      <c r="T33" s="142"/>
      <c r="U33" s="132">
        <v>245.77</v>
      </c>
      <c r="V33" s="132">
        <v>234.45</v>
      </c>
      <c r="W33" s="25">
        <f t="shared" si="16"/>
        <v>3.7733333333333405</v>
      </c>
      <c r="X33" s="142"/>
      <c r="Y33" s="132">
        <v>234.45</v>
      </c>
      <c r="Z33" s="132">
        <v>218.39</v>
      </c>
      <c r="AA33" s="25">
        <f t="shared" si="17"/>
        <v>4.0150000000000006</v>
      </c>
      <c r="AB33" s="142"/>
      <c r="AC33" s="132">
        <v>218.39</v>
      </c>
      <c r="AD33" s="132">
        <v>204.31</v>
      </c>
      <c r="AE33" s="25">
        <f t="shared" si="18"/>
        <v>4.693333333333328</v>
      </c>
      <c r="AF33" s="142"/>
      <c r="AG33" s="132">
        <v>204.31</v>
      </c>
      <c r="AH33" s="132">
        <v>190.43</v>
      </c>
      <c r="AI33" s="25">
        <f t="shared" si="19"/>
        <v>3.4699999999999989</v>
      </c>
      <c r="AJ33" s="142"/>
      <c r="AK33" s="132">
        <v>227.56</v>
      </c>
      <c r="AL33" s="132">
        <v>213.06</v>
      </c>
      <c r="AM33" s="25">
        <f t="shared" si="20"/>
        <v>4.833333333333333</v>
      </c>
      <c r="AN33" s="142"/>
      <c r="AO33" s="132">
        <v>322.63</v>
      </c>
      <c r="AP33" s="132">
        <v>303.49</v>
      </c>
      <c r="AQ33" s="25">
        <f t="shared" si="21"/>
        <v>9.5699999999999932</v>
      </c>
      <c r="AR33" s="142"/>
      <c r="AS33" s="132">
        <v>303.49</v>
      </c>
      <c r="AT33" s="132">
        <v>289.60000000000002</v>
      </c>
      <c r="AU33" s="25">
        <f t="shared" si="22"/>
        <v>3.4724999999999966</v>
      </c>
      <c r="AV33" s="142"/>
      <c r="AW33" s="142"/>
      <c r="AX33" s="142" t="s">
        <v>238</v>
      </c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</row>
    <row r="34" spans="1:61" ht="16">
      <c r="A34" s="15">
        <v>27</v>
      </c>
      <c r="B34" s="15" t="s">
        <v>46</v>
      </c>
      <c r="C34" s="15" t="s">
        <v>47</v>
      </c>
      <c r="D34" s="15" t="s">
        <v>48</v>
      </c>
      <c r="E34" s="131">
        <v>303.95999999999998</v>
      </c>
      <c r="F34" s="131">
        <v>279.24</v>
      </c>
      <c r="G34" s="18">
        <f t="shared" si="12"/>
        <v>8.2399999999999896</v>
      </c>
      <c r="H34" s="136"/>
      <c r="I34" s="131">
        <v>279.24</v>
      </c>
      <c r="J34" s="131">
        <v>252.47</v>
      </c>
      <c r="K34" s="18">
        <f t="shared" si="13"/>
        <v>6.6925000000000026</v>
      </c>
      <c r="L34" s="136"/>
      <c r="M34" s="131">
        <v>252.47</v>
      </c>
      <c r="N34" s="131">
        <v>234.12</v>
      </c>
      <c r="O34" s="18">
        <f t="shared" si="14"/>
        <v>6.1166666666666645</v>
      </c>
      <c r="P34" s="136"/>
      <c r="Q34" s="131">
        <v>234.12</v>
      </c>
      <c r="R34" s="131">
        <v>213.92</v>
      </c>
      <c r="S34" s="18">
        <f t="shared" si="15"/>
        <v>5.0500000000000043</v>
      </c>
      <c r="T34" s="136"/>
      <c r="U34" s="131">
        <v>213.92</v>
      </c>
      <c r="V34" s="131">
        <v>199.4</v>
      </c>
      <c r="W34" s="18">
        <f t="shared" si="16"/>
        <v>4.8399999999999936</v>
      </c>
      <c r="X34" s="136"/>
      <c r="Y34" s="131">
        <v>199.4</v>
      </c>
      <c r="Z34" s="131">
        <v>176.91</v>
      </c>
      <c r="AA34" s="18">
        <f t="shared" si="17"/>
        <v>5.6225000000000023</v>
      </c>
      <c r="AB34" s="136"/>
      <c r="AC34" s="131">
        <v>222</v>
      </c>
      <c r="AD34" s="131">
        <v>202.79</v>
      </c>
      <c r="AE34" s="18">
        <f t="shared" si="18"/>
        <v>6.403333333333336</v>
      </c>
      <c r="AF34" s="136"/>
      <c r="AG34" s="131">
        <v>202.79</v>
      </c>
      <c r="AH34" s="131">
        <v>182.37</v>
      </c>
      <c r="AI34" s="18">
        <f t="shared" si="19"/>
        <v>5.1049999999999969</v>
      </c>
      <c r="AJ34" s="136"/>
      <c r="AK34" s="131">
        <v>231.25</v>
      </c>
      <c r="AL34" s="131">
        <v>209.9</v>
      </c>
      <c r="AM34" s="18">
        <f t="shared" si="20"/>
        <v>7.1166666666666645</v>
      </c>
      <c r="AN34" s="136"/>
      <c r="AO34" s="131">
        <v>279.12</v>
      </c>
      <c r="AP34" s="131">
        <v>263.45999999999998</v>
      </c>
      <c r="AQ34" s="18">
        <f t="shared" si="21"/>
        <v>7.8300000000000125</v>
      </c>
      <c r="AR34" s="136"/>
      <c r="AS34" s="131">
        <v>263.45999999999998</v>
      </c>
      <c r="AT34" s="131">
        <v>242.3</v>
      </c>
      <c r="AU34" s="18">
        <f t="shared" si="22"/>
        <v>5.289999999999992</v>
      </c>
      <c r="AV34" s="136"/>
      <c r="AW34" s="136"/>
      <c r="AX34" s="136" t="s">
        <v>239</v>
      </c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</row>
    <row r="35" spans="1:61" ht="16">
      <c r="A35" s="22">
        <v>28</v>
      </c>
      <c r="B35" s="22" t="s">
        <v>46</v>
      </c>
      <c r="C35" s="22" t="s">
        <v>47</v>
      </c>
      <c r="D35" s="22" t="s">
        <v>49</v>
      </c>
      <c r="E35" s="132">
        <v>307.89999999999998</v>
      </c>
      <c r="F35" s="132">
        <v>276.60000000000002</v>
      </c>
      <c r="G35" s="25">
        <f t="shared" si="12"/>
        <v>10.433333333333318</v>
      </c>
      <c r="H35" s="142"/>
      <c r="I35" s="132">
        <v>276.60000000000002</v>
      </c>
      <c r="J35" s="132">
        <v>241.28</v>
      </c>
      <c r="K35" s="25">
        <f t="shared" si="13"/>
        <v>8.8300000000000054</v>
      </c>
      <c r="L35" s="142"/>
      <c r="M35" s="132">
        <v>241.28</v>
      </c>
      <c r="N35" s="132">
        <v>219.32</v>
      </c>
      <c r="O35" s="25">
        <f t="shared" si="14"/>
        <v>7.3200000000000029</v>
      </c>
      <c r="P35" s="142"/>
      <c r="Q35" s="132">
        <v>219.32</v>
      </c>
      <c r="R35" s="132">
        <v>193.52</v>
      </c>
      <c r="S35" s="25">
        <f t="shared" si="15"/>
        <v>6.4499999999999957</v>
      </c>
      <c r="T35" s="142"/>
      <c r="U35" s="132">
        <v>252.25</v>
      </c>
      <c r="V35" s="132">
        <v>236.2</v>
      </c>
      <c r="W35" s="25">
        <f t="shared" si="16"/>
        <v>5.3500000000000041</v>
      </c>
      <c r="X35" s="142"/>
      <c r="Y35" s="132">
        <v>236.2</v>
      </c>
      <c r="Z35" s="132">
        <v>213.37</v>
      </c>
      <c r="AA35" s="25">
        <f t="shared" si="17"/>
        <v>5.707499999999996</v>
      </c>
      <c r="AB35" s="142"/>
      <c r="AC35" s="132">
        <v>213.37</v>
      </c>
      <c r="AD35" s="132">
        <v>199.51</v>
      </c>
      <c r="AE35" s="25">
        <f t="shared" si="18"/>
        <v>4.6200000000000045</v>
      </c>
      <c r="AF35" s="142"/>
      <c r="AG35" s="132">
        <v>199.51</v>
      </c>
      <c r="AH35" s="132">
        <v>178.6</v>
      </c>
      <c r="AI35" s="25">
        <f t="shared" si="19"/>
        <v>5.2274999999999991</v>
      </c>
      <c r="AJ35" s="142"/>
      <c r="AK35" s="132">
        <v>220.74</v>
      </c>
      <c r="AL35" s="132">
        <v>196.39</v>
      </c>
      <c r="AM35" s="25">
        <f t="shared" si="20"/>
        <v>8.1166666666666742</v>
      </c>
      <c r="AN35" s="142"/>
      <c r="AO35" s="132">
        <v>278.70999999999998</v>
      </c>
      <c r="AP35" s="132">
        <v>252.42</v>
      </c>
      <c r="AQ35" s="25">
        <f t="shared" si="21"/>
        <v>13.144999999999996</v>
      </c>
      <c r="AR35" s="142"/>
      <c r="AS35" s="132">
        <v>252.42</v>
      </c>
      <c r="AT35" s="132">
        <v>230</v>
      </c>
      <c r="AU35" s="25">
        <f t="shared" si="22"/>
        <v>5.6049999999999969</v>
      </c>
      <c r="AV35" s="142"/>
      <c r="AW35" s="142"/>
      <c r="AX35" s="142" t="s">
        <v>240</v>
      </c>
      <c r="AY35" s="142"/>
      <c r="AZ35" s="142"/>
      <c r="BA35" s="142"/>
      <c r="BB35" s="142"/>
      <c r="BC35" s="142"/>
      <c r="BD35" s="142"/>
      <c r="BE35" s="142"/>
      <c r="BF35" s="142"/>
      <c r="BG35" s="142"/>
      <c r="BH35" s="142"/>
      <c r="BI35" s="142"/>
    </row>
    <row r="36" spans="1:61" ht="16">
      <c r="A36" s="22">
        <v>29</v>
      </c>
      <c r="B36" s="22" t="s">
        <v>46</v>
      </c>
      <c r="C36" s="22" t="s">
        <v>47</v>
      </c>
      <c r="D36" s="22" t="s">
        <v>49</v>
      </c>
      <c r="E36" s="132">
        <v>294.79000000000002</v>
      </c>
      <c r="F36" s="132">
        <v>274.56</v>
      </c>
      <c r="G36" s="25">
        <f t="shared" si="12"/>
        <v>6.7433333333333394</v>
      </c>
      <c r="H36" s="142"/>
      <c r="I36" s="132">
        <v>274.56</v>
      </c>
      <c r="J36" s="132">
        <v>256.12</v>
      </c>
      <c r="K36" s="25">
        <f t="shared" si="13"/>
        <v>4.6099999999999994</v>
      </c>
      <c r="L36" s="142"/>
      <c r="M36" s="132">
        <v>256.12</v>
      </c>
      <c r="N36" s="132">
        <v>243.3</v>
      </c>
      <c r="O36" s="25">
        <f t="shared" si="14"/>
        <v>4.2733333333333308</v>
      </c>
      <c r="P36" s="142"/>
      <c r="Q36" s="132">
        <v>243.3</v>
      </c>
      <c r="R36" s="132">
        <v>226.82</v>
      </c>
      <c r="S36" s="25">
        <f t="shared" si="15"/>
        <v>4.1200000000000045</v>
      </c>
      <c r="T36" s="142"/>
      <c r="U36" s="132">
        <v>226.82</v>
      </c>
      <c r="V36" s="132">
        <v>217.2</v>
      </c>
      <c r="W36" s="25">
        <f t="shared" si="16"/>
        <v>3.2066666666666683</v>
      </c>
      <c r="X36" s="142"/>
      <c r="Y36" s="132">
        <v>217.2</v>
      </c>
      <c r="Z36" s="132">
        <v>203.93</v>
      </c>
      <c r="AA36" s="25">
        <f t="shared" si="17"/>
        <v>3.3174999999999955</v>
      </c>
      <c r="AB36" s="142"/>
      <c r="AC36" s="132">
        <v>203.93</v>
      </c>
      <c r="AD36" s="132">
        <v>191.28</v>
      </c>
      <c r="AE36" s="25">
        <f t="shared" si="18"/>
        <v>4.2166666666666686</v>
      </c>
      <c r="AF36" s="142"/>
      <c r="AG36" s="132">
        <v>191.28</v>
      </c>
      <c r="AH36" s="132">
        <v>178.01</v>
      </c>
      <c r="AI36" s="25">
        <f t="shared" si="19"/>
        <v>3.3175000000000026</v>
      </c>
      <c r="AJ36" s="142"/>
      <c r="AK36" s="132">
        <v>226.34</v>
      </c>
      <c r="AL36" s="132">
        <v>213.24</v>
      </c>
      <c r="AM36" s="25">
        <f t="shared" si="20"/>
        <v>4.3666666666666645</v>
      </c>
      <c r="AN36" s="142"/>
      <c r="AO36" s="132">
        <v>325.70999999999998</v>
      </c>
      <c r="AP36" s="132">
        <v>321.44</v>
      </c>
      <c r="AQ36" s="25">
        <f t="shared" si="21"/>
        <v>2.1349999999999909</v>
      </c>
      <c r="AR36" s="142"/>
      <c r="AS36" s="132">
        <v>321.44</v>
      </c>
      <c r="AT36" s="132">
        <v>306</v>
      </c>
      <c r="AU36" s="25">
        <f t="shared" si="22"/>
        <v>3.8599999999999994</v>
      </c>
      <c r="AV36" s="142"/>
      <c r="AW36" s="142"/>
      <c r="AX36" s="142" t="s">
        <v>241</v>
      </c>
      <c r="AY36" s="142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</row>
    <row r="37" spans="1:61" ht="16">
      <c r="A37" s="52">
        <v>30</v>
      </c>
      <c r="B37" s="52" t="s">
        <v>46</v>
      </c>
      <c r="C37" s="52" t="s">
        <v>47</v>
      </c>
      <c r="D37" s="15" t="s">
        <v>48</v>
      </c>
      <c r="E37" s="131">
        <v>324.07</v>
      </c>
      <c r="F37" s="131">
        <v>295.14999999999998</v>
      </c>
      <c r="G37" s="18">
        <f t="shared" si="12"/>
        <v>9.6400000000000059</v>
      </c>
      <c r="H37" s="136"/>
      <c r="I37" s="131">
        <v>295.14999999999998</v>
      </c>
      <c r="J37" s="131">
        <v>256.58999999999997</v>
      </c>
      <c r="K37" s="18">
        <f t="shared" si="13"/>
        <v>9.64</v>
      </c>
      <c r="L37" s="136"/>
      <c r="M37" s="131">
        <v>256.58999999999997</v>
      </c>
      <c r="N37" s="131">
        <v>239.12</v>
      </c>
      <c r="O37" s="18">
        <f t="shared" si="14"/>
        <v>5.8233333333333235</v>
      </c>
      <c r="P37" s="136"/>
      <c r="Q37" s="131">
        <v>239.12</v>
      </c>
      <c r="R37" s="131">
        <v>217.73</v>
      </c>
      <c r="S37" s="18">
        <f t="shared" si="15"/>
        <v>5.3475000000000037</v>
      </c>
      <c r="T37" s="136"/>
      <c r="U37" s="131">
        <v>217.73</v>
      </c>
      <c r="V37" s="131">
        <v>205.5</v>
      </c>
      <c r="W37" s="18">
        <f t="shared" si="16"/>
        <v>4.0766666666666636</v>
      </c>
      <c r="X37" s="136"/>
      <c r="Y37" s="131">
        <v>205.5</v>
      </c>
      <c r="Z37" s="131">
        <v>183.51</v>
      </c>
      <c r="AA37" s="18">
        <f t="shared" si="17"/>
        <v>5.4975000000000023</v>
      </c>
      <c r="AB37" s="136"/>
      <c r="AC37" s="131">
        <v>232.11</v>
      </c>
      <c r="AD37" s="131">
        <v>216.39</v>
      </c>
      <c r="AE37" s="18">
        <f t="shared" si="18"/>
        <v>5.2400000000000091</v>
      </c>
      <c r="AF37" s="136"/>
      <c r="AG37" s="131">
        <v>216.39</v>
      </c>
      <c r="AH37" s="131">
        <v>199.7</v>
      </c>
      <c r="AI37" s="18">
        <f t="shared" si="19"/>
        <v>4.1724999999999994</v>
      </c>
      <c r="AJ37" s="136"/>
      <c r="AK37" s="131">
        <v>225.87</v>
      </c>
      <c r="AL37" s="131">
        <v>211.75</v>
      </c>
      <c r="AM37" s="18">
        <f t="shared" si="20"/>
        <v>4.7066666666666679</v>
      </c>
      <c r="AN37" s="136"/>
      <c r="AO37" s="131">
        <v>321.55</v>
      </c>
      <c r="AP37" s="131">
        <v>307.61</v>
      </c>
      <c r="AQ37" s="18">
        <f t="shared" si="21"/>
        <v>6.9699999999999989</v>
      </c>
      <c r="AR37" s="136"/>
      <c r="AS37" s="131">
        <v>307.61</v>
      </c>
      <c r="AT37" s="131">
        <v>291.60000000000002</v>
      </c>
      <c r="AU37" s="18">
        <f t="shared" si="22"/>
        <v>4.0024999999999977</v>
      </c>
      <c r="AV37" s="136"/>
      <c r="AW37" s="136"/>
      <c r="AX37" s="136" t="s">
        <v>242</v>
      </c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</row>
    <row r="38" spans="1:61" ht="16">
      <c r="A38" s="15">
        <v>31</v>
      </c>
      <c r="B38" s="15" t="s">
        <v>46</v>
      </c>
      <c r="C38" s="15" t="s">
        <v>50</v>
      </c>
      <c r="D38" s="15" t="s">
        <v>48</v>
      </c>
      <c r="E38" s="131">
        <v>341.46</v>
      </c>
      <c r="F38" s="131">
        <v>322.79000000000002</v>
      </c>
      <c r="G38" s="18">
        <f t="shared" si="12"/>
        <v>6.2233333333333194</v>
      </c>
      <c r="H38" s="136"/>
      <c r="I38" s="131">
        <v>322.79000000000002</v>
      </c>
      <c r="J38" s="131">
        <v>305.52999999999997</v>
      </c>
      <c r="K38" s="18">
        <f t="shared" si="13"/>
        <v>4.3150000000000119</v>
      </c>
      <c r="L38" s="136"/>
      <c r="M38" s="131">
        <v>305.52999999999997</v>
      </c>
      <c r="N38" s="131">
        <v>294.55</v>
      </c>
      <c r="O38" s="18">
        <f t="shared" si="14"/>
        <v>3.6599999999999873</v>
      </c>
      <c r="P38" s="136"/>
      <c r="Q38" s="131">
        <v>294.55</v>
      </c>
      <c r="R38" s="131">
        <v>279.36</v>
      </c>
      <c r="S38" s="18">
        <f t="shared" si="15"/>
        <v>3.7974999999999994</v>
      </c>
      <c r="T38" s="136"/>
      <c r="U38" s="131">
        <v>279.36</v>
      </c>
      <c r="V38" s="131">
        <v>270.14</v>
      </c>
      <c r="W38" s="18">
        <f t="shared" si="16"/>
        <v>3.0733333333333426</v>
      </c>
      <c r="X38" s="136"/>
      <c r="Y38" s="131">
        <v>270.14</v>
      </c>
      <c r="Z38" s="131">
        <v>250.72</v>
      </c>
      <c r="AA38" s="18">
        <f t="shared" si="17"/>
        <v>4.8549999999999969</v>
      </c>
      <c r="AB38" s="136"/>
      <c r="AC38" s="131">
        <v>250.72</v>
      </c>
      <c r="AD38" s="131">
        <v>238.9</v>
      </c>
      <c r="AE38" s="18">
        <f t="shared" si="18"/>
        <v>3.9399999999999977</v>
      </c>
      <c r="AF38" s="136"/>
      <c r="AG38" s="131">
        <v>238.9</v>
      </c>
      <c r="AH38" s="131">
        <v>226.13</v>
      </c>
      <c r="AI38" s="18">
        <f t="shared" si="19"/>
        <v>3.1925000000000026</v>
      </c>
      <c r="AJ38" s="136"/>
      <c r="AK38" s="131">
        <v>226.13</v>
      </c>
      <c r="AL38" s="131">
        <v>215.08</v>
      </c>
      <c r="AM38" s="18">
        <f t="shared" si="20"/>
        <v>3.6833333333333278</v>
      </c>
      <c r="AN38" s="136"/>
      <c r="AO38" s="131">
        <v>302.5</v>
      </c>
      <c r="AP38" s="131">
        <v>288.54000000000002</v>
      </c>
      <c r="AQ38" s="18">
        <f t="shared" si="21"/>
        <v>6.9799999999999898</v>
      </c>
      <c r="AR38" s="136"/>
      <c r="AS38" s="131">
        <v>288.54000000000002</v>
      </c>
      <c r="AT38" s="131">
        <v>275</v>
      </c>
      <c r="AU38" s="18">
        <f t="shared" si="22"/>
        <v>3.3850000000000051</v>
      </c>
      <c r="AV38" s="136"/>
      <c r="AW38" s="136"/>
      <c r="AX38" s="136" t="s">
        <v>243</v>
      </c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</row>
    <row r="39" spans="1:61" ht="16">
      <c r="A39" s="22">
        <v>32</v>
      </c>
      <c r="B39" s="22" t="s">
        <v>46</v>
      </c>
      <c r="C39" s="22" t="s">
        <v>50</v>
      </c>
      <c r="D39" s="22" t="s">
        <v>49</v>
      </c>
      <c r="E39" s="132">
        <v>285.39999999999998</v>
      </c>
      <c r="F39" s="132">
        <v>270.52999999999997</v>
      </c>
      <c r="G39" s="25">
        <f t="shared" si="12"/>
        <v>4.9566666666666679</v>
      </c>
      <c r="H39" s="142"/>
      <c r="I39" s="132">
        <v>270.52999999999997</v>
      </c>
      <c r="J39" s="132">
        <v>254.05</v>
      </c>
      <c r="K39" s="25">
        <f t="shared" si="13"/>
        <v>4.1199999999999903</v>
      </c>
      <c r="L39" s="142"/>
      <c r="M39" s="132">
        <v>254.05</v>
      </c>
      <c r="N39" s="132">
        <v>243.71</v>
      </c>
      <c r="O39" s="25">
        <f t="shared" si="14"/>
        <v>3.4466666666666677</v>
      </c>
      <c r="P39" s="142"/>
      <c r="Q39" s="132">
        <v>243.71</v>
      </c>
      <c r="R39" s="132">
        <v>228.79</v>
      </c>
      <c r="S39" s="25">
        <f t="shared" si="15"/>
        <v>3.730000000000004</v>
      </c>
      <c r="T39" s="142"/>
      <c r="U39" s="132">
        <v>228.79</v>
      </c>
      <c r="V39" s="132">
        <v>220.65</v>
      </c>
      <c r="W39" s="25">
        <f t="shared" si="16"/>
        <v>2.7133333333333289</v>
      </c>
      <c r="X39" s="142"/>
      <c r="Y39" s="132">
        <v>220.65</v>
      </c>
      <c r="Z39" s="132">
        <v>209.25</v>
      </c>
      <c r="AA39" s="25">
        <f t="shared" si="17"/>
        <v>2.8500000000000014</v>
      </c>
      <c r="AB39" s="142"/>
      <c r="AC39" s="132">
        <v>209.25</v>
      </c>
      <c r="AD39" s="132">
        <v>198.12</v>
      </c>
      <c r="AE39" s="25">
        <f t="shared" si="18"/>
        <v>3.7099999999999986</v>
      </c>
      <c r="AF39" s="142"/>
      <c r="AG39" s="132">
        <v>198.12</v>
      </c>
      <c r="AH39" s="132">
        <v>186.08</v>
      </c>
      <c r="AI39" s="25">
        <f t="shared" si="19"/>
        <v>3.009999999999998</v>
      </c>
      <c r="AJ39" s="142"/>
      <c r="AK39" s="132">
        <v>223.69</v>
      </c>
      <c r="AL39" s="132">
        <v>212.44</v>
      </c>
      <c r="AM39" s="25">
        <f t="shared" si="20"/>
        <v>3.75</v>
      </c>
      <c r="AN39" s="142"/>
      <c r="AO39" s="132">
        <v>308</v>
      </c>
      <c r="AP39" s="132">
        <v>294.33</v>
      </c>
      <c r="AQ39" s="25">
        <f t="shared" si="21"/>
        <v>6.835000000000008</v>
      </c>
      <c r="AR39" s="142"/>
      <c r="AS39" s="132">
        <v>294.33</v>
      </c>
      <c r="AT39" s="132">
        <v>281.60000000000002</v>
      </c>
      <c r="AU39" s="25">
        <f t="shared" si="22"/>
        <v>3.1824999999999903</v>
      </c>
      <c r="AV39" s="142"/>
      <c r="AW39" s="142"/>
      <c r="AX39" s="142" t="s">
        <v>244</v>
      </c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</row>
    <row r="40" spans="1:61" ht="16">
      <c r="A40" s="15">
        <v>33</v>
      </c>
      <c r="B40" s="15" t="s">
        <v>46</v>
      </c>
      <c r="C40" s="15" t="s">
        <v>50</v>
      </c>
      <c r="D40" s="15" t="s">
        <v>48</v>
      </c>
      <c r="E40" s="131">
        <v>294.42</v>
      </c>
      <c r="F40" s="131">
        <v>276.17</v>
      </c>
      <c r="G40" s="18">
        <f t="shared" si="12"/>
        <v>6.083333333333333</v>
      </c>
      <c r="H40" s="136"/>
      <c r="I40" s="131">
        <v>276.17</v>
      </c>
      <c r="J40" s="131">
        <v>256.99</v>
      </c>
      <c r="K40" s="18">
        <f t="shared" si="13"/>
        <v>4.7950000000000017</v>
      </c>
      <c r="L40" s="136"/>
      <c r="M40" s="131">
        <v>256.99</v>
      </c>
      <c r="N40" s="131">
        <v>243.76</v>
      </c>
      <c r="O40" s="18">
        <f t="shared" si="14"/>
        <v>4.4100000000000064</v>
      </c>
      <c r="P40" s="136"/>
      <c r="Q40" s="131">
        <v>243.76</v>
      </c>
      <c r="R40" s="131">
        <v>225.89</v>
      </c>
      <c r="S40" s="18">
        <f t="shared" si="15"/>
        <v>4.4675000000000011</v>
      </c>
      <c r="T40" s="136"/>
      <c r="U40" s="131">
        <v>225.89</v>
      </c>
      <c r="V40" s="131">
        <v>215.36</v>
      </c>
      <c r="W40" s="18">
        <f t="shared" si="16"/>
        <v>3.5099999999999909</v>
      </c>
      <c r="X40" s="136"/>
      <c r="Y40" s="131">
        <v>215.36</v>
      </c>
      <c r="Z40" s="131">
        <v>185.4</v>
      </c>
      <c r="AA40" s="18">
        <f t="shared" si="17"/>
        <v>7.490000000000002</v>
      </c>
      <c r="AB40" s="136"/>
      <c r="AC40" s="131">
        <v>219.64</v>
      </c>
      <c r="AD40" s="131">
        <v>204.37</v>
      </c>
      <c r="AE40" s="18">
        <f t="shared" si="18"/>
        <v>5.0899999999999936</v>
      </c>
      <c r="AF40" s="136"/>
      <c r="AG40" s="131">
        <v>204.37</v>
      </c>
      <c r="AH40" s="131">
        <v>190.58</v>
      </c>
      <c r="AI40" s="18">
        <f t="shared" si="19"/>
        <v>3.447499999999998</v>
      </c>
      <c r="AJ40" s="136"/>
      <c r="AK40" s="131">
        <v>232.59</v>
      </c>
      <c r="AL40" s="131">
        <v>217.68</v>
      </c>
      <c r="AM40" s="18">
        <f t="shared" si="20"/>
        <v>4.9699999999999989</v>
      </c>
      <c r="AN40" s="136"/>
      <c r="AO40" s="131">
        <v>293.86</v>
      </c>
      <c r="AP40" s="131">
        <v>277.95</v>
      </c>
      <c r="AQ40" s="18">
        <f t="shared" si="21"/>
        <v>7.9550000000000125</v>
      </c>
      <c r="AR40" s="136"/>
      <c r="AS40" s="131">
        <v>277.95</v>
      </c>
      <c r="AT40" s="131">
        <v>259</v>
      </c>
      <c r="AU40" s="18">
        <f t="shared" si="22"/>
        <v>4.7374999999999972</v>
      </c>
      <c r="AV40" s="136"/>
      <c r="AW40" s="136"/>
      <c r="AX40" s="136" t="s">
        <v>245</v>
      </c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</row>
    <row r="41" spans="1:61" ht="16">
      <c r="A41" s="22">
        <v>34</v>
      </c>
      <c r="B41" s="22" t="s">
        <v>46</v>
      </c>
      <c r="C41" s="22" t="s">
        <v>50</v>
      </c>
      <c r="D41" s="22" t="s">
        <v>49</v>
      </c>
      <c r="E41" s="132">
        <v>309.18</v>
      </c>
      <c r="F41" s="132">
        <v>289.64999999999998</v>
      </c>
      <c r="G41" s="25">
        <f t="shared" si="12"/>
        <v>6.5100000000000096</v>
      </c>
      <c r="H41" s="142"/>
      <c r="I41" s="132">
        <v>289.64999999999998</v>
      </c>
      <c r="J41" s="132">
        <v>266.72000000000003</v>
      </c>
      <c r="K41" s="25">
        <f t="shared" si="13"/>
        <v>5.7324999999999875</v>
      </c>
      <c r="L41" s="142"/>
      <c r="M41" s="132">
        <v>266.72000000000003</v>
      </c>
      <c r="N41" s="132">
        <v>250.85</v>
      </c>
      <c r="O41" s="25">
        <f t="shared" si="14"/>
        <v>5.2900000000000107</v>
      </c>
      <c r="P41" s="142"/>
      <c r="Q41" s="132">
        <v>250.85</v>
      </c>
      <c r="R41" s="132">
        <v>231.47</v>
      </c>
      <c r="S41" s="25">
        <f t="shared" si="15"/>
        <v>4.8449999999999989</v>
      </c>
      <c r="T41" s="142"/>
      <c r="U41" s="132">
        <v>231.47</v>
      </c>
      <c r="V41" s="132">
        <v>220.26</v>
      </c>
      <c r="W41" s="25">
        <f t="shared" si="16"/>
        <v>3.7366666666666695</v>
      </c>
      <c r="X41" s="142"/>
      <c r="Y41" s="132">
        <v>220.26</v>
      </c>
      <c r="Z41" s="132">
        <v>205.68</v>
      </c>
      <c r="AA41" s="25">
        <f t="shared" si="17"/>
        <v>3.644999999999996</v>
      </c>
      <c r="AB41" s="142"/>
      <c r="AC41" s="132">
        <v>205.68</v>
      </c>
      <c r="AD41" s="132">
        <v>191.14</v>
      </c>
      <c r="AE41" s="25">
        <f t="shared" si="18"/>
        <v>4.8466666666666738</v>
      </c>
      <c r="AF41" s="142"/>
      <c r="AG41" s="132">
        <v>191.14</v>
      </c>
      <c r="AH41" s="132">
        <v>176.57</v>
      </c>
      <c r="AI41" s="25">
        <f t="shared" si="19"/>
        <v>3.6424999999999983</v>
      </c>
      <c r="AJ41" s="142"/>
      <c r="AK41" s="132">
        <v>228.78</v>
      </c>
      <c r="AL41" s="132">
        <v>214.17</v>
      </c>
      <c r="AM41" s="25">
        <f t="shared" si="20"/>
        <v>4.8700000000000045</v>
      </c>
      <c r="AN41" s="142"/>
      <c r="AO41" s="132">
        <v>318.33999999999997</v>
      </c>
      <c r="AP41" s="132">
        <v>302.92</v>
      </c>
      <c r="AQ41" s="25">
        <f t="shared" si="21"/>
        <v>7.7099999999999795</v>
      </c>
      <c r="AR41" s="142"/>
      <c r="AS41" s="132">
        <v>302.92</v>
      </c>
      <c r="AT41" s="132">
        <v>284.60000000000002</v>
      </c>
      <c r="AU41" s="25">
        <f t="shared" si="22"/>
        <v>4.5799999999999983</v>
      </c>
      <c r="AV41" s="142"/>
      <c r="AW41" s="142"/>
      <c r="AX41" s="142" t="s">
        <v>246</v>
      </c>
      <c r="AY41" s="142"/>
      <c r="AZ41" s="142"/>
      <c r="BA41" s="142"/>
      <c r="BB41" s="142"/>
      <c r="BC41" s="142"/>
      <c r="BD41" s="142"/>
      <c r="BE41" s="142"/>
      <c r="BF41" s="142"/>
      <c r="BG41" s="142"/>
      <c r="BH41" s="142"/>
      <c r="BI41" s="142"/>
    </row>
    <row r="42" spans="1:61" ht="16">
      <c r="A42" s="15">
        <v>35</v>
      </c>
      <c r="B42" s="15" t="s">
        <v>46</v>
      </c>
      <c r="C42" s="15" t="s">
        <v>50</v>
      </c>
      <c r="D42" s="15" t="s">
        <v>48</v>
      </c>
      <c r="E42" s="131">
        <v>311.3</v>
      </c>
      <c r="F42" s="131">
        <v>290.85000000000002</v>
      </c>
      <c r="G42" s="18">
        <f t="shared" si="12"/>
        <v>6.8166666666666629</v>
      </c>
      <c r="H42" s="136"/>
      <c r="I42" s="131">
        <v>290.85000000000002</v>
      </c>
      <c r="J42" s="131">
        <v>271.23</v>
      </c>
      <c r="K42" s="18">
        <f t="shared" si="13"/>
        <v>4.9050000000000011</v>
      </c>
      <c r="L42" s="136"/>
      <c r="M42" s="131">
        <v>271.23</v>
      </c>
      <c r="N42" s="131">
        <v>258.06</v>
      </c>
      <c r="O42" s="18">
        <f t="shared" si="14"/>
        <v>4.390000000000005</v>
      </c>
      <c r="P42" s="136"/>
      <c r="Q42" s="131">
        <v>258.06</v>
      </c>
      <c r="R42" s="131">
        <v>240.81</v>
      </c>
      <c r="S42" s="18">
        <f t="shared" si="15"/>
        <v>4.3125</v>
      </c>
      <c r="T42" s="136"/>
      <c r="U42" s="131">
        <v>240.81</v>
      </c>
      <c r="V42" s="131">
        <v>227.2</v>
      </c>
      <c r="W42" s="18">
        <f t="shared" si="16"/>
        <v>4.5366666666666715</v>
      </c>
      <c r="X42" s="136"/>
      <c r="Y42" s="131">
        <v>227.2</v>
      </c>
      <c r="Z42" s="131">
        <v>211.41</v>
      </c>
      <c r="AA42" s="18">
        <f t="shared" si="17"/>
        <v>3.947499999999998</v>
      </c>
      <c r="AB42" s="136"/>
      <c r="AC42" s="131">
        <v>211.41</v>
      </c>
      <c r="AD42" s="131">
        <v>198.44</v>
      </c>
      <c r="AE42" s="18">
        <f t="shared" si="18"/>
        <v>4.3233333333333333</v>
      </c>
      <c r="AF42" s="136"/>
      <c r="AG42" s="131">
        <v>198.44</v>
      </c>
      <c r="AH42" s="131">
        <v>183.52</v>
      </c>
      <c r="AI42" s="18">
        <f t="shared" si="19"/>
        <v>3.7299999999999969</v>
      </c>
      <c r="AJ42" s="136"/>
      <c r="AK42" s="131">
        <v>225.4</v>
      </c>
      <c r="AL42" s="131">
        <v>211.85</v>
      </c>
      <c r="AM42" s="18">
        <f t="shared" si="20"/>
        <v>4.5166666666666702</v>
      </c>
      <c r="AN42" s="136"/>
      <c r="AO42" s="131">
        <v>302.05</v>
      </c>
      <c r="AP42" s="131">
        <v>288.98</v>
      </c>
      <c r="AQ42" s="18">
        <f t="shared" si="21"/>
        <v>6.5349999999999966</v>
      </c>
      <c r="AR42" s="136"/>
      <c r="AS42" s="131">
        <v>288.98</v>
      </c>
      <c r="AT42" s="131">
        <v>273.8</v>
      </c>
      <c r="AU42" s="18">
        <f t="shared" si="22"/>
        <v>3.7950000000000017</v>
      </c>
      <c r="AV42" s="136"/>
      <c r="AW42" s="136"/>
      <c r="AX42" s="136" t="s">
        <v>247</v>
      </c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</row>
    <row r="43" spans="1:61" ht="16">
      <c r="A43" s="22">
        <v>36</v>
      </c>
      <c r="B43" s="22" t="s">
        <v>46</v>
      </c>
      <c r="C43" s="22" t="s">
        <v>50</v>
      </c>
      <c r="D43" s="22" t="s">
        <v>49</v>
      </c>
      <c r="E43" s="132">
        <v>302.69</v>
      </c>
      <c r="F43" s="132">
        <v>281.29000000000002</v>
      </c>
      <c r="G43" s="25">
        <f t="shared" si="12"/>
        <v>7.1333333333333258</v>
      </c>
      <c r="H43" s="142"/>
      <c r="I43" s="132">
        <v>281.29000000000002</v>
      </c>
      <c r="J43" s="132">
        <v>260.29000000000002</v>
      </c>
      <c r="K43" s="25">
        <f t="shared" si="13"/>
        <v>5.25</v>
      </c>
      <c r="L43" s="142"/>
      <c r="M43" s="132">
        <v>260.29000000000002</v>
      </c>
      <c r="N43" s="132">
        <v>247.15</v>
      </c>
      <c r="O43" s="25">
        <f t="shared" si="14"/>
        <v>4.3800000000000052</v>
      </c>
      <c r="P43" s="142"/>
      <c r="Q43" s="132">
        <v>247.15</v>
      </c>
      <c r="R43" s="132">
        <v>228.87</v>
      </c>
      <c r="S43" s="25">
        <f t="shared" si="15"/>
        <v>4.57</v>
      </c>
      <c r="T43" s="142"/>
      <c r="U43" s="132">
        <v>228.87</v>
      </c>
      <c r="V43" s="132">
        <v>218.61</v>
      </c>
      <c r="W43" s="25">
        <f t="shared" si="16"/>
        <v>3.4199999999999968</v>
      </c>
      <c r="X43" s="142"/>
      <c r="Y43" s="132">
        <v>218.61</v>
      </c>
      <c r="Z43" s="132">
        <v>204.05</v>
      </c>
      <c r="AA43" s="25">
        <f t="shared" si="17"/>
        <v>3.6400000000000006</v>
      </c>
      <c r="AB43" s="142"/>
      <c r="AC43" s="132">
        <v>204.05</v>
      </c>
      <c r="AD43" s="132">
        <v>191.35</v>
      </c>
      <c r="AE43" s="25">
        <f t="shared" si="18"/>
        <v>4.2333333333333387</v>
      </c>
      <c r="AF43" s="142"/>
      <c r="AG43" s="132">
        <v>191.35</v>
      </c>
      <c r="AH43" s="132">
        <v>177.73</v>
      </c>
      <c r="AI43" s="25">
        <f t="shared" si="19"/>
        <v>3.4050000000000011</v>
      </c>
      <c r="AJ43" s="142"/>
      <c r="AK43" s="132">
        <v>229.86</v>
      </c>
      <c r="AL43" s="132">
        <v>215.21</v>
      </c>
      <c r="AM43" s="25">
        <f t="shared" si="20"/>
        <v>4.8833333333333355</v>
      </c>
      <c r="AN43" s="142"/>
      <c r="AO43" s="132">
        <v>327.78</v>
      </c>
      <c r="AP43" s="132">
        <v>310.29000000000002</v>
      </c>
      <c r="AQ43" s="25">
        <f t="shared" si="21"/>
        <v>8.7449999999999761</v>
      </c>
      <c r="AR43" s="142"/>
      <c r="AS43" s="132">
        <v>310.29000000000002</v>
      </c>
      <c r="AT43" s="142">
        <v>292.89999999999998</v>
      </c>
      <c r="AU43" s="25">
        <f t="shared" si="22"/>
        <v>4.3475000000000108</v>
      </c>
      <c r="AV43" s="142"/>
      <c r="AW43" s="142"/>
      <c r="AX43" s="142" t="s">
        <v>248</v>
      </c>
      <c r="AY43" s="142"/>
      <c r="AZ43" s="142"/>
      <c r="BA43" s="142"/>
      <c r="BB43" s="142"/>
      <c r="BC43" s="142"/>
      <c r="BD43" s="142"/>
      <c r="BE43" s="142"/>
      <c r="BF43" s="142"/>
      <c r="BG43" s="142"/>
      <c r="BH43" s="142"/>
      <c r="BI43" s="142"/>
    </row>
    <row r="44" spans="1:61" ht="16">
      <c r="A44" s="15">
        <v>37</v>
      </c>
      <c r="B44" s="15" t="s">
        <v>51</v>
      </c>
      <c r="C44" s="15" t="s">
        <v>47</v>
      </c>
      <c r="D44" s="15" t="s">
        <v>48</v>
      </c>
      <c r="E44" s="131">
        <v>290.22000000000003</v>
      </c>
      <c r="F44" s="131">
        <v>263</v>
      </c>
      <c r="G44" s="18">
        <f t="shared" si="12"/>
        <v>9.073333333333343</v>
      </c>
      <c r="H44" s="136"/>
      <c r="I44" s="131">
        <v>263</v>
      </c>
      <c r="J44" s="131">
        <v>236.52</v>
      </c>
      <c r="K44" s="18">
        <f t="shared" si="13"/>
        <v>6.6199999999999974</v>
      </c>
      <c r="L44" s="136"/>
      <c r="M44" s="131">
        <v>236.52</v>
      </c>
      <c r="N44" s="131">
        <v>219.32</v>
      </c>
      <c r="O44" s="18">
        <f t="shared" si="14"/>
        <v>5.7333333333333387</v>
      </c>
      <c r="P44" s="136"/>
      <c r="Q44" s="131">
        <v>219.32</v>
      </c>
      <c r="R44" s="131">
        <v>193.2</v>
      </c>
      <c r="S44" s="18">
        <f t="shared" si="15"/>
        <v>6.5300000000000011</v>
      </c>
      <c r="T44" s="136"/>
      <c r="U44" s="131">
        <v>251.21</v>
      </c>
      <c r="V44" s="131">
        <v>232.9</v>
      </c>
      <c r="W44" s="18">
        <f t="shared" si="16"/>
        <v>6.1033333333333344</v>
      </c>
      <c r="X44" s="136"/>
      <c r="Y44" s="131">
        <v>232.9</v>
      </c>
      <c r="Z44" s="131">
        <v>186.55</v>
      </c>
      <c r="AA44" s="18">
        <f t="shared" si="17"/>
        <v>11.587499999999999</v>
      </c>
      <c r="AB44" s="136"/>
      <c r="AC44" s="131">
        <v>220.02</v>
      </c>
      <c r="AD44" s="131">
        <v>199.1</v>
      </c>
      <c r="AE44" s="18">
        <f t="shared" si="18"/>
        <v>6.9733333333333389</v>
      </c>
      <c r="AF44" s="136"/>
      <c r="AG44" s="131">
        <v>199.1</v>
      </c>
      <c r="AH44" s="131">
        <v>168.33</v>
      </c>
      <c r="AI44" s="18">
        <f t="shared" si="19"/>
        <v>7.6924999999999955</v>
      </c>
      <c r="AJ44" s="136"/>
      <c r="AK44" s="131">
        <v>273.60000000000002</v>
      </c>
      <c r="AL44" s="131">
        <v>248.71</v>
      </c>
      <c r="AM44" s="18">
        <f t="shared" si="20"/>
        <v>8.2966666666666722</v>
      </c>
      <c r="AN44" s="136"/>
      <c r="AO44" s="131">
        <v>248.71</v>
      </c>
      <c r="AP44" s="131">
        <v>230.5</v>
      </c>
      <c r="AQ44" s="18">
        <f t="shared" si="21"/>
        <v>9.105000000000004</v>
      </c>
      <c r="AR44" s="136"/>
      <c r="AS44" s="131">
        <v>356.04</v>
      </c>
      <c r="AT44" s="131">
        <v>297.39999999999998</v>
      </c>
      <c r="AU44" s="18">
        <f t="shared" ref="AU44:AU55" si="23">(AS44-AT44)/5</f>
        <v>11.728000000000009</v>
      </c>
      <c r="AV44" s="136"/>
      <c r="AW44" s="136"/>
      <c r="AX44" s="136">
        <v>297.39999999999998</v>
      </c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</row>
    <row r="45" spans="1:61" ht="16">
      <c r="A45" s="22">
        <v>38</v>
      </c>
      <c r="B45" s="22" t="s">
        <v>51</v>
      </c>
      <c r="C45" s="22" t="s">
        <v>47</v>
      </c>
      <c r="D45" s="22" t="s">
        <v>49</v>
      </c>
      <c r="E45" s="132">
        <v>318.64999999999998</v>
      </c>
      <c r="F45" s="132">
        <v>289.11</v>
      </c>
      <c r="G45" s="25">
        <f t="shared" si="12"/>
        <v>9.8466666666666551</v>
      </c>
      <c r="H45" s="142"/>
      <c r="I45" s="132">
        <v>289.11</v>
      </c>
      <c r="J45" s="132">
        <v>254.3</v>
      </c>
      <c r="K45" s="25">
        <f t="shared" si="13"/>
        <v>8.7025000000000006</v>
      </c>
      <c r="L45" s="142"/>
      <c r="M45" s="132">
        <v>254.3</v>
      </c>
      <c r="N45" s="132">
        <v>229.79</v>
      </c>
      <c r="O45" s="25">
        <f t="shared" si="14"/>
        <v>8.170000000000007</v>
      </c>
      <c r="P45" s="142"/>
      <c r="Q45" s="132">
        <v>229.79</v>
      </c>
      <c r="R45" s="132">
        <v>191.07</v>
      </c>
      <c r="S45" s="25">
        <f t="shared" si="15"/>
        <v>9.68</v>
      </c>
      <c r="T45" s="142"/>
      <c r="U45" s="132">
        <v>264.42</v>
      </c>
      <c r="V45" s="132">
        <v>237.2</v>
      </c>
      <c r="W45" s="25">
        <f t="shared" si="16"/>
        <v>9.073333333333343</v>
      </c>
      <c r="X45" s="142"/>
      <c r="Y45" s="132">
        <v>237.2</v>
      </c>
      <c r="Z45" s="132">
        <v>180.26</v>
      </c>
      <c r="AA45" s="25">
        <f t="shared" si="17"/>
        <v>14.234999999999999</v>
      </c>
      <c r="AB45" s="142"/>
      <c r="AC45" s="132">
        <v>307.08999999999997</v>
      </c>
      <c r="AD45" s="132">
        <v>265</v>
      </c>
      <c r="AE45" s="25">
        <f t="shared" si="18"/>
        <v>14.029999999999992</v>
      </c>
      <c r="AF45" s="142"/>
      <c r="AG45" s="132">
        <v>265</v>
      </c>
      <c r="AH45" s="132">
        <v>213.65</v>
      </c>
      <c r="AI45" s="25">
        <f t="shared" si="19"/>
        <v>12.837499999999999</v>
      </c>
      <c r="AJ45" s="142"/>
      <c r="AK45" s="132">
        <v>253.48</v>
      </c>
      <c r="AL45" s="132">
        <v>215.45</v>
      </c>
      <c r="AM45" s="25">
        <f t="shared" si="20"/>
        <v>12.676666666666668</v>
      </c>
      <c r="AN45" s="142"/>
      <c r="AO45" s="132">
        <v>215.45</v>
      </c>
      <c r="AP45" s="132">
        <v>187.98</v>
      </c>
      <c r="AQ45" s="25">
        <f t="shared" si="21"/>
        <v>13.734999999999999</v>
      </c>
      <c r="AR45" s="142"/>
      <c r="AS45" s="132">
        <v>314.87</v>
      </c>
      <c r="AT45" s="132">
        <v>239</v>
      </c>
      <c r="AU45" s="25">
        <f t="shared" si="23"/>
        <v>15.174000000000001</v>
      </c>
      <c r="AV45" s="142"/>
      <c r="AW45" s="142"/>
      <c r="AX45" s="142">
        <v>239</v>
      </c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</row>
    <row r="46" spans="1:61" ht="16">
      <c r="A46" s="15">
        <v>39</v>
      </c>
      <c r="B46" s="15" t="s">
        <v>51</v>
      </c>
      <c r="C46" s="15" t="s">
        <v>47</v>
      </c>
      <c r="D46" s="15" t="s">
        <v>48</v>
      </c>
      <c r="E46" s="131">
        <v>282.93</v>
      </c>
      <c r="F46" s="131">
        <v>262.62</v>
      </c>
      <c r="G46" s="18">
        <f t="shared" si="12"/>
        <v>6.7700000000000005</v>
      </c>
      <c r="H46" s="136"/>
      <c r="I46" s="131">
        <v>262.62</v>
      </c>
      <c r="J46" s="131">
        <v>232.14</v>
      </c>
      <c r="K46" s="18">
        <f t="shared" si="13"/>
        <v>7.6200000000000045</v>
      </c>
      <c r="L46" s="136"/>
      <c r="M46" s="131">
        <v>232.14</v>
      </c>
      <c r="N46" s="131">
        <v>208.87</v>
      </c>
      <c r="O46" s="18">
        <f t="shared" si="14"/>
        <v>7.7566666666666606</v>
      </c>
      <c r="P46" s="136"/>
      <c r="Q46" s="131">
        <v>208.87</v>
      </c>
      <c r="R46" s="131">
        <v>176.78</v>
      </c>
      <c r="S46" s="18">
        <f t="shared" si="15"/>
        <v>8.0225000000000009</v>
      </c>
      <c r="T46" s="136"/>
      <c r="U46" s="131">
        <v>228.26</v>
      </c>
      <c r="V46" s="131">
        <v>203.91</v>
      </c>
      <c r="W46" s="18">
        <f t="shared" si="16"/>
        <v>8.1166666666666654</v>
      </c>
      <c r="X46" s="136"/>
      <c r="Y46" s="131">
        <v>203.91</v>
      </c>
      <c r="Z46" s="131">
        <v>158.77000000000001</v>
      </c>
      <c r="AA46" s="18">
        <f t="shared" si="17"/>
        <v>11.284999999999997</v>
      </c>
      <c r="AB46" s="136"/>
      <c r="AC46" s="131">
        <v>242.38</v>
      </c>
      <c r="AD46" s="131">
        <v>208.24</v>
      </c>
      <c r="AE46" s="18">
        <f t="shared" si="18"/>
        <v>11.379999999999995</v>
      </c>
      <c r="AF46" s="136"/>
      <c r="AG46" s="131">
        <v>208.24</v>
      </c>
      <c r="AH46" s="131">
        <v>166.26</v>
      </c>
      <c r="AI46" s="18">
        <f t="shared" si="19"/>
        <v>10.495000000000005</v>
      </c>
      <c r="AJ46" s="136"/>
      <c r="AK46" s="131">
        <v>244.04</v>
      </c>
      <c r="AL46" s="131">
        <v>214.74</v>
      </c>
      <c r="AM46" s="18">
        <f t="shared" si="20"/>
        <v>9.7666666666666604</v>
      </c>
      <c r="AN46" s="136"/>
      <c r="AO46" s="131">
        <v>214.74</v>
      </c>
      <c r="AP46" s="131">
        <v>182.61</v>
      </c>
      <c r="AQ46" s="18">
        <f t="shared" si="21"/>
        <v>16.064999999999998</v>
      </c>
      <c r="AR46" s="136"/>
      <c r="AS46" s="131">
        <v>345.51</v>
      </c>
      <c r="AT46" s="131">
        <v>282.5</v>
      </c>
      <c r="AU46" s="18">
        <f t="shared" si="23"/>
        <v>12.601999999999999</v>
      </c>
      <c r="AV46" s="136"/>
      <c r="AW46" s="136"/>
      <c r="AX46" s="136">
        <v>282.5</v>
      </c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</row>
    <row r="47" spans="1:61" ht="16">
      <c r="A47" s="22">
        <v>40</v>
      </c>
      <c r="B47" s="22" t="s">
        <v>51</v>
      </c>
      <c r="C47" s="22" t="s">
        <v>47</v>
      </c>
      <c r="D47" s="22" t="s">
        <v>49</v>
      </c>
      <c r="E47" s="132">
        <v>340.57</v>
      </c>
      <c r="F47" s="132">
        <v>314.25</v>
      </c>
      <c r="G47" s="25">
        <f t="shared" si="12"/>
        <v>8.7733333333333317</v>
      </c>
      <c r="H47" s="142"/>
      <c r="I47" s="132">
        <v>314.25</v>
      </c>
      <c r="J47" s="146">
        <v>322.22000000000003</v>
      </c>
      <c r="K47" s="27">
        <f t="shared" si="13"/>
        <v>-1.9925000000000068</v>
      </c>
      <c r="L47" s="142"/>
      <c r="M47" s="132">
        <v>322.22000000000003</v>
      </c>
      <c r="N47" s="132">
        <v>295.94</v>
      </c>
      <c r="O47" s="25">
        <f t="shared" si="14"/>
        <v>8.7600000000000104</v>
      </c>
      <c r="P47" s="142"/>
      <c r="Q47" s="132">
        <v>295.94</v>
      </c>
      <c r="R47" s="147">
        <v>265.73</v>
      </c>
      <c r="S47" s="25">
        <f t="shared" si="15"/>
        <v>7.5524999999999949</v>
      </c>
      <c r="T47" s="142"/>
      <c r="U47" s="147">
        <v>265.73</v>
      </c>
      <c r="V47" s="132">
        <v>237.79</v>
      </c>
      <c r="W47" s="25">
        <f t="shared" si="16"/>
        <v>9.3133333333333415</v>
      </c>
      <c r="X47" s="142"/>
      <c r="Y47" s="132">
        <v>237.79</v>
      </c>
      <c r="Z47" s="147">
        <v>191.67</v>
      </c>
      <c r="AA47" s="25">
        <f t="shared" si="17"/>
        <v>11.530000000000001</v>
      </c>
      <c r="AB47" s="142"/>
      <c r="AC47" s="147">
        <v>254.83</v>
      </c>
      <c r="AD47" s="132">
        <v>221.84</v>
      </c>
      <c r="AE47" s="25">
        <f t="shared" si="18"/>
        <v>10.99666666666667</v>
      </c>
      <c r="AF47" s="142"/>
      <c r="AG47" s="132">
        <v>221.84</v>
      </c>
      <c r="AH47" s="147">
        <v>177.04</v>
      </c>
      <c r="AI47" s="25">
        <f t="shared" si="19"/>
        <v>11.200000000000003</v>
      </c>
      <c r="AJ47" s="142"/>
      <c r="AK47" s="147">
        <v>263.27999999999997</v>
      </c>
      <c r="AL47" s="132">
        <v>228.42</v>
      </c>
      <c r="AM47" s="25">
        <f t="shared" si="20"/>
        <v>11.619999999999996</v>
      </c>
      <c r="AN47" s="142"/>
      <c r="AO47" s="132">
        <v>228.42</v>
      </c>
      <c r="AP47" s="132">
        <v>205.19</v>
      </c>
      <c r="AQ47" s="25">
        <f t="shared" si="21"/>
        <v>11.614999999999995</v>
      </c>
      <c r="AR47" s="142"/>
      <c r="AS47" s="132">
        <v>288.45</v>
      </c>
      <c r="AT47" s="132">
        <v>222.8</v>
      </c>
      <c r="AU47" s="25">
        <f t="shared" si="23"/>
        <v>13.129999999999995</v>
      </c>
      <c r="AV47" s="142"/>
      <c r="AW47" s="142"/>
      <c r="AX47" s="142">
        <v>222.8</v>
      </c>
      <c r="AY47" s="142"/>
      <c r="AZ47" s="142"/>
      <c r="BA47" s="142"/>
      <c r="BB47" s="142"/>
      <c r="BC47" s="142"/>
      <c r="BD47" s="142"/>
      <c r="BE47" s="142"/>
      <c r="BF47" s="142"/>
      <c r="BG47" s="142"/>
      <c r="BH47" s="142"/>
      <c r="BI47" s="142"/>
    </row>
    <row r="48" spans="1:61" ht="16">
      <c r="A48" s="15">
        <v>41</v>
      </c>
      <c r="B48" s="15" t="s">
        <v>51</v>
      </c>
      <c r="C48" s="15" t="s">
        <v>47</v>
      </c>
      <c r="D48" s="15" t="s">
        <v>48</v>
      </c>
      <c r="E48" s="131">
        <v>380.86</v>
      </c>
      <c r="F48" s="131">
        <v>356</v>
      </c>
      <c r="G48" s="18">
        <f t="shared" si="12"/>
        <v>8.2866666666666706</v>
      </c>
      <c r="H48" s="136"/>
      <c r="I48" s="131">
        <v>356</v>
      </c>
      <c r="J48" s="131">
        <v>329.09</v>
      </c>
      <c r="K48" s="18">
        <f t="shared" si="13"/>
        <v>6.7275000000000063</v>
      </c>
      <c r="L48" s="136"/>
      <c r="M48" s="131">
        <v>329.09</v>
      </c>
      <c r="N48" s="131">
        <v>306.49</v>
      </c>
      <c r="O48" s="18">
        <f t="shared" si="14"/>
        <v>7.5333333333333217</v>
      </c>
      <c r="P48" s="136"/>
      <c r="Q48" s="131">
        <v>306.49</v>
      </c>
      <c r="R48" s="131">
        <v>269.22000000000003</v>
      </c>
      <c r="S48" s="18">
        <f t="shared" si="15"/>
        <v>9.3174999999999955</v>
      </c>
      <c r="T48" s="136"/>
      <c r="U48" s="131">
        <v>269.22000000000003</v>
      </c>
      <c r="V48" s="131">
        <v>242.97</v>
      </c>
      <c r="W48" s="18">
        <f t="shared" si="16"/>
        <v>8.7500000000000089</v>
      </c>
      <c r="X48" s="136"/>
      <c r="Y48" s="131">
        <v>242.97</v>
      </c>
      <c r="Z48" s="131">
        <v>185.63</v>
      </c>
      <c r="AA48" s="18">
        <f t="shared" si="17"/>
        <v>14.335000000000001</v>
      </c>
      <c r="AB48" s="136"/>
      <c r="AC48" s="131">
        <v>329.67</v>
      </c>
      <c r="AD48" s="131">
        <v>302.08</v>
      </c>
      <c r="AE48" s="18">
        <f t="shared" si="18"/>
        <v>9.1966666666666779</v>
      </c>
      <c r="AF48" s="136"/>
      <c r="AG48" s="131">
        <v>302.08</v>
      </c>
      <c r="AH48" s="131">
        <v>247.07</v>
      </c>
      <c r="AI48" s="18">
        <f t="shared" si="19"/>
        <v>13.752499999999998</v>
      </c>
      <c r="AJ48" s="136"/>
      <c r="AK48" s="131">
        <v>247.07</v>
      </c>
      <c r="AL48" s="131">
        <v>214</v>
      </c>
      <c r="AM48" s="18">
        <f t="shared" si="20"/>
        <v>11.023333333333332</v>
      </c>
      <c r="AN48" s="136"/>
      <c r="AO48" s="131">
        <v>214</v>
      </c>
      <c r="AP48" s="131">
        <v>188.23</v>
      </c>
      <c r="AQ48" s="18">
        <f t="shared" si="21"/>
        <v>12.885000000000005</v>
      </c>
      <c r="AR48" s="136"/>
      <c r="AS48" s="131">
        <v>274.58999999999997</v>
      </c>
      <c r="AT48" s="131">
        <v>198</v>
      </c>
      <c r="AU48" s="18">
        <f t="shared" si="23"/>
        <v>15.317999999999994</v>
      </c>
      <c r="AV48" s="136"/>
      <c r="AW48" s="136"/>
      <c r="AX48" s="136">
        <v>198</v>
      </c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</row>
    <row r="49" spans="1:61" ht="16">
      <c r="A49" s="22">
        <v>42</v>
      </c>
      <c r="B49" s="22" t="s">
        <v>51</v>
      </c>
      <c r="C49" s="22" t="s">
        <v>47</v>
      </c>
      <c r="D49" s="22" t="s">
        <v>49</v>
      </c>
      <c r="E49" s="132">
        <v>310.08999999999997</v>
      </c>
      <c r="F49" s="132">
        <v>288.88</v>
      </c>
      <c r="G49" s="25">
        <f t="shared" si="12"/>
        <v>7.0699999999999932</v>
      </c>
      <c r="H49" s="142"/>
      <c r="I49" s="132">
        <v>288.88</v>
      </c>
      <c r="J49" s="132">
        <v>263.51</v>
      </c>
      <c r="K49" s="25">
        <f t="shared" si="13"/>
        <v>6.3425000000000011</v>
      </c>
      <c r="L49" s="142"/>
      <c r="M49" s="132">
        <v>263.51</v>
      </c>
      <c r="N49" s="132">
        <v>244.51</v>
      </c>
      <c r="O49" s="25">
        <f t="shared" si="14"/>
        <v>6.333333333333333</v>
      </c>
      <c r="P49" s="142"/>
      <c r="Q49" s="132">
        <v>244.51</v>
      </c>
      <c r="R49" s="132">
        <v>219.95</v>
      </c>
      <c r="S49" s="25">
        <f t="shared" si="15"/>
        <v>6.1400000000000006</v>
      </c>
      <c r="T49" s="142"/>
      <c r="U49" s="132">
        <v>219.95</v>
      </c>
      <c r="V49" s="132">
        <v>201.44</v>
      </c>
      <c r="W49" s="25">
        <f t="shared" si="16"/>
        <v>6.1699999999999973</v>
      </c>
      <c r="X49" s="142"/>
      <c r="Y49" s="132">
        <v>201.44</v>
      </c>
      <c r="Z49" s="132">
        <v>174.56</v>
      </c>
      <c r="AA49" s="25">
        <f t="shared" si="17"/>
        <v>6.7199999999999989</v>
      </c>
      <c r="AB49" s="142"/>
      <c r="AC49" s="132">
        <v>252.51</v>
      </c>
      <c r="AD49" s="132">
        <v>229.11</v>
      </c>
      <c r="AE49" s="25">
        <f t="shared" si="18"/>
        <v>7.7999999999999927</v>
      </c>
      <c r="AF49" s="142"/>
      <c r="AG49" s="132">
        <v>229.11</v>
      </c>
      <c r="AH49" s="132">
        <v>201.45</v>
      </c>
      <c r="AI49" s="25">
        <f t="shared" si="19"/>
        <v>6.9150000000000063</v>
      </c>
      <c r="AJ49" s="142"/>
      <c r="AK49" s="132">
        <v>259.73</v>
      </c>
      <c r="AL49" s="132">
        <v>238.76</v>
      </c>
      <c r="AM49" s="25">
        <f t="shared" si="20"/>
        <v>6.9900000000000091</v>
      </c>
      <c r="AN49" s="142"/>
      <c r="AO49" s="132">
        <v>238.76</v>
      </c>
      <c r="AP49" s="132">
        <v>223.6</v>
      </c>
      <c r="AQ49" s="25">
        <f t="shared" si="21"/>
        <v>7.5799999999999983</v>
      </c>
      <c r="AR49" s="142"/>
      <c r="AS49" s="132">
        <v>367.88</v>
      </c>
      <c r="AT49" s="132">
        <v>327.5</v>
      </c>
      <c r="AU49" s="25">
        <f t="shared" si="23"/>
        <v>8.0759999999999987</v>
      </c>
      <c r="AV49" s="142"/>
      <c r="AW49" s="142"/>
      <c r="AX49" s="142">
        <v>327.5</v>
      </c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</row>
    <row r="50" spans="1:61" ht="16">
      <c r="A50" s="15">
        <v>43</v>
      </c>
      <c r="B50" s="15" t="s">
        <v>51</v>
      </c>
      <c r="C50" s="15" t="s">
        <v>50</v>
      </c>
      <c r="D50" s="15" t="s">
        <v>48</v>
      </c>
      <c r="E50" s="131">
        <v>316.75</v>
      </c>
      <c r="F50" s="131">
        <v>296.35000000000002</v>
      </c>
      <c r="G50" s="18">
        <f t="shared" si="12"/>
        <v>6.7999999999999927</v>
      </c>
      <c r="H50" s="136"/>
      <c r="I50" s="131">
        <v>296.35000000000002</v>
      </c>
      <c r="J50" s="131">
        <v>272.10000000000002</v>
      </c>
      <c r="K50" s="18">
        <f t="shared" si="13"/>
        <v>6.0625</v>
      </c>
      <c r="L50" s="136"/>
      <c r="M50" s="131">
        <v>272.10000000000002</v>
      </c>
      <c r="N50" s="131">
        <v>254.58</v>
      </c>
      <c r="O50" s="18">
        <f t="shared" si="14"/>
        <v>5.8400000000000034</v>
      </c>
      <c r="P50" s="136"/>
      <c r="Q50" s="131">
        <v>254.58</v>
      </c>
      <c r="R50" s="131">
        <v>226.74</v>
      </c>
      <c r="S50" s="18">
        <f t="shared" si="15"/>
        <v>6.9600000000000009</v>
      </c>
      <c r="T50" s="136"/>
      <c r="U50" s="131">
        <v>226.74</v>
      </c>
      <c r="V50" s="131">
        <v>210.59</v>
      </c>
      <c r="W50" s="18">
        <f t="shared" si="16"/>
        <v>5.3833333333333355</v>
      </c>
      <c r="X50" s="136"/>
      <c r="Y50" s="131">
        <v>210.59</v>
      </c>
      <c r="Z50" s="131">
        <v>186.78</v>
      </c>
      <c r="AA50" s="18">
        <f t="shared" si="17"/>
        <v>5.9525000000000006</v>
      </c>
      <c r="AB50" s="136"/>
      <c r="AC50" s="131">
        <v>240.4</v>
      </c>
      <c r="AD50" s="131">
        <v>218.78</v>
      </c>
      <c r="AE50" s="18">
        <f t="shared" si="18"/>
        <v>7.2066666666666679</v>
      </c>
      <c r="AF50" s="136"/>
      <c r="AG50" s="131">
        <v>218.78</v>
      </c>
      <c r="AH50" s="131">
        <v>195</v>
      </c>
      <c r="AI50" s="18">
        <f t="shared" si="19"/>
        <v>5.9450000000000003</v>
      </c>
      <c r="AJ50" s="136"/>
      <c r="AK50" s="131">
        <v>237.93</v>
      </c>
      <c r="AL50" s="131">
        <v>218.13</v>
      </c>
      <c r="AM50" s="18">
        <f t="shared" si="20"/>
        <v>6.6000000000000041</v>
      </c>
      <c r="AN50" s="136"/>
      <c r="AO50" s="131">
        <v>218.13</v>
      </c>
      <c r="AP50" s="131">
        <v>204.8</v>
      </c>
      <c r="AQ50" s="18">
        <f t="shared" si="21"/>
        <v>6.664999999999992</v>
      </c>
      <c r="AR50" s="136"/>
      <c r="AS50" s="131">
        <v>308.35000000000002</v>
      </c>
      <c r="AT50" s="131">
        <v>276.8</v>
      </c>
      <c r="AU50" s="18">
        <f t="shared" si="23"/>
        <v>6.3100000000000023</v>
      </c>
      <c r="AV50" s="136"/>
      <c r="AW50" s="136"/>
      <c r="AX50" s="136">
        <v>276.8</v>
      </c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</row>
    <row r="51" spans="1:61" ht="16">
      <c r="A51" s="22">
        <v>44</v>
      </c>
      <c r="B51" s="22" t="s">
        <v>51</v>
      </c>
      <c r="C51" s="22" t="s">
        <v>50</v>
      </c>
      <c r="D51" s="22" t="s">
        <v>49</v>
      </c>
      <c r="E51" s="132">
        <v>248.73</v>
      </c>
      <c r="F51" s="132">
        <v>229.01</v>
      </c>
      <c r="G51" s="25">
        <f t="shared" si="12"/>
        <v>6.5733333333333333</v>
      </c>
      <c r="H51" s="142"/>
      <c r="I51" s="132">
        <v>229.01</v>
      </c>
      <c r="J51" s="132">
        <v>204.75</v>
      </c>
      <c r="K51" s="25">
        <f t="shared" si="13"/>
        <v>6.0649999999999977</v>
      </c>
      <c r="L51" s="142"/>
      <c r="M51" s="132">
        <v>204.75</v>
      </c>
      <c r="N51" s="132">
        <v>190.41</v>
      </c>
      <c r="O51" s="25">
        <f t="shared" si="14"/>
        <v>4.7800000000000011</v>
      </c>
      <c r="P51" s="142"/>
      <c r="Q51" s="132">
        <v>190.41</v>
      </c>
      <c r="R51" s="132">
        <v>169.09</v>
      </c>
      <c r="S51" s="25">
        <f t="shared" si="15"/>
        <v>5.3299999999999983</v>
      </c>
      <c r="T51" s="142"/>
      <c r="U51" s="132">
        <v>248.15</v>
      </c>
      <c r="V51" s="132">
        <v>232.72</v>
      </c>
      <c r="W51" s="25">
        <f t="shared" si="16"/>
        <v>5.1433333333333353</v>
      </c>
      <c r="X51" s="142"/>
      <c r="Y51" s="132">
        <v>232.72</v>
      </c>
      <c r="Z51" s="132">
        <v>203.29</v>
      </c>
      <c r="AA51" s="25">
        <f t="shared" si="17"/>
        <v>7.3575000000000017</v>
      </c>
      <c r="AB51" s="142"/>
      <c r="AC51" s="132">
        <v>203.29</v>
      </c>
      <c r="AD51" s="132">
        <v>184.71</v>
      </c>
      <c r="AE51" s="25">
        <f t="shared" si="18"/>
        <v>6.193333333333328</v>
      </c>
      <c r="AF51" s="142"/>
      <c r="AG51" s="132">
        <v>184.71</v>
      </c>
      <c r="AH51" s="132">
        <v>164.01</v>
      </c>
      <c r="AI51" s="25">
        <f t="shared" si="19"/>
        <v>5.1750000000000043</v>
      </c>
      <c r="AJ51" s="142"/>
      <c r="AK51" s="132">
        <v>232.82</v>
      </c>
      <c r="AL51" s="132">
        <v>213.33</v>
      </c>
      <c r="AM51" s="25">
        <f t="shared" si="20"/>
        <v>6.4966666666666599</v>
      </c>
      <c r="AN51" s="142"/>
      <c r="AO51" s="132">
        <v>213.33</v>
      </c>
      <c r="AP51" s="132">
        <v>201.6</v>
      </c>
      <c r="AQ51" s="25">
        <f t="shared" si="21"/>
        <v>5.8650000000000091</v>
      </c>
      <c r="AR51" s="142"/>
      <c r="AS51" s="132">
        <v>306.74</v>
      </c>
      <c r="AT51" s="132">
        <v>280</v>
      </c>
      <c r="AU51" s="25">
        <f t="shared" si="23"/>
        <v>5.3480000000000016</v>
      </c>
      <c r="AV51" s="142"/>
      <c r="AW51" s="142"/>
      <c r="AX51" s="142">
        <v>280</v>
      </c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</row>
    <row r="52" spans="1:61" ht="16">
      <c r="A52" s="15">
        <v>45</v>
      </c>
      <c r="B52" s="15" t="s">
        <v>51</v>
      </c>
      <c r="C52" s="15" t="s">
        <v>50</v>
      </c>
      <c r="D52" s="15" t="s">
        <v>48</v>
      </c>
      <c r="E52" s="131">
        <v>255.68</v>
      </c>
      <c r="F52" s="131">
        <v>237.59</v>
      </c>
      <c r="G52" s="18">
        <f t="shared" si="12"/>
        <v>6.0300000000000011</v>
      </c>
      <c r="H52" s="136"/>
      <c r="I52" s="131">
        <v>237.59</v>
      </c>
      <c r="J52" s="131">
        <v>215.14</v>
      </c>
      <c r="K52" s="18">
        <f t="shared" si="13"/>
        <v>5.6125000000000043</v>
      </c>
      <c r="L52" s="136"/>
      <c r="M52" s="131">
        <v>215.14</v>
      </c>
      <c r="N52" s="131">
        <v>199.3</v>
      </c>
      <c r="O52" s="18">
        <f t="shared" si="14"/>
        <v>5.2799999999999914</v>
      </c>
      <c r="P52" s="136"/>
      <c r="Q52" s="131">
        <v>199.3</v>
      </c>
      <c r="R52" s="131">
        <v>176.24</v>
      </c>
      <c r="S52" s="18">
        <f t="shared" si="15"/>
        <v>5.7650000000000006</v>
      </c>
      <c r="T52" s="136"/>
      <c r="U52" s="131">
        <v>262.54000000000002</v>
      </c>
      <c r="V52" s="131">
        <v>247.54</v>
      </c>
      <c r="W52" s="18">
        <f t="shared" si="16"/>
        <v>5.0000000000000098</v>
      </c>
      <c r="X52" s="136"/>
      <c r="Y52" s="131">
        <v>247.54</v>
      </c>
      <c r="Z52" s="131">
        <v>206.75</v>
      </c>
      <c r="AA52" s="18">
        <f t="shared" si="17"/>
        <v>10.197499999999998</v>
      </c>
      <c r="AB52" s="136"/>
      <c r="AC52" s="131">
        <v>206.75</v>
      </c>
      <c r="AD52" s="131">
        <v>188.1</v>
      </c>
      <c r="AE52" s="18">
        <f t="shared" si="18"/>
        <v>6.2166666666666686</v>
      </c>
      <c r="AF52" s="136"/>
      <c r="AG52" s="131">
        <v>188.1</v>
      </c>
      <c r="AH52" s="131">
        <v>167.11</v>
      </c>
      <c r="AI52" s="18">
        <f t="shared" si="19"/>
        <v>5.2474999999999952</v>
      </c>
      <c r="AJ52" s="136"/>
      <c r="AK52" s="131">
        <v>222.24</v>
      </c>
      <c r="AL52" s="131">
        <v>204.46</v>
      </c>
      <c r="AM52" s="18">
        <f t="shared" si="20"/>
        <v>5.9266666666666667</v>
      </c>
      <c r="AN52" s="136"/>
      <c r="AO52" s="131">
        <v>204.46</v>
      </c>
      <c r="AP52" s="131">
        <v>193.44</v>
      </c>
      <c r="AQ52" s="18">
        <f t="shared" si="21"/>
        <v>5.5100000000000051</v>
      </c>
      <c r="AR52" s="136"/>
      <c r="AS52" s="131">
        <v>295.89</v>
      </c>
      <c r="AT52" s="131">
        <v>261.3</v>
      </c>
      <c r="AU52" s="18">
        <f t="shared" si="23"/>
        <v>6.9179999999999948</v>
      </c>
      <c r="AV52" s="136"/>
      <c r="AW52" s="136"/>
      <c r="AX52" s="136">
        <v>261.3</v>
      </c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</row>
    <row r="53" spans="1:61" ht="16">
      <c r="A53" s="22">
        <v>46</v>
      </c>
      <c r="B53" s="22" t="s">
        <v>51</v>
      </c>
      <c r="C53" s="22" t="s">
        <v>50</v>
      </c>
      <c r="D53" s="22" t="s">
        <v>49</v>
      </c>
      <c r="E53" s="132">
        <v>287.52999999999997</v>
      </c>
      <c r="F53" s="132">
        <v>263.01</v>
      </c>
      <c r="G53" s="25">
        <f t="shared" si="12"/>
        <v>8.1733333333333267</v>
      </c>
      <c r="H53" s="142"/>
      <c r="I53" s="132">
        <v>263.01</v>
      </c>
      <c r="J53" s="132">
        <v>237.77</v>
      </c>
      <c r="K53" s="25">
        <f t="shared" si="13"/>
        <v>6.3099999999999952</v>
      </c>
      <c r="L53" s="142"/>
      <c r="M53" s="132">
        <v>237.77</v>
      </c>
      <c r="N53" s="132">
        <v>219.81</v>
      </c>
      <c r="O53" s="25">
        <f t="shared" si="14"/>
        <v>5.986666666666669</v>
      </c>
      <c r="P53" s="142"/>
      <c r="Q53" s="132">
        <v>219.81</v>
      </c>
      <c r="R53" s="132">
        <v>196.69</v>
      </c>
      <c r="S53" s="25">
        <f t="shared" si="15"/>
        <v>5.7800000000000011</v>
      </c>
      <c r="T53" s="142"/>
      <c r="U53" s="132">
        <v>287.45999999999998</v>
      </c>
      <c r="V53" s="132">
        <v>271.85000000000002</v>
      </c>
      <c r="W53" s="25">
        <f t="shared" si="16"/>
        <v>5.2033333333333189</v>
      </c>
      <c r="X53" s="142"/>
      <c r="Y53" s="132">
        <v>271.85000000000002</v>
      </c>
      <c r="Z53" s="132">
        <v>252.02</v>
      </c>
      <c r="AA53" s="25">
        <f t="shared" si="17"/>
        <v>4.9575000000000031</v>
      </c>
      <c r="AB53" s="142"/>
      <c r="AC53" s="132">
        <v>252.02</v>
      </c>
      <c r="AD53" s="132">
        <v>233.8</v>
      </c>
      <c r="AE53" s="25">
        <f t="shared" si="18"/>
        <v>6.0733333333333333</v>
      </c>
      <c r="AF53" s="142"/>
      <c r="AG53" s="132">
        <v>233.8</v>
      </c>
      <c r="AH53" s="132">
        <v>211.93</v>
      </c>
      <c r="AI53" s="25">
        <f t="shared" si="19"/>
        <v>5.4675000000000011</v>
      </c>
      <c r="AJ53" s="142"/>
      <c r="AK53" s="132">
        <v>219.46</v>
      </c>
      <c r="AL53" s="132">
        <v>202.24</v>
      </c>
      <c r="AM53" s="25">
        <f t="shared" si="20"/>
        <v>5.7399999999999993</v>
      </c>
      <c r="AN53" s="142"/>
      <c r="AO53" s="132">
        <v>202.24</v>
      </c>
      <c r="AP53" s="132">
        <v>187.72</v>
      </c>
      <c r="AQ53" s="25">
        <f t="shared" si="21"/>
        <v>7.2600000000000051</v>
      </c>
      <c r="AR53" s="142"/>
      <c r="AS53" s="132">
        <v>313.02999999999997</v>
      </c>
      <c r="AT53" s="132">
        <v>283</v>
      </c>
      <c r="AU53" s="25">
        <f t="shared" si="23"/>
        <v>6.0059999999999949</v>
      </c>
      <c r="AV53" s="142"/>
      <c r="AW53" s="142"/>
      <c r="AX53" s="142">
        <v>283</v>
      </c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</row>
    <row r="54" spans="1:61" ht="16">
      <c r="A54" s="59">
        <v>47</v>
      </c>
      <c r="B54" s="59" t="s">
        <v>51</v>
      </c>
      <c r="C54" s="59" t="s">
        <v>50</v>
      </c>
      <c r="D54" s="59" t="s">
        <v>49</v>
      </c>
      <c r="E54" s="132">
        <v>354.57</v>
      </c>
      <c r="F54" s="132">
        <v>329.07</v>
      </c>
      <c r="G54" s="25">
        <f t="shared" si="12"/>
        <v>8.5</v>
      </c>
      <c r="H54" s="142"/>
      <c r="I54" s="132">
        <v>329.07</v>
      </c>
      <c r="J54" s="132">
        <v>298.58</v>
      </c>
      <c r="K54" s="25">
        <f t="shared" si="13"/>
        <v>7.6225000000000023</v>
      </c>
      <c r="L54" s="142"/>
      <c r="M54" s="132">
        <v>298.58</v>
      </c>
      <c r="N54" s="132">
        <v>278.56</v>
      </c>
      <c r="O54" s="25">
        <f t="shared" si="14"/>
        <v>6.6733333333333276</v>
      </c>
      <c r="P54" s="142"/>
      <c r="Q54" s="132">
        <v>278.56</v>
      </c>
      <c r="R54" s="132">
        <v>249.86</v>
      </c>
      <c r="S54" s="25">
        <f t="shared" si="15"/>
        <v>7.1749999999999972</v>
      </c>
      <c r="T54" s="142"/>
      <c r="U54" s="132">
        <v>249.86</v>
      </c>
      <c r="V54" s="132">
        <v>230.46</v>
      </c>
      <c r="W54" s="25">
        <f t="shared" si="16"/>
        <v>6.4666666666666686</v>
      </c>
      <c r="X54" s="142"/>
      <c r="Y54" s="132">
        <v>230.46</v>
      </c>
      <c r="Z54" s="132">
        <v>175.82</v>
      </c>
      <c r="AA54" s="25">
        <f t="shared" si="17"/>
        <v>13.660000000000004</v>
      </c>
      <c r="AB54" s="142"/>
      <c r="AC54" s="132">
        <v>256.86</v>
      </c>
      <c r="AD54" s="132">
        <v>234.89</v>
      </c>
      <c r="AE54" s="25">
        <f t="shared" si="18"/>
        <v>7.3233333333333421</v>
      </c>
      <c r="AF54" s="142"/>
      <c r="AG54" s="132">
        <v>234.89</v>
      </c>
      <c r="AH54" s="132">
        <v>207.38</v>
      </c>
      <c r="AI54" s="25">
        <f t="shared" si="19"/>
        <v>6.8774999999999977</v>
      </c>
      <c r="AJ54" s="142"/>
      <c r="AK54" s="132">
        <v>216.84</v>
      </c>
      <c r="AL54" s="132">
        <v>196.86</v>
      </c>
      <c r="AM54" s="25">
        <f t="shared" si="20"/>
        <v>6.6599999999999966</v>
      </c>
      <c r="AN54" s="142"/>
      <c r="AO54" s="132">
        <v>196.86</v>
      </c>
      <c r="AP54" s="132">
        <v>182.51</v>
      </c>
      <c r="AQ54" s="25">
        <f t="shared" si="21"/>
        <v>7.1750000000000114</v>
      </c>
      <c r="AR54" s="142"/>
      <c r="AS54" s="132">
        <v>297.45999999999998</v>
      </c>
      <c r="AT54" s="132">
        <v>263.5</v>
      </c>
      <c r="AU54" s="25">
        <f t="shared" si="23"/>
        <v>6.7919999999999963</v>
      </c>
      <c r="AV54" s="142"/>
      <c r="AW54" s="142"/>
      <c r="AX54" s="142">
        <v>263.5</v>
      </c>
      <c r="AY54" s="142"/>
      <c r="AZ54" s="142"/>
      <c r="BA54" s="142"/>
      <c r="BB54" s="142"/>
      <c r="BC54" s="142"/>
      <c r="BD54" s="142"/>
      <c r="BE54" s="142"/>
      <c r="BF54" s="142"/>
      <c r="BG54" s="142"/>
      <c r="BH54" s="142"/>
      <c r="BI54" s="142"/>
    </row>
    <row r="55" spans="1:61" ht="16">
      <c r="A55" s="62">
        <v>48</v>
      </c>
      <c r="B55" s="62" t="s">
        <v>51</v>
      </c>
      <c r="C55" s="62" t="s">
        <v>50</v>
      </c>
      <c r="D55" s="62" t="s">
        <v>48</v>
      </c>
      <c r="E55" s="131">
        <v>307.95999999999998</v>
      </c>
      <c r="F55" s="131">
        <v>290.64</v>
      </c>
      <c r="G55" s="18">
        <f t="shared" si="12"/>
        <v>5.7733333333333308</v>
      </c>
      <c r="H55" s="136"/>
      <c r="I55" s="131">
        <v>290.64</v>
      </c>
      <c r="J55" s="131">
        <v>272.39</v>
      </c>
      <c r="K55" s="18">
        <f t="shared" si="13"/>
        <v>4.5625</v>
      </c>
      <c r="L55" s="136"/>
      <c r="M55" s="131">
        <v>272.39</v>
      </c>
      <c r="N55" s="131">
        <v>257.98</v>
      </c>
      <c r="O55" s="18">
        <f t="shared" si="14"/>
        <v>4.803333333333323</v>
      </c>
      <c r="P55" s="136"/>
      <c r="Q55" s="131">
        <v>257.98</v>
      </c>
      <c r="R55" s="131">
        <v>238.3</v>
      </c>
      <c r="S55" s="18">
        <f t="shared" si="15"/>
        <v>4.9200000000000017</v>
      </c>
      <c r="T55" s="136"/>
      <c r="U55" s="131">
        <v>238.3</v>
      </c>
      <c r="V55" s="131">
        <v>227.01</v>
      </c>
      <c r="W55" s="18">
        <f t="shared" si="16"/>
        <v>3.7633333333333403</v>
      </c>
      <c r="X55" s="136"/>
      <c r="Y55" s="131">
        <v>227.01</v>
      </c>
      <c r="Z55" s="131">
        <v>200.51</v>
      </c>
      <c r="AA55" s="18">
        <f t="shared" si="17"/>
        <v>6.625</v>
      </c>
      <c r="AB55" s="136"/>
      <c r="AC55" s="131">
        <v>290.61</v>
      </c>
      <c r="AD55" s="131">
        <v>273.7</v>
      </c>
      <c r="AE55" s="18">
        <f t="shared" si="18"/>
        <v>5.6366666666666747</v>
      </c>
      <c r="AF55" s="136"/>
      <c r="AG55" s="131">
        <v>273.7</v>
      </c>
      <c r="AH55" s="131">
        <v>254.88</v>
      </c>
      <c r="AI55" s="18">
        <f t="shared" si="19"/>
        <v>4.7049999999999983</v>
      </c>
      <c r="AJ55" s="136"/>
      <c r="AK55" s="131">
        <v>254.88</v>
      </c>
      <c r="AL55" s="131">
        <v>239.57</v>
      </c>
      <c r="AM55" s="18">
        <f t="shared" si="20"/>
        <v>5.1033333333333344</v>
      </c>
      <c r="AN55" s="136"/>
      <c r="AO55" s="131">
        <v>239.57</v>
      </c>
      <c r="AP55" s="131">
        <v>230.15</v>
      </c>
      <c r="AQ55" s="18">
        <f t="shared" si="21"/>
        <v>4.7099999999999937</v>
      </c>
      <c r="AR55" s="136"/>
      <c r="AS55" s="131">
        <v>309.42</v>
      </c>
      <c r="AT55" s="131">
        <v>281.2</v>
      </c>
      <c r="AU55" s="18">
        <f t="shared" si="23"/>
        <v>5.6440000000000055</v>
      </c>
      <c r="AV55" s="136"/>
      <c r="AW55" s="136"/>
      <c r="AX55" s="136">
        <v>281.2</v>
      </c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</row>
    <row r="56" spans="1:61" ht="41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" t="s">
        <v>249</v>
      </c>
      <c r="AR56" s="136"/>
      <c r="AT56" s="1" t="s">
        <v>250</v>
      </c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</row>
    <row r="57" spans="1:61" ht="29.25" customHeight="1">
      <c r="A57" s="228" t="s">
        <v>59</v>
      </c>
      <c r="B57" s="228" t="s">
        <v>0</v>
      </c>
      <c r="C57" s="228" t="s">
        <v>1</v>
      </c>
      <c r="D57" s="228" t="s">
        <v>2</v>
      </c>
      <c r="E57" s="258" t="s">
        <v>251</v>
      </c>
      <c r="F57" s="258" t="s">
        <v>252</v>
      </c>
      <c r="G57" s="258" t="s">
        <v>253</v>
      </c>
      <c r="H57" s="143"/>
      <c r="I57" s="258" t="s">
        <v>254</v>
      </c>
      <c r="J57" s="258" t="s">
        <v>255</v>
      </c>
      <c r="K57" s="258" t="s">
        <v>256</v>
      </c>
      <c r="L57" s="144"/>
      <c r="M57" s="258" t="s">
        <v>257</v>
      </c>
      <c r="N57" s="258" t="s">
        <v>258</v>
      </c>
      <c r="O57" s="258" t="s">
        <v>259</v>
      </c>
      <c r="P57" s="143"/>
      <c r="Q57" s="258" t="s">
        <v>260</v>
      </c>
      <c r="R57" s="258" t="s">
        <v>261</v>
      </c>
      <c r="S57" s="258" t="s">
        <v>262</v>
      </c>
      <c r="T57" s="144"/>
      <c r="U57" s="258" t="s">
        <v>263</v>
      </c>
      <c r="V57" s="258" t="s">
        <v>264</v>
      </c>
      <c r="W57" s="258" t="s">
        <v>265</v>
      </c>
      <c r="X57" s="143"/>
      <c r="Y57" s="258" t="s">
        <v>266</v>
      </c>
      <c r="Z57" s="258" t="s">
        <v>267</v>
      </c>
      <c r="AA57" s="258" t="s">
        <v>268</v>
      </c>
      <c r="AB57" s="144"/>
      <c r="AC57" s="258" t="s">
        <v>269</v>
      </c>
      <c r="AD57" s="258">
        <v>207.02</v>
      </c>
      <c r="AE57" s="258" t="s">
        <v>270</v>
      </c>
      <c r="AF57" s="143"/>
      <c r="AG57" s="258" t="s">
        <v>271</v>
      </c>
      <c r="AH57" s="258" t="s">
        <v>272</v>
      </c>
      <c r="AI57" s="258" t="s">
        <v>273</v>
      </c>
      <c r="AJ57" s="144"/>
      <c r="AK57" s="258" t="s">
        <v>274</v>
      </c>
      <c r="AL57" s="258" t="s">
        <v>275</v>
      </c>
      <c r="AM57" s="258" t="s">
        <v>276</v>
      </c>
      <c r="AN57" s="143"/>
      <c r="AO57" s="258" t="s">
        <v>277</v>
      </c>
      <c r="AP57" s="258" t="s">
        <v>278</v>
      </c>
      <c r="AQ57" s="258" t="s">
        <v>279</v>
      </c>
      <c r="AR57" s="145"/>
      <c r="AS57" s="258" t="s">
        <v>280</v>
      </c>
      <c r="AT57" s="258" t="s">
        <v>281</v>
      </c>
      <c r="AU57" s="258" t="s">
        <v>282</v>
      </c>
      <c r="AV57" s="143"/>
      <c r="AW57" s="265" t="s">
        <v>283</v>
      </c>
      <c r="AX57" s="265" t="s">
        <v>284</v>
      </c>
      <c r="AY57" s="269" t="s">
        <v>236</v>
      </c>
      <c r="AZ57" s="143"/>
      <c r="BA57" s="143"/>
      <c r="BB57" s="143"/>
      <c r="BC57" s="143"/>
      <c r="BD57" s="143"/>
      <c r="BE57" s="143"/>
      <c r="BF57" s="143"/>
      <c r="BG57" s="143"/>
      <c r="BH57" s="143"/>
      <c r="BI57" s="143"/>
    </row>
    <row r="58" spans="1:61">
      <c r="A58" s="229"/>
      <c r="B58" s="229"/>
      <c r="C58" s="229"/>
      <c r="D58" s="229"/>
      <c r="E58" s="229"/>
      <c r="F58" s="229"/>
      <c r="G58" s="229"/>
      <c r="H58" s="136"/>
      <c r="I58" s="229"/>
      <c r="J58" s="229"/>
      <c r="K58" s="229"/>
      <c r="M58" s="229"/>
      <c r="N58" s="229"/>
      <c r="O58" s="229"/>
      <c r="P58" s="136"/>
      <c r="Q58" s="229"/>
      <c r="R58" s="229"/>
      <c r="S58" s="229"/>
      <c r="U58" s="229"/>
      <c r="V58" s="229"/>
      <c r="W58" s="229"/>
      <c r="X58" s="136"/>
      <c r="Y58" s="229"/>
      <c r="Z58" s="229"/>
      <c r="AA58" s="229"/>
      <c r="AC58" s="229"/>
      <c r="AD58" s="229"/>
      <c r="AE58" s="229"/>
      <c r="AF58" s="136"/>
      <c r="AG58" s="229"/>
      <c r="AH58" s="229"/>
      <c r="AI58" s="229"/>
      <c r="AK58" s="229"/>
      <c r="AL58" s="229"/>
      <c r="AM58" s="229"/>
      <c r="AN58" s="136"/>
      <c r="AO58" s="229"/>
      <c r="AP58" s="229"/>
      <c r="AQ58" s="229"/>
      <c r="AS58" s="229"/>
      <c r="AT58" s="229"/>
      <c r="AU58" s="229"/>
      <c r="AV58" s="136"/>
      <c r="AW58" s="260"/>
      <c r="AX58" s="260"/>
      <c r="AY58" s="260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</row>
    <row r="59" spans="1:61" ht="16">
      <c r="A59" s="15">
        <v>49</v>
      </c>
      <c r="B59" s="15" t="s">
        <v>46</v>
      </c>
      <c r="C59" s="15" t="s">
        <v>50</v>
      </c>
      <c r="D59" s="15" t="s">
        <v>48</v>
      </c>
      <c r="E59" s="131">
        <v>322.10000000000002</v>
      </c>
      <c r="F59" s="131">
        <v>303.05</v>
      </c>
      <c r="G59" s="18">
        <f t="shared" ref="G59:G81" si="24">((E59-F59)/3)</f>
        <v>6.3500000000000041</v>
      </c>
      <c r="H59" s="136"/>
      <c r="I59" s="131">
        <v>303.05</v>
      </c>
      <c r="J59" s="131">
        <v>286.10000000000002</v>
      </c>
      <c r="K59" s="18">
        <f t="shared" ref="K59:K81" si="25">((I59-J59)/4)</f>
        <v>4.2374999999999972</v>
      </c>
      <c r="L59" s="136"/>
      <c r="M59" s="131">
        <v>286.10000000000002</v>
      </c>
      <c r="N59" s="131">
        <v>271.68</v>
      </c>
      <c r="O59" s="18">
        <f t="shared" ref="O59:O81" si="26">((M59-N59)/4)</f>
        <v>3.605000000000004</v>
      </c>
      <c r="P59" s="136"/>
      <c r="Q59" s="131">
        <v>271.68</v>
      </c>
      <c r="R59" s="131">
        <v>255.1</v>
      </c>
      <c r="S59" s="18">
        <f t="shared" ref="S59:S81" si="27">((Q59-R59)/4)</f>
        <v>4.1450000000000031</v>
      </c>
      <c r="T59" s="136"/>
      <c r="U59" s="131">
        <v>255.1</v>
      </c>
      <c r="V59" s="131">
        <v>242.18</v>
      </c>
      <c r="W59" s="18">
        <f t="shared" ref="W59:W81" si="28">((U59-V59)/3)</f>
        <v>4.3066666666666622</v>
      </c>
      <c r="X59" s="136"/>
      <c r="Y59" s="131">
        <v>242.18</v>
      </c>
      <c r="Z59" s="131">
        <v>219.61</v>
      </c>
      <c r="AA59" s="18">
        <f t="shared" ref="AA59:AA81" si="29">((Y59-Z59)/4)</f>
        <v>5.6424999999999983</v>
      </c>
      <c r="AB59" s="136"/>
      <c r="AC59" s="131">
        <v>219.61</v>
      </c>
      <c r="AD59" s="131">
        <v>207.02</v>
      </c>
      <c r="AE59" s="18">
        <f t="shared" ref="AE59:AE81" si="30">((AC59-AD59)/3)</f>
        <v>4.1966666666666681</v>
      </c>
      <c r="AF59" s="136"/>
      <c r="AG59" s="131">
        <v>207.02</v>
      </c>
      <c r="AH59" s="131">
        <v>181.31</v>
      </c>
      <c r="AI59" s="18">
        <f t="shared" ref="AI59:AI81" si="31">((AG59-AH59)/7)</f>
        <v>3.6728571428571439</v>
      </c>
      <c r="AJ59" s="136"/>
      <c r="AK59" s="131"/>
      <c r="AL59" s="131"/>
      <c r="AM59" s="18"/>
      <c r="AN59" s="136"/>
      <c r="AO59" s="148"/>
      <c r="AP59" s="131" t="s">
        <v>285</v>
      </c>
      <c r="AQ59" s="18"/>
      <c r="AR59" s="136"/>
      <c r="AS59" s="131">
        <v>380.36</v>
      </c>
      <c r="AT59" s="131">
        <v>354.66</v>
      </c>
      <c r="AU59" s="18">
        <f t="shared" ref="AU59:AU82" si="32">((AT59-AS59)/5)</f>
        <v>-5.1399999999999979</v>
      </c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</row>
    <row r="60" spans="1:61" ht="16">
      <c r="A60" s="15">
        <v>50</v>
      </c>
      <c r="B60" s="15" t="s">
        <v>46</v>
      </c>
      <c r="C60" s="15" t="s">
        <v>50</v>
      </c>
      <c r="D60" s="15" t="s">
        <v>49</v>
      </c>
      <c r="E60" s="131">
        <v>299.29000000000002</v>
      </c>
      <c r="F60" s="131">
        <v>279.60000000000002</v>
      </c>
      <c r="G60" s="18">
        <f t="shared" si="24"/>
        <v>6.5633333333333326</v>
      </c>
      <c r="H60" s="136"/>
      <c r="I60" s="131">
        <v>279.60000000000002</v>
      </c>
      <c r="J60" s="131">
        <v>248.51</v>
      </c>
      <c r="K60" s="18">
        <f t="shared" si="25"/>
        <v>7.772500000000008</v>
      </c>
      <c r="L60" s="136"/>
      <c r="M60" s="131">
        <v>248.51</v>
      </c>
      <c r="N60" s="131">
        <v>231.41</v>
      </c>
      <c r="O60" s="18">
        <f t="shared" si="26"/>
        <v>4.2749999999999986</v>
      </c>
      <c r="P60" s="136"/>
      <c r="Q60" s="131">
        <v>231.41</v>
      </c>
      <c r="R60" s="131">
        <v>211.1</v>
      </c>
      <c r="S60" s="18">
        <f t="shared" si="27"/>
        <v>5.0775000000000006</v>
      </c>
      <c r="T60" s="136"/>
      <c r="U60" s="131">
        <v>211.1</v>
      </c>
      <c r="V60" s="131">
        <v>195.4</v>
      </c>
      <c r="W60" s="18">
        <f t="shared" si="28"/>
        <v>5.2333333333333298</v>
      </c>
      <c r="X60" s="136"/>
      <c r="Y60" s="131">
        <v>195.4</v>
      </c>
      <c r="Z60" s="131">
        <v>177.89</v>
      </c>
      <c r="AA60" s="18">
        <f t="shared" si="29"/>
        <v>4.3775000000000048</v>
      </c>
      <c r="AB60" s="136"/>
      <c r="AC60" s="131">
        <v>177.89</v>
      </c>
      <c r="AD60" s="131">
        <v>164.01</v>
      </c>
      <c r="AE60" s="18">
        <f t="shared" si="30"/>
        <v>4.6266666666666652</v>
      </c>
      <c r="AF60" s="136"/>
      <c r="AG60" s="131">
        <v>164.01</v>
      </c>
      <c r="AH60" s="131">
        <v>138.09</v>
      </c>
      <c r="AI60" s="18">
        <f t="shared" si="31"/>
        <v>3.7028571428571411</v>
      </c>
      <c r="AJ60" s="136"/>
      <c r="AK60" s="131"/>
      <c r="AL60" s="131"/>
      <c r="AM60" s="18"/>
      <c r="AN60" s="136"/>
      <c r="AO60" s="149"/>
      <c r="AP60" s="131" t="s">
        <v>285</v>
      </c>
      <c r="AQ60" s="18"/>
      <c r="AR60" s="136"/>
      <c r="AS60" s="131">
        <v>378.95</v>
      </c>
      <c r="AT60" s="131">
        <v>360.15</v>
      </c>
      <c r="AU60" s="18">
        <f t="shared" si="32"/>
        <v>-3.7600000000000025</v>
      </c>
      <c r="AV60" s="136"/>
      <c r="AW60" s="136"/>
      <c r="AX60" s="136"/>
      <c r="AY60" s="136"/>
      <c r="AZ60" s="136"/>
      <c r="BA60" s="136"/>
      <c r="BB60" s="142"/>
      <c r="BC60" s="142"/>
      <c r="BD60" s="142"/>
      <c r="BE60" s="142"/>
      <c r="BF60" s="142"/>
      <c r="BG60" s="142"/>
      <c r="BH60" s="142"/>
      <c r="BI60" s="142"/>
    </row>
    <row r="61" spans="1:61" ht="16">
      <c r="A61" s="15">
        <v>51</v>
      </c>
      <c r="B61" s="15" t="s">
        <v>46</v>
      </c>
      <c r="C61" s="15" t="s">
        <v>50</v>
      </c>
      <c r="D61" s="15" t="s">
        <v>48</v>
      </c>
      <c r="E61" s="131">
        <v>305.61</v>
      </c>
      <c r="F61" s="131">
        <v>272</v>
      </c>
      <c r="G61" s="18">
        <f t="shared" si="24"/>
        <v>11.203333333333338</v>
      </c>
      <c r="H61" s="136"/>
      <c r="I61" s="131">
        <v>272</v>
      </c>
      <c r="J61" s="131">
        <v>242.59</v>
      </c>
      <c r="K61" s="18">
        <f t="shared" si="25"/>
        <v>7.3524999999999991</v>
      </c>
      <c r="L61" s="136"/>
      <c r="M61" s="131">
        <v>242.59</v>
      </c>
      <c r="N61" s="131">
        <v>227.1</v>
      </c>
      <c r="O61" s="18">
        <f t="shared" si="26"/>
        <v>3.8725000000000023</v>
      </c>
      <c r="P61" s="136"/>
      <c r="Q61" s="131">
        <v>227.1</v>
      </c>
      <c r="R61" s="131">
        <v>209.47</v>
      </c>
      <c r="S61" s="18">
        <f t="shared" si="27"/>
        <v>4.4074999999999989</v>
      </c>
      <c r="T61" s="136"/>
      <c r="U61" s="131">
        <v>209.47</v>
      </c>
      <c r="V61" s="131">
        <v>199.89</v>
      </c>
      <c r="W61" s="18">
        <f t="shared" si="28"/>
        <v>3.1933333333333374</v>
      </c>
      <c r="X61" s="136"/>
      <c r="Y61" s="131">
        <v>199.89</v>
      </c>
      <c r="Z61" s="131">
        <v>174</v>
      </c>
      <c r="AA61" s="18">
        <f t="shared" si="29"/>
        <v>6.4724999999999966</v>
      </c>
      <c r="AB61" s="136"/>
      <c r="AC61" s="131">
        <v>174</v>
      </c>
      <c r="AD61" s="131">
        <v>152.80000000000001</v>
      </c>
      <c r="AE61" s="18">
        <f t="shared" si="30"/>
        <v>7.0666666666666629</v>
      </c>
      <c r="AF61" s="136"/>
      <c r="AG61" s="131">
        <v>152.80000000000001</v>
      </c>
      <c r="AH61" s="131">
        <v>132.02000000000001</v>
      </c>
      <c r="AI61" s="18">
        <f t="shared" si="31"/>
        <v>2.9685714285714289</v>
      </c>
      <c r="AJ61" s="136"/>
      <c r="AK61" s="131"/>
      <c r="AL61" s="131"/>
      <c r="AM61" s="18"/>
      <c r="AN61" s="136"/>
      <c r="AO61" s="149"/>
      <c r="AP61" s="131" t="s">
        <v>285</v>
      </c>
      <c r="AQ61" s="18"/>
      <c r="AR61" s="136"/>
      <c r="AS61" s="131">
        <v>340.16</v>
      </c>
      <c r="AT61" s="131">
        <v>313.07</v>
      </c>
      <c r="AU61" s="18">
        <f t="shared" si="32"/>
        <v>-5.4180000000000064</v>
      </c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</row>
    <row r="62" spans="1:61" ht="16">
      <c r="A62" s="15">
        <v>52</v>
      </c>
      <c r="B62" s="15" t="s">
        <v>46</v>
      </c>
      <c r="C62" s="15" t="s">
        <v>50</v>
      </c>
      <c r="D62" s="15" t="s">
        <v>49</v>
      </c>
      <c r="E62" s="131">
        <v>337.3</v>
      </c>
      <c r="F62" s="131">
        <v>303.60000000000002</v>
      </c>
      <c r="G62" s="18">
        <f t="shared" si="24"/>
        <v>11.233333333333329</v>
      </c>
      <c r="H62" s="136"/>
      <c r="I62" s="131">
        <v>303.60000000000002</v>
      </c>
      <c r="J62" s="131">
        <v>284.86</v>
      </c>
      <c r="K62" s="18">
        <f t="shared" si="25"/>
        <v>4.6850000000000023</v>
      </c>
      <c r="L62" s="136"/>
      <c r="M62" s="131">
        <v>284.86</v>
      </c>
      <c r="N62" s="131">
        <v>274.51</v>
      </c>
      <c r="O62" s="18">
        <f t="shared" si="26"/>
        <v>2.5875000000000057</v>
      </c>
      <c r="P62" s="136"/>
      <c r="Q62" s="131">
        <v>274.51</v>
      </c>
      <c r="R62" s="131">
        <v>262.64</v>
      </c>
      <c r="S62" s="18">
        <f t="shared" si="27"/>
        <v>2.9675000000000011</v>
      </c>
      <c r="T62" s="136"/>
      <c r="U62" s="131">
        <v>262.64</v>
      </c>
      <c r="V62" s="131">
        <v>248.95</v>
      </c>
      <c r="W62" s="18">
        <f t="shared" si="28"/>
        <v>4.5633333333333326</v>
      </c>
      <c r="X62" s="136"/>
      <c r="Y62" s="131">
        <v>248.95</v>
      </c>
      <c r="Z62" s="131">
        <v>225.73</v>
      </c>
      <c r="AA62" s="18">
        <f t="shared" si="29"/>
        <v>5.8049999999999997</v>
      </c>
      <c r="AB62" s="136"/>
      <c r="AC62" s="131">
        <v>225.73</v>
      </c>
      <c r="AD62" s="131">
        <v>211.41</v>
      </c>
      <c r="AE62" s="18">
        <f t="shared" si="30"/>
        <v>4.7733333333333308</v>
      </c>
      <c r="AF62" s="136"/>
      <c r="AG62" s="131">
        <v>211.41</v>
      </c>
      <c r="AH62" s="131">
        <v>189.67</v>
      </c>
      <c r="AI62" s="18">
        <f t="shared" si="31"/>
        <v>3.1057142857142872</v>
      </c>
      <c r="AJ62" s="136"/>
      <c r="AK62" s="131"/>
      <c r="AL62" s="131"/>
      <c r="AM62" s="18"/>
      <c r="AN62" s="136"/>
      <c r="AO62" s="149"/>
      <c r="AP62" s="131" t="s">
        <v>285</v>
      </c>
      <c r="AQ62" s="18"/>
      <c r="AR62" s="136"/>
      <c r="AS62" s="131">
        <v>378.4</v>
      </c>
      <c r="AT62" s="131">
        <v>359.28</v>
      </c>
      <c r="AU62" s="18">
        <f t="shared" si="32"/>
        <v>-3.8240000000000007</v>
      </c>
      <c r="AV62" s="136"/>
      <c r="AW62" s="136"/>
      <c r="AX62" s="136"/>
      <c r="AY62" s="136"/>
      <c r="AZ62" s="136"/>
      <c r="BA62" s="136"/>
      <c r="BB62" s="142"/>
      <c r="BC62" s="142"/>
      <c r="BD62" s="142"/>
      <c r="BE62" s="142"/>
      <c r="BF62" s="142"/>
      <c r="BG62" s="142"/>
      <c r="BH62" s="142"/>
      <c r="BI62" s="142"/>
    </row>
    <row r="63" spans="1:61" ht="16">
      <c r="A63" s="15">
        <v>53</v>
      </c>
      <c r="B63" s="15" t="s">
        <v>46</v>
      </c>
      <c r="C63" s="15" t="s">
        <v>50</v>
      </c>
      <c r="D63" s="15" t="s">
        <v>49</v>
      </c>
      <c r="E63" s="131">
        <v>349.35</v>
      </c>
      <c r="F63" s="131">
        <v>330</v>
      </c>
      <c r="G63" s="18">
        <f t="shared" si="24"/>
        <v>6.4500000000000073</v>
      </c>
      <c r="H63" s="136"/>
      <c r="I63" s="131">
        <v>330</v>
      </c>
      <c r="J63" s="131">
        <v>303.26</v>
      </c>
      <c r="K63" s="18">
        <f t="shared" si="25"/>
        <v>6.6850000000000023</v>
      </c>
      <c r="L63" s="136"/>
      <c r="M63" s="150">
        <v>273.76</v>
      </c>
      <c r="N63" s="150">
        <v>287.79000000000002</v>
      </c>
      <c r="O63" s="20">
        <f t="shared" si="26"/>
        <v>-3.5075000000000074</v>
      </c>
      <c r="P63" s="136"/>
      <c r="Q63" s="131">
        <v>287.79000000000002</v>
      </c>
      <c r="R63" s="131">
        <v>276.2</v>
      </c>
      <c r="S63" s="18">
        <f t="shared" si="27"/>
        <v>2.897500000000008</v>
      </c>
      <c r="T63" s="136"/>
      <c r="U63" s="131">
        <v>276.2</v>
      </c>
      <c r="V63" s="131">
        <v>263.14</v>
      </c>
      <c r="W63" s="18">
        <f t="shared" si="28"/>
        <v>4.3533333333333344</v>
      </c>
      <c r="X63" s="136"/>
      <c r="Y63" s="131">
        <v>263.14</v>
      </c>
      <c r="Z63" s="131">
        <v>231.14</v>
      </c>
      <c r="AA63" s="18">
        <f t="shared" si="29"/>
        <v>8</v>
      </c>
      <c r="AB63" s="136"/>
      <c r="AC63" s="131">
        <v>231.14</v>
      </c>
      <c r="AD63" s="131">
        <v>219.06</v>
      </c>
      <c r="AE63" s="18">
        <f t="shared" si="30"/>
        <v>4.0266666666666611</v>
      </c>
      <c r="AF63" s="136"/>
      <c r="AG63" s="131">
        <v>219.06</v>
      </c>
      <c r="AH63" s="131">
        <v>192.45</v>
      </c>
      <c r="AI63" s="18">
        <f t="shared" si="31"/>
        <v>3.8014285714285734</v>
      </c>
      <c r="AJ63" s="136"/>
      <c r="AK63" s="131"/>
      <c r="AL63" s="131"/>
      <c r="AM63" s="18"/>
      <c r="AN63" s="136"/>
      <c r="AO63" s="149"/>
      <c r="AP63" s="131" t="s">
        <v>285</v>
      </c>
      <c r="AQ63" s="18"/>
      <c r="AR63" s="136"/>
      <c r="AS63" s="131">
        <v>363.17</v>
      </c>
      <c r="AT63" s="131">
        <v>325.25</v>
      </c>
      <c r="AU63" s="18">
        <f t="shared" si="32"/>
        <v>-7.5840000000000032</v>
      </c>
      <c r="AV63" s="136"/>
      <c r="AW63" s="136"/>
      <c r="AX63" s="136"/>
      <c r="AY63" s="136"/>
      <c r="AZ63" s="136"/>
      <c r="BA63" s="136"/>
      <c r="BB63" s="142"/>
      <c r="BC63" s="142"/>
      <c r="BD63" s="142"/>
      <c r="BE63" s="142"/>
      <c r="BF63" s="142"/>
      <c r="BG63" s="142"/>
      <c r="BH63" s="142"/>
      <c r="BI63" s="142"/>
    </row>
    <row r="64" spans="1:61" ht="16">
      <c r="A64" s="15">
        <v>54</v>
      </c>
      <c r="B64" s="15" t="s">
        <v>46</v>
      </c>
      <c r="C64" s="15" t="s">
        <v>50</v>
      </c>
      <c r="D64" s="15" t="s">
        <v>48</v>
      </c>
      <c r="E64" s="131">
        <v>317.83</v>
      </c>
      <c r="F64" s="131">
        <v>300.3</v>
      </c>
      <c r="G64" s="18">
        <f t="shared" si="24"/>
        <v>5.8433333333333239</v>
      </c>
      <c r="H64" s="136"/>
      <c r="I64" s="131">
        <v>300.3</v>
      </c>
      <c r="J64" s="131">
        <v>285.86</v>
      </c>
      <c r="K64" s="18">
        <f t="shared" si="25"/>
        <v>3.6099999999999994</v>
      </c>
      <c r="L64" s="136"/>
      <c r="M64" s="131">
        <v>285.86</v>
      </c>
      <c r="N64" s="131">
        <v>273.76</v>
      </c>
      <c r="O64" s="18">
        <f t="shared" si="26"/>
        <v>3.0250000000000057</v>
      </c>
      <c r="P64" s="136"/>
      <c r="Q64" s="131">
        <v>273.76</v>
      </c>
      <c r="R64" s="131">
        <v>260.97000000000003</v>
      </c>
      <c r="S64" s="18">
        <f t="shared" si="27"/>
        <v>3.1974999999999909</v>
      </c>
      <c r="T64" s="136"/>
      <c r="U64" s="131">
        <v>260.97000000000003</v>
      </c>
      <c r="V64" s="131">
        <v>249.9</v>
      </c>
      <c r="W64" s="18">
        <f t="shared" si="28"/>
        <v>3.6900000000000071</v>
      </c>
      <c r="X64" s="136"/>
      <c r="Y64" s="131">
        <v>249.9</v>
      </c>
      <c r="Z64" s="131">
        <v>232.44</v>
      </c>
      <c r="AA64" s="18">
        <f t="shared" si="29"/>
        <v>4.365000000000002</v>
      </c>
      <c r="AB64" s="136"/>
      <c r="AC64" s="131">
        <v>232.44</v>
      </c>
      <c r="AD64" s="131">
        <v>220.95</v>
      </c>
      <c r="AE64" s="18">
        <f t="shared" si="30"/>
        <v>3.8300000000000032</v>
      </c>
      <c r="AF64" s="136"/>
      <c r="AG64" s="131">
        <v>220.95</v>
      </c>
      <c r="AH64" s="131">
        <v>195.59</v>
      </c>
      <c r="AI64" s="18">
        <f t="shared" si="31"/>
        <v>3.6228571428571406</v>
      </c>
      <c r="AJ64" s="136"/>
      <c r="AK64" s="131"/>
      <c r="AL64" s="131"/>
      <c r="AM64" s="18"/>
      <c r="AN64" s="136"/>
      <c r="AO64" s="151"/>
      <c r="AP64" s="131" t="s">
        <v>285</v>
      </c>
      <c r="AQ64" s="18"/>
      <c r="AR64" s="136"/>
      <c r="AS64" s="131">
        <v>376.3</v>
      </c>
      <c r="AT64" s="131">
        <v>357.75</v>
      </c>
      <c r="AU64" s="18">
        <f t="shared" si="32"/>
        <v>-3.7100000000000022</v>
      </c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</row>
    <row r="65" spans="1:61" ht="16">
      <c r="A65" s="15">
        <v>55</v>
      </c>
      <c r="B65" s="15" t="s">
        <v>46</v>
      </c>
      <c r="C65" s="15" t="s">
        <v>50</v>
      </c>
      <c r="D65" s="15" t="s">
        <v>48</v>
      </c>
      <c r="E65" s="131">
        <v>307.54000000000002</v>
      </c>
      <c r="F65" s="131">
        <v>270.39999999999998</v>
      </c>
      <c r="G65" s="18">
        <f t="shared" si="24"/>
        <v>12.380000000000015</v>
      </c>
      <c r="H65" s="136"/>
      <c r="I65" s="131">
        <v>270.39999999999998</v>
      </c>
      <c r="J65" s="131">
        <v>241.5</v>
      </c>
      <c r="K65" s="18">
        <f t="shared" si="25"/>
        <v>7.2249999999999943</v>
      </c>
      <c r="L65" s="136"/>
      <c r="M65" s="131">
        <v>241.5</v>
      </c>
      <c r="N65" s="131">
        <v>212.32</v>
      </c>
      <c r="O65" s="18">
        <f t="shared" si="26"/>
        <v>7.2950000000000017</v>
      </c>
      <c r="P65" s="136"/>
      <c r="Q65" s="131">
        <v>212.32</v>
      </c>
      <c r="R65" s="131">
        <v>197.64</v>
      </c>
      <c r="S65" s="18">
        <f t="shared" si="27"/>
        <v>3.6700000000000017</v>
      </c>
      <c r="T65" s="136"/>
      <c r="U65" s="131">
        <v>197.64</v>
      </c>
      <c r="V65" s="131">
        <v>172.21</v>
      </c>
      <c r="W65" s="18">
        <f t="shared" si="28"/>
        <v>8.4766666666666595</v>
      </c>
      <c r="X65" s="136"/>
      <c r="Y65" s="131">
        <v>172.21</v>
      </c>
      <c r="Z65" s="131">
        <v>137.01</v>
      </c>
      <c r="AA65" s="18">
        <f t="shared" si="29"/>
        <v>8.8000000000000043</v>
      </c>
      <c r="AB65" s="136"/>
      <c r="AC65" s="131">
        <v>137.01</v>
      </c>
      <c r="AD65" s="131">
        <v>124.49</v>
      </c>
      <c r="AE65" s="18">
        <f t="shared" si="30"/>
        <v>4.173333333333332</v>
      </c>
      <c r="AF65" s="136"/>
      <c r="AG65" s="131">
        <v>124.49</v>
      </c>
      <c r="AH65" s="131">
        <v>94.46</v>
      </c>
      <c r="AI65" s="18">
        <f t="shared" si="31"/>
        <v>4.29</v>
      </c>
      <c r="AJ65" s="136"/>
      <c r="AK65" s="131"/>
      <c r="AL65" s="131"/>
      <c r="AM65" s="18"/>
      <c r="AN65" s="136"/>
      <c r="AO65" s="151"/>
      <c r="AP65" s="131" t="s">
        <v>285</v>
      </c>
      <c r="AQ65" s="18"/>
      <c r="AR65" s="136"/>
      <c r="AS65" s="131">
        <v>364.81</v>
      </c>
      <c r="AT65" s="131">
        <v>320.69</v>
      </c>
      <c r="AU65" s="18">
        <f t="shared" si="32"/>
        <v>-8.8240000000000016</v>
      </c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</row>
    <row r="66" spans="1:61" ht="16">
      <c r="A66" s="15">
        <v>56</v>
      </c>
      <c r="B66" s="15" t="s">
        <v>46</v>
      </c>
      <c r="C66" s="15" t="s">
        <v>50</v>
      </c>
      <c r="D66" s="15" t="s">
        <v>49</v>
      </c>
      <c r="E66" s="131">
        <v>331.89</v>
      </c>
      <c r="F66" s="131">
        <v>286.89999999999998</v>
      </c>
      <c r="G66" s="18">
        <f t="shared" si="24"/>
        <v>14.99666666666667</v>
      </c>
      <c r="H66" s="136"/>
      <c r="I66" s="131">
        <v>286.89999999999998</v>
      </c>
      <c r="J66" s="131">
        <v>257.02</v>
      </c>
      <c r="K66" s="18">
        <f t="shared" si="25"/>
        <v>7.4699999999999989</v>
      </c>
      <c r="L66" s="136"/>
      <c r="M66" s="131">
        <v>257.02</v>
      </c>
      <c r="N66" s="131">
        <v>238.22</v>
      </c>
      <c r="O66" s="18">
        <f t="shared" si="26"/>
        <v>4.6999999999999957</v>
      </c>
      <c r="P66" s="136"/>
      <c r="Q66" s="131">
        <v>238.22</v>
      </c>
      <c r="R66" s="131">
        <v>220.27</v>
      </c>
      <c r="S66" s="18">
        <f t="shared" si="27"/>
        <v>4.4874999999999972</v>
      </c>
      <c r="T66" s="136"/>
      <c r="U66" s="131">
        <v>220.27</v>
      </c>
      <c r="V66" s="131">
        <v>208</v>
      </c>
      <c r="W66" s="18">
        <f t="shared" si="28"/>
        <v>4.0900000000000034</v>
      </c>
      <c r="X66" s="136"/>
      <c r="Y66" s="131">
        <v>208</v>
      </c>
      <c r="Z66" s="152">
        <v>192</v>
      </c>
      <c r="AA66" s="18">
        <f t="shared" si="29"/>
        <v>4</v>
      </c>
      <c r="AB66" s="136"/>
      <c r="AC66" s="152">
        <v>192</v>
      </c>
      <c r="AD66" s="131">
        <v>182.11</v>
      </c>
      <c r="AE66" s="18">
        <f t="shared" si="30"/>
        <v>3.296666666666662</v>
      </c>
      <c r="AF66" s="136"/>
      <c r="AG66" s="131">
        <v>182.11</v>
      </c>
      <c r="AH66" s="131">
        <v>158.87</v>
      </c>
      <c r="AI66" s="18">
        <f t="shared" si="31"/>
        <v>3.3200000000000012</v>
      </c>
      <c r="AJ66" s="136"/>
      <c r="AK66" s="131"/>
      <c r="AL66" s="131"/>
      <c r="AM66" s="18"/>
      <c r="AN66" s="136"/>
      <c r="AO66" s="149"/>
      <c r="AP66" s="131" t="s">
        <v>285</v>
      </c>
      <c r="AQ66" s="18"/>
      <c r="AR66" s="136"/>
      <c r="AS66" s="131">
        <v>384.25</v>
      </c>
      <c r="AT66" s="131">
        <v>370.6</v>
      </c>
      <c r="AU66" s="18">
        <f t="shared" si="32"/>
        <v>-2.7299999999999955</v>
      </c>
      <c r="AV66" s="136"/>
      <c r="AW66" s="136"/>
      <c r="AX66" s="136"/>
      <c r="AY66" s="136"/>
      <c r="AZ66" s="136"/>
      <c r="BA66" s="136"/>
      <c r="BB66" s="142"/>
      <c r="BC66" s="142"/>
      <c r="BD66" s="142"/>
      <c r="BE66" s="142"/>
      <c r="BF66" s="142"/>
      <c r="BG66" s="142"/>
      <c r="BH66" s="142"/>
      <c r="BI66" s="142"/>
    </row>
    <row r="67" spans="1:61" ht="16">
      <c r="A67" s="15">
        <v>57</v>
      </c>
      <c r="B67" s="15" t="s">
        <v>46</v>
      </c>
      <c r="C67" s="15" t="s">
        <v>50</v>
      </c>
      <c r="D67" s="15" t="s">
        <v>48</v>
      </c>
      <c r="E67" s="131">
        <v>267.02</v>
      </c>
      <c r="F67" s="131">
        <v>248.4</v>
      </c>
      <c r="G67" s="18">
        <f t="shared" si="24"/>
        <v>6.206666666666659</v>
      </c>
      <c r="H67" s="136"/>
      <c r="I67" s="131">
        <v>248.4</v>
      </c>
      <c r="J67" s="131">
        <v>221.62</v>
      </c>
      <c r="K67" s="18">
        <f t="shared" si="25"/>
        <v>6.6950000000000003</v>
      </c>
      <c r="L67" s="136"/>
      <c r="M67" s="131">
        <v>221.62</v>
      </c>
      <c r="N67" s="131">
        <v>206.99</v>
      </c>
      <c r="O67" s="18">
        <f t="shared" si="26"/>
        <v>3.6574999999999989</v>
      </c>
      <c r="P67" s="136"/>
      <c r="Q67" s="131">
        <v>206.99</v>
      </c>
      <c r="R67" s="131">
        <v>191.87</v>
      </c>
      <c r="S67" s="18">
        <f t="shared" si="27"/>
        <v>3.7800000000000011</v>
      </c>
      <c r="T67" s="136"/>
      <c r="U67" s="131">
        <v>191.87</v>
      </c>
      <c r="V67" s="131">
        <v>180.38</v>
      </c>
      <c r="W67" s="18">
        <f t="shared" si="28"/>
        <v>3.8300000000000032</v>
      </c>
      <c r="X67" s="136"/>
      <c r="Y67" s="131">
        <v>180.38</v>
      </c>
      <c r="Z67" s="16">
        <v>159.11000000000001</v>
      </c>
      <c r="AA67" s="18">
        <f t="shared" si="29"/>
        <v>5.3174999999999955</v>
      </c>
      <c r="AB67" s="136"/>
      <c r="AC67" s="16">
        <v>159.11000000000001</v>
      </c>
      <c r="AD67" s="131">
        <v>148.51</v>
      </c>
      <c r="AE67" s="18">
        <f t="shared" si="30"/>
        <v>3.5333333333333408</v>
      </c>
      <c r="AF67" s="136"/>
      <c r="AG67" s="131">
        <v>148.51</v>
      </c>
      <c r="AH67" s="131">
        <v>122</v>
      </c>
      <c r="AI67" s="18">
        <f t="shared" si="31"/>
        <v>3.787142857142856</v>
      </c>
      <c r="AJ67" s="136"/>
      <c r="AK67" s="131"/>
      <c r="AL67" s="131"/>
      <c r="AM67" s="18"/>
      <c r="AN67" s="136"/>
      <c r="AO67" s="149"/>
      <c r="AP67" s="131" t="s">
        <v>285</v>
      </c>
      <c r="AQ67" s="18"/>
      <c r="AR67" s="136"/>
      <c r="AS67" s="131">
        <v>350.4</v>
      </c>
      <c r="AT67" s="131">
        <v>330.56</v>
      </c>
      <c r="AU67" s="18">
        <f t="shared" si="32"/>
        <v>-3.9679999999999951</v>
      </c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</row>
    <row r="68" spans="1:61" ht="16">
      <c r="A68" s="15">
        <v>58</v>
      </c>
      <c r="B68" s="15" t="s">
        <v>46</v>
      </c>
      <c r="C68" s="15" t="s">
        <v>50</v>
      </c>
      <c r="D68" s="15" t="s">
        <v>49</v>
      </c>
      <c r="E68" s="131">
        <v>284.35000000000002</v>
      </c>
      <c r="F68" s="131">
        <v>266.5</v>
      </c>
      <c r="G68" s="18">
        <f t="shared" si="24"/>
        <v>5.9500000000000073</v>
      </c>
      <c r="H68" s="136"/>
      <c r="I68" s="131">
        <v>266.5</v>
      </c>
      <c r="J68" s="131">
        <v>253.77</v>
      </c>
      <c r="K68" s="18">
        <f t="shared" si="25"/>
        <v>3.1824999999999974</v>
      </c>
      <c r="L68" s="136"/>
      <c r="M68" s="131">
        <v>253.77</v>
      </c>
      <c r="N68" s="131">
        <v>241.1</v>
      </c>
      <c r="O68" s="18">
        <f t="shared" si="26"/>
        <v>3.167500000000004</v>
      </c>
      <c r="P68" s="136"/>
      <c r="Q68" s="131">
        <v>241.1</v>
      </c>
      <c r="R68" s="131">
        <v>227.27</v>
      </c>
      <c r="S68" s="18">
        <f t="shared" si="27"/>
        <v>3.457499999999996</v>
      </c>
      <c r="T68" s="136"/>
      <c r="U68" s="131">
        <v>227.27</v>
      </c>
      <c r="V68" s="131">
        <v>216.12</v>
      </c>
      <c r="W68" s="18">
        <f t="shared" si="28"/>
        <v>3.7166666666666686</v>
      </c>
      <c r="X68" s="136"/>
      <c r="Y68" s="131">
        <v>216.12</v>
      </c>
      <c r="Z68" s="153">
        <v>196.11</v>
      </c>
      <c r="AA68" s="18">
        <f t="shared" si="29"/>
        <v>5.0024999999999977</v>
      </c>
      <c r="AB68" s="136"/>
      <c r="AC68" s="153">
        <v>196.11</v>
      </c>
      <c r="AD68" s="131">
        <v>186.05</v>
      </c>
      <c r="AE68" s="18">
        <f t="shared" si="30"/>
        <v>3.3533333333333339</v>
      </c>
      <c r="AF68" s="136"/>
      <c r="AG68" s="131">
        <v>186.05</v>
      </c>
      <c r="AH68" s="131">
        <v>161.19</v>
      </c>
      <c r="AI68" s="18">
        <f t="shared" si="31"/>
        <v>3.5514285714285734</v>
      </c>
      <c r="AJ68" s="136"/>
      <c r="AK68" s="131"/>
      <c r="AL68" s="131"/>
      <c r="AM68" s="18"/>
      <c r="AN68" s="136"/>
      <c r="AO68" s="151"/>
      <c r="AP68" s="131" t="s">
        <v>285</v>
      </c>
      <c r="AQ68" s="18"/>
      <c r="AR68" s="136"/>
      <c r="AS68" s="131">
        <v>374.45</v>
      </c>
      <c r="AT68" s="131">
        <v>357.92</v>
      </c>
      <c r="AU68" s="18">
        <f t="shared" si="32"/>
        <v>-3.3059999999999947</v>
      </c>
      <c r="AV68" s="136"/>
      <c r="AW68" s="136"/>
      <c r="AX68" s="136"/>
      <c r="AY68" s="136"/>
      <c r="AZ68" s="136"/>
      <c r="BA68" s="136"/>
      <c r="BB68" s="142"/>
      <c r="BC68" s="142"/>
      <c r="BD68" s="142"/>
      <c r="BE68" s="142"/>
      <c r="BF68" s="142"/>
      <c r="BG68" s="142"/>
      <c r="BH68" s="142"/>
      <c r="BI68" s="142"/>
    </row>
    <row r="69" spans="1:61" ht="16">
      <c r="A69" s="15">
        <v>59</v>
      </c>
      <c r="B69" s="15" t="s">
        <v>46</v>
      </c>
      <c r="C69" s="15" t="s">
        <v>50</v>
      </c>
      <c r="D69" s="15" t="s">
        <v>48</v>
      </c>
      <c r="E69" s="131">
        <v>287.89</v>
      </c>
      <c r="F69" s="131">
        <v>269.39999999999998</v>
      </c>
      <c r="G69" s="18">
        <f t="shared" si="24"/>
        <v>6.1633333333333367</v>
      </c>
      <c r="H69" s="136"/>
      <c r="I69" s="131">
        <v>269.39999999999998</v>
      </c>
      <c r="J69" s="131">
        <v>247.6</v>
      </c>
      <c r="K69" s="18">
        <f t="shared" si="25"/>
        <v>5.4499999999999957</v>
      </c>
      <c r="L69" s="136"/>
      <c r="M69" s="131">
        <v>247.6</v>
      </c>
      <c r="N69" s="131">
        <v>230.99</v>
      </c>
      <c r="O69" s="18">
        <f t="shared" si="26"/>
        <v>4.1524999999999963</v>
      </c>
      <c r="P69" s="136"/>
      <c r="Q69" s="131">
        <v>230.99</v>
      </c>
      <c r="R69" s="131">
        <v>220.1</v>
      </c>
      <c r="S69" s="18">
        <f t="shared" si="27"/>
        <v>2.7225000000000037</v>
      </c>
      <c r="T69" s="136"/>
      <c r="U69" s="131">
        <v>220.1</v>
      </c>
      <c r="V69" s="131">
        <v>210.7</v>
      </c>
      <c r="W69" s="18">
        <f t="shared" si="28"/>
        <v>3.1333333333333351</v>
      </c>
      <c r="X69" s="136"/>
      <c r="Y69" s="131">
        <v>210.7</v>
      </c>
      <c r="Z69" s="153">
        <v>192.15</v>
      </c>
      <c r="AA69" s="18">
        <f t="shared" si="29"/>
        <v>4.6374999999999957</v>
      </c>
      <c r="AB69" s="136"/>
      <c r="AC69" s="153">
        <v>192.15</v>
      </c>
      <c r="AD69" s="131">
        <v>180.72</v>
      </c>
      <c r="AE69" s="18">
        <f t="shared" si="30"/>
        <v>3.8100000000000023</v>
      </c>
      <c r="AF69" s="136"/>
      <c r="AG69" s="131">
        <v>180.72</v>
      </c>
      <c r="AH69" s="131">
        <v>154.68</v>
      </c>
      <c r="AI69" s="18">
        <f t="shared" si="31"/>
        <v>3.7199999999999989</v>
      </c>
      <c r="AJ69" s="136"/>
      <c r="AK69" s="131"/>
      <c r="AL69" s="131"/>
      <c r="AM69" s="18"/>
      <c r="AN69" s="136"/>
      <c r="AO69" s="151"/>
      <c r="AP69" s="131" t="s">
        <v>285</v>
      </c>
      <c r="AQ69" s="18"/>
      <c r="AR69" s="136"/>
      <c r="AS69" s="131">
        <v>349.59</v>
      </c>
      <c r="AT69" s="131">
        <v>326.3</v>
      </c>
      <c r="AU69" s="18">
        <f t="shared" si="32"/>
        <v>-4.6579999999999924</v>
      </c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</row>
    <row r="70" spans="1:61" ht="16">
      <c r="A70" s="15">
        <v>60</v>
      </c>
      <c r="B70" s="15" t="s">
        <v>46</v>
      </c>
      <c r="C70" s="15" t="s">
        <v>50</v>
      </c>
      <c r="D70" s="15" t="s">
        <v>49</v>
      </c>
      <c r="E70" s="131">
        <v>258.62</v>
      </c>
      <c r="F70" s="131">
        <v>238.2</v>
      </c>
      <c r="G70" s="18">
        <f t="shared" si="24"/>
        <v>6.806666666666672</v>
      </c>
      <c r="H70" s="136"/>
      <c r="I70" s="131">
        <v>238.2</v>
      </c>
      <c r="J70" s="131">
        <v>223.54</v>
      </c>
      <c r="K70" s="18">
        <f t="shared" si="25"/>
        <v>3.6649999999999991</v>
      </c>
      <c r="L70" s="136"/>
      <c r="M70" s="131">
        <v>223.54</v>
      </c>
      <c r="N70" s="131">
        <v>212.58</v>
      </c>
      <c r="O70" s="18">
        <f t="shared" si="26"/>
        <v>2.7399999999999949</v>
      </c>
      <c r="P70" s="136"/>
      <c r="Q70" s="131">
        <v>212.58</v>
      </c>
      <c r="R70" s="131">
        <v>202.04</v>
      </c>
      <c r="S70" s="18">
        <f t="shared" si="27"/>
        <v>2.6350000000000051</v>
      </c>
      <c r="T70" s="136"/>
      <c r="U70" s="131">
        <v>202.04</v>
      </c>
      <c r="V70" s="131">
        <v>188.49</v>
      </c>
      <c r="W70" s="18">
        <f t="shared" si="28"/>
        <v>4.5166666666666613</v>
      </c>
      <c r="X70" s="136"/>
      <c r="Y70" s="131">
        <v>188.49</v>
      </c>
      <c r="Z70" s="153">
        <v>172.82</v>
      </c>
      <c r="AA70" s="18">
        <f t="shared" si="29"/>
        <v>3.917500000000004</v>
      </c>
      <c r="AB70" s="136"/>
      <c r="AC70" s="153">
        <v>172.82</v>
      </c>
      <c r="AD70" s="131">
        <v>161.76</v>
      </c>
      <c r="AE70" s="18">
        <f t="shared" si="30"/>
        <v>3.6866666666666674</v>
      </c>
      <c r="AF70" s="136"/>
      <c r="AG70" s="131">
        <v>161.76</v>
      </c>
      <c r="AH70" s="131">
        <v>136.03</v>
      </c>
      <c r="AI70" s="18">
        <f t="shared" si="31"/>
        <v>3.6757142857142844</v>
      </c>
      <c r="AJ70" s="136"/>
      <c r="AK70" s="131"/>
      <c r="AL70" s="131"/>
      <c r="AM70" s="18"/>
      <c r="AN70" s="136"/>
      <c r="AO70" s="151"/>
      <c r="AP70" s="131" t="s">
        <v>285</v>
      </c>
      <c r="AQ70" s="18"/>
      <c r="AR70" s="136"/>
      <c r="AS70" s="131">
        <v>347.34</v>
      </c>
      <c r="AT70" s="136">
        <v>325.02</v>
      </c>
      <c r="AU70" s="18">
        <f t="shared" si="32"/>
        <v>-4.4639999999999986</v>
      </c>
      <c r="AV70" s="136"/>
      <c r="AW70" s="136"/>
      <c r="AX70" s="136"/>
      <c r="AY70" s="136"/>
      <c r="AZ70" s="136"/>
      <c r="BA70" s="136"/>
      <c r="BB70" s="142"/>
      <c r="BC70" s="142"/>
      <c r="BD70" s="142"/>
      <c r="BE70" s="142"/>
      <c r="BF70" s="142"/>
      <c r="BG70" s="142"/>
      <c r="BH70" s="142"/>
      <c r="BI70" s="142"/>
    </row>
    <row r="71" spans="1:61" ht="16">
      <c r="A71" s="15">
        <v>61</v>
      </c>
      <c r="B71" s="15" t="s">
        <v>51</v>
      </c>
      <c r="C71" s="15" t="s">
        <v>50</v>
      </c>
      <c r="D71" s="15" t="s">
        <v>48</v>
      </c>
      <c r="E71" s="131">
        <v>353.74</v>
      </c>
      <c r="F71" s="131">
        <v>340.4</v>
      </c>
      <c r="G71" s="18">
        <f t="shared" si="24"/>
        <v>4.446666666666677</v>
      </c>
      <c r="H71" s="136"/>
      <c r="I71" s="131">
        <v>340.4</v>
      </c>
      <c r="J71" s="131">
        <v>331.6</v>
      </c>
      <c r="K71" s="18">
        <f t="shared" si="25"/>
        <v>2.1999999999999886</v>
      </c>
      <c r="L71" s="136"/>
      <c r="M71" s="131">
        <v>331.6</v>
      </c>
      <c r="N71" s="131">
        <v>318.77999999999997</v>
      </c>
      <c r="O71" s="18">
        <f t="shared" si="26"/>
        <v>3.2050000000000125</v>
      </c>
      <c r="P71" s="136"/>
      <c r="Q71" s="131">
        <v>318.77999999999997</v>
      </c>
      <c r="R71" s="131">
        <v>300.97000000000003</v>
      </c>
      <c r="S71" s="18">
        <f t="shared" si="27"/>
        <v>4.4524999999999864</v>
      </c>
      <c r="T71" s="136"/>
      <c r="U71" s="131">
        <v>300.97000000000003</v>
      </c>
      <c r="V71" s="131">
        <v>284.98</v>
      </c>
      <c r="W71" s="18">
        <f t="shared" si="28"/>
        <v>5.3300000000000027</v>
      </c>
      <c r="X71" s="136"/>
      <c r="Y71" s="131">
        <v>284.98</v>
      </c>
      <c r="Z71" s="153">
        <v>245.45</v>
      </c>
      <c r="AA71" s="18">
        <f t="shared" si="29"/>
        <v>9.8825000000000074</v>
      </c>
      <c r="AB71" s="136"/>
      <c r="AC71" s="153">
        <v>245.45</v>
      </c>
      <c r="AD71" s="131">
        <v>231.3</v>
      </c>
      <c r="AE71" s="18">
        <f t="shared" si="30"/>
        <v>4.7166666666666588</v>
      </c>
      <c r="AF71" s="136"/>
      <c r="AG71" s="131">
        <v>231.3</v>
      </c>
      <c r="AH71" s="131">
        <v>197.15</v>
      </c>
      <c r="AI71" s="18">
        <f t="shared" si="31"/>
        <v>4.878571428571429</v>
      </c>
      <c r="AJ71" s="136"/>
      <c r="AK71" s="131"/>
      <c r="AL71" s="131"/>
      <c r="AM71" s="18"/>
      <c r="AN71" s="136"/>
      <c r="AO71" s="149"/>
      <c r="AP71" s="131" t="s">
        <v>285</v>
      </c>
      <c r="AQ71" s="18"/>
      <c r="AR71" s="136"/>
      <c r="AS71" s="131">
        <v>368.24</v>
      </c>
      <c r="AT71" s="131">
        <v>345.86</v>
      </c>
      <c r="AU71" s="18">
        <f t="shared" si="32"/>
        <v>-4.4759999999999991</v>
      </c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</row>
    <row r="72" spans="1:61" ht="16">
      <c r="A72" s="15">
        <v>62</v>
      </c>
      <c r="B72" s="15" t="s">
        <v>51</v>
      </c>
      <c r="C72" s="15" t="s">
        <v>50</v>
      </c>
      <c r="D72" s="15" t="s">
        <v>49</v>
      </c>
      <c r="E72" s="131">
        <v>335.36</v>
      </c>
      <c r="F72" s="131">
        <v>315.8</v>
      </c>
      <c r="G72" s="18">
        <f t="shared" si="24"/>
        <v>6.5200000000000005</v>
      </c>
      <c r="H72" s="136"/>
      <c r="I72" s="131">
        <v>315.8</v>
      </c>
      <c r="J72" s="131">
        <v>305.45999999999998</v>
      </c>
      <c r="K72" s="18">
        <f t="shared" si="25"/>
        <v>2.585000000000008</v>
      </c>
      <c r="L72" s="136"/>
      <c r="M72" s="131">
        <v>305.45999999999998</v>
      </c>
      <c r="N72" s="131">
        <v>289.7</v>
      </c>
      <c r="O72" s="18">
        <f t="shared" si="26"/>
        <v>3.9399999999999977</v>
      </c>
      <c r="P72" s="136"/>
      <c r="Q72" s="131">
        <v>289.7</v>
      </c>
      <c r="R72" s="131">
        <v>276.83</v>
      </c>
      <c r="S72" s="18">
        <f t="shared" si="27"/>
        <v>3.2175000000000011</v>
      </c>
      <c r="T72" s="136"/>
      <c r="U72" s="131">
        <v>276.83</v>
      </c>
      <c r="V72" s="131">
        <v>263.08999999999997</v>
      </c>
      <c r="W72" s="18">
        <f t="shared" si="28"/>
        <v>4.5800000000000027</v>
      </c>
      <c r="X72" s="136"/>
      <c r="Y72" s="131">
        <v>263.08999999999997</v>
      </c>
      <c r="Z72" s="153">
        <v>232.46</v>
      </c>
      <c r="AA72" s="18">
        <f t="shared" si="29"/>
        <v>7.6574999999999918</v>
      </c>
      <c r="AB72" s="136"/>
      <c r="AC72" s="153">
        <v>232.46</v>
      </c>
      <c r="AD72" s="131">
        <v>218.61</v>
      </c>
      <c r="AE72" s="18">
        <f t="shared" si="30"/>
        <v>4.6166666666666645</v>
      </c>
      <c r="AF72" s="136"/>
      <c r="AG72" s="131">
        <v>218.61</v>
      </c>
      <c r="AH72" s="131">
        <v>184.82</v>
      </c>
      <c r="AI72" s="18">
        <f t="shared" si="31"/>
        <v>4.8271428571428601</v>
      </c>
      <c r="AJ72" s="136"/>
      <c r="AK72" s="131"/>
      <c r="AL72" s="131"/>
      <c r="AM72" s="18"/>
      <c r="AN72" s="136"/>
      <c r="AO72" s="154"/>
      <c r="AP72" s="131" t="s">
        <v>285</v>
      </c>
      <c r="AQ72" s="18"/>
      <c r="AR72" s="136"/>
      <c r="AS72" s="131">
        <v>375.02</v>
      </c>
      <c r="AT72" s="131">
        <v>349.52</v>
      </c>
      <c r="AU72" s="18">
        <f t="shared" si="32"/>
        <v>-5.0999999999999996</v>
      </c>
      <c r="AV72" s="136"/>
      <c r="AW72" s="136"/>
      <c r="AX72" s="136"/>
      <c r="AY72" s="136"/>
      <c r="AZ72" s="136"/>
      <c r="BA72" s="136"/>
      <c r="BB72" s="142"/>
      <c r="BC72" s="142"/>
      <c r="BD72" s="142"/>
      <c r="BE72" s="142"/>
      <c r="BF72" s="142"/>
      <c r="BG72" s="142"/>
      <c r="BH72" s="142"/>
      <c r="BI72" s="142"/>
    </row>
    <row r="73" spans="1:61" ht="16">
      <c r="A73" s="15">
        <v>63</v>
      </c>
      <c r="B73" s="15" t="s">
        <v>51</v>
      </c>
      <c r="C73" s="15" t="s">
        <v>50</v>
      </c>
      <c r="D73" s="15" t="s">
        <v>48</v>
      </c>
      <c r="E73" s="131">
        <v>310.57</v>
      </c>
      <c r="F73" s="131">
        <v>294.5</v>
      </c>
      <c r="G73" s="18">
        <f t="shared" si="24"/>
        <v>5.3566666666666647</v>
      </c>
      <c r="H73" s="136"/>
      <c r="I73" s="131">
        <v>294.5</v>
      </c>
      <c r="J73" s="131">
        <v>281.69</v>
      </c>
      <c r="K73" s="18">
        <f t="shared" si="25"/>
        <v>3.2025000000000006</v>
      </c>
      <c r="L73" s="136"/>
      <c r="M73" s="131">
        <v>281.69</v>
      </c>
      <c r="N73" s="131">
        <v>264.3</v>
      </c>
      <c r="O73" s="18">
        <f t="shared" si="26"/>
        <v>4.3474999999999966</v>
      </c>
      <c r="P73" s="136"/>
      <c r="Q73" s="131">
        <v>264.3</v>
      </c>
      <c r="R73" s="131">
        <v>245.37</v>
      </c>
      <c r="S73" s="18">
        <f t="shared" si="27"/>
        <v>4.7325000000000017</v>
      </c>
      <c r="T73" s="136"/>
      <c r="U73" s="131">
        <v>245.37</v>
      </c>
      <c r="V73" s="131">
        <v>227.69</v>
      </c>
      <c r="W73" s="18">
        <f t="shared" si="28"/>
        <v>5.8933333333333353</v>
      </c>
      <c r="X73" s="136"/>
      <c r="Y73" s="131">
        <v>227.69</v>
      </c>
      <c r="Z73" s="153">
        <v>173.6</v>
      </c>
      <c r="AA73" s="18">
        <f t="shared" si="29"/>
        <v>13.522500000000001</v>
      </c>
      <c r="AB73" s="136"/>
      <c r="AC73" s="153">
        <v>173.6</v>
      </c>
      <c r="AD73" s="131">
        <v>160.74</v>
      </c>
      <c r="AE73" s="18">
        <f t="shared" si="30"/>
        <v>4.2866666666666617</v>
      </c>
      <c r="AF73" s="136"/>
      <c r="AG73" s="131">
        <v>160.74</v>
      </c>
      <c r="AH73" s="131">
        <v>126.77</v>
      </c>
      <c r="AI73" s="18">
        <f t="shared" si="31"/>
        <v>4.852857142857145</v>
      </c>
      <c r="AJ73" s="136"/>
      <c r="AK73" s="131"/>
      <c r="AL73" s="131"/>
      <c r="AM73" s="18"/>
      <c r="AN73" s="136"/>
      <c r="AO73" s="154"/>
      <c r="AP73" s="131" t="s">
        <v>285</v>
      </c>
      <c r="AQ73" s="18"/>
      <c r="AR73" s="136"/>
      <c r="AS73" s="131">
        <v>355.36</v>
      </c>
      <c r="AT73" s="131">
        <v>326.58</v>
      </c>
      <c r="AU73" s="18">
        <f t="shared" si="32"/>
        <v>-5.7560000000000056</v>
      </c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</row>
    <row r="74" spans="1:61" ht="16">
      <c r="A74" s="15">
        <v>64</v>
      </c>
      <c r="B74" s="15" t="s">
        <v>51</v>
      </c>
      <c r="C74" s="15" t="s">
        <v>50</v>
      </c>
      <c r="D74" s="15" t="s">
        <v>49</v>
      </c>
      <c r="E74" s="131">
        <v>343.17</v>
      </c>
      <c r="F74" s="131">
        <v>329.7</v>
      </c>
      <c r="G74" s="18">
        <f t="shared" si="24"/>
        <v>4.4900000000000091</v>
      </c>
      <c r="H74" s="136"/>
      <c r="I74" s="131">
        <v>329.7</v>
      </c>
      <c r="J74" s="155">
        <v>318.56</v>
      </c>
      <c r="K74" s="18">
        <f t="shared" si="25"/>
        <v>2.7849999999999966</v>
      </c>
      <c r="L74" s="136"/>
      <c r="M74" s="155">
        <v>318.56</v>
      </c>
      <c r="N74" s="131">
        <v>310.10000000000002</v>
      </c>
      <c r="O74" s="18">
        <f t="shared" si="26"/>
        <v>2.1149999999999949</v>
      </c>
      <c r="P74" s="136"/>
      <c r="Q74" s="131">
        <v>310.10000000000002</v>
      </c>
      <c r="R74" s="155">
        <v>299.61</v>
      </c>
      <c r="S74" s="18">
        <f t="shared" si="27"/>
        <v>2.6225000000000023</v>
      </c>
      <c r="T74" s="136"/>
      <c r="U74" s="155">
        <v>299.61</v>
      </c>
      <c r="V74" s="131">
        <v>287.31</v>
      </c>
      <c r="W74" s="18">
        <f t="shared" si="28"/>
        <v>4.1000000000000041</v>
      </c>
      <c r="X74" s="136"/>
      <c r="Y74" s="131">
        <v>287.31</v>
      </c>
      <c r="Z74" s="153">
        <v>251.39</v>
      </c>
      <c r="AA74" s="18">
        <f t="shared" si="29"/>
        <v>8.980000000000004</v>
      </c>
      <c r="AB74" s="136"/>
      <c r="AC74" s="153">
        <v>251.39</v>
      </c>
      <c r="AD74" s="16">
        <v>236.68</v>
      </c>
      <c r="AE74" s="18">
        <f t="shared" si="30"/>
        <v>4.9033333333333262</v>
      </c>
      <c r="AF74" s="136"/>
      <c r="AG74" s="131">
        <v>236.68</v>
      </c>
      <c r="AH74" s="155">
        <v>204.36</v>
      </c>
      <c r="AI74" s="18">
        <f t="shared" si="31"/>
        <v>4.6171428571428565</v>
      </c>
      <c r="AJ74" s="136"/>
      <c r="AK74" s="155"/>
      <c r="AL74" s="131"/>
      <c r="AM74" s="18"/>
      <c r="AN74" s="136"/>
      <c r="AO74" s="154"/>
      <c r="AP74" s="131" t="s">
        <v>285</v>
      </c>
      <c r="AQ74" s="18"/>
      <c r="AR74" s="136"/>
      <c r="AS74" s="131">
        <v>383.68</v>
      </c>
      <c r="AT74" s="131">
        <v>360.01</v>
      </c>
      <c r="AU74" s="18">
        <f t="shared" si="32"/>
        <v>-4.7340000000000035</v>
      </c>
      <c r="AV74" s="136"/>
      <c r="AW74" s="136"/>
      <c r="AX74" s="136"/>
      <c r="AY74" s="136"/>
      <c r="AZ74" s="136"/>
      <c r="BA74" s="136"/>
      <c r="BB74" s="142"/>
      <c r="BC74" s="142"/>
      <c r="BD74" s="142"/>
      <c r="BE74" s="142"/>
      <c r="BF74" s="142"/>
      <c r="BG74" s="142"/>
      <c r="BH74" s="142"/>
      <c r="BI74" s="142"/>
    </row>
    <row r="75" spans="1:61" ht="16">
      <c r="A75" s="15">
        <v>65</v>
      </c>
      <c r="B75" s="15" t="s">
        <v>51</v>
      </c>
      <c r="C75" s="15" t="s">
        <v>50</v>
      </c>
      <c r="D75" s="15" t="s">
        <v>48</v>
      </c>
      <c r="E75" s="131">
        <v>303.8</v>
      </c>
      <c r="F75" s="131">
        <v>286.2</v>
      </c>
      <c r="G75" s="18">
        <f t="shared" si="24"/>
        <v>5.8666666666666742</v>
      </c>
      <c r="H75" s="136"/>
      <c r="I75" s="131">
        <v>286.2</v>
      </c>
      <c r="J75" s="131">
        <v>272</v>
      </c>
      <c r="K75" s="18">
        <f t="shared" si="25"/>
        <v>3.5499999999999972</v>
      </c>
      <c r="L75" s="136"/>
      <c r="M75" s="131">
        <v>291.8</v>
      </c>
      <c r="N75" s="131">
        <v>260.13</v>
      </c>
      <c r="O75" s="18">
        <f t="shared" si="26"/>
        <v>7.917500000000004</v>
      </c>
      <c r="P75" s="136"/>
      <c r="Q75" s="131">
        <v>260.13</v>
      </c>
      <c r="R75" s="131">
        <v>244.11</v>
      </c>
      <c r="S75" s="18">
        <f t="shared" si="27"/>
        <v>4.0049999999999955</v>
      </c>
      <c r="T75" s="136"/>
      <c r="U75" s="131">
        <v>244.11</v>
      </c>
      <c r="V75" s="131">
        <v>228.21</v>
      </c>
      <c r="W75" s="18">
        <f t="shared" si="28"/>
        <v>5.3000000000000016</v>
      </c>
      <c r="X75" s="136"/>
      <c r="Y75" s="131">
        <v>228.21</v>
      </c>
      <c r="Z75" s="153">
        <v>193.39</v>
      </c>
      <c r="AA75" s="18">
        <f t="shared" si="29"/>
        <v>8.7050000000000054</v>
      </c>
      <c r="AB75" s="136"/>
      <c r="AC75" s="153">
        <v>193.39</v>
      </c>
      <c r="AD75" s="153">
        <v>177.07</v>
      </c>
      <c r="AE75" s="18">
        <f t="shared" si="30"/>
        <v>5.4399999999999977</v>
      </c>
      <c r="AF75" s="136"/>
      <c r="AG75" s="131">
        <v>177.07</v>
      </c>
      <c r="AH75" s="131">
        <v>136.38</v>
      </c>
      <c r="AI75" s="18">
        <f t="shared" si="31"/>
        <v>5.8128571428571423</v>
      </c>
      <c r="AJ75" s="136"/>
      <c r="AK75" s="131"/>
      <c r="AL75" s="131"/>
      <c r="AM75" s="18"/>
      <c r="AN75" s="136"/>
      <c r="AO75" s="154"/>
      <c r="AP75" s="131" t="s">
        <v>285</v>
      </c>
      <c r="AQ75" s="18"/>
      <c r="AR75" s="136"/>
      <c r="AS75" s="131">
        <v>362.17</v>
      </c>
      <c r="AT75" s="131">
        <v>339.93</v>
      </c>
      <c r="AU75" s="18">
        <f t="shared" si="32"/>
        <v>-4.4480000000000022</v>
      </c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</row>
    <row r="76" spans="1:61" ht="16">
      <c r="A76" s="15">
        <v>66</v>
      </c>
      <c r="B76" s="15" t="s">
        <v>51</v>
      </c>
      <c r="C76" s="15" t="s">
        <v>50</v>
      </c>
      <c r="D76" s="15" t="s">
        <v>49</v>
      </c>
      <c r="E76" s="131">
        <v>347.74</v>
      </c>
      <c r="F76" s="131">
        <v>333</v>
      </c>
      <c r="G76" s="18">
        <f t="shared" si="24"/>
        <v>4.9133333333333367</v>
      </c>
      <c r="H76" s="136"/>
      <c r="I76" s="131">
        <v>333</v>
      </c>
      <c r="J76" s="131">
        <v>311.43</v>
      </c>
      <c r="K76" s="18">
        <f t="shared" si="25"/>
        <v>5.3924999999999983</v>
      </c>
      <c r="L76" s="136"/>
      <c r="M76" s="131">
        <v>311.43</v>
      </c>
      <c r="N76" s="131">
        <v>291.8</v>
      </c>
      <c r="O76" s="18">
        <f t="shared" si="26"/>
        <v>4.9074999999999989</v>
      </c>
      <c r="P76" s="136"/>
      <c r="Q76" s="131">
        <v>291.8</v>
      </c>
      <c r="R76" s="131">
        <v>269.24</v>
      </c>
      <c r="S76" s="18">
        <f t="shared" si="27"/>
        <v>5.6400000000000006</v>
      </c>
      <c r="T76" s="136"/>
      <c r="U76" s="131">
        <v>269.24</v>
      </c>
      <c r="V76" s="131">
        <v>251.62</v>
      </c>
      <c r="W76" s="18">
        <f t="shared" si="28"/>
        <v>5.8733333333333348</v>
      </c>
      <c r="X76" s="136"/>
      <c r="Y76" s="131">
        <v>251.62</v>
      </c>
      <c r="Z76" s="153">
        <v>214.4</v>
      </c>
      <c r="AA76" s="18">
        <f t="shared" si="29"/>
        <v>9.3049999999999997</v>
      </c>
      <c r="AB76" s="136"/>
      <c r="AC76" s="153">
        <v>214.4</v>
      </c>
      <c r="AD76" s="153">
        <v>197.4</v>
      </c>
      <c r="AE76" s="18">
        <f t="shared" si="30"/>
        <v>5.666666666666667</v>
      </c>
      <c r="AF76" s="136"/>
      <c r="AG76" s="131">
        <v>197.4</v>
      </c>
      <c r="AH76" s="131">
        <v>156.58000000000001</v>
      </c>
      <c r="AI76" s="18">
        <f t="shared" si="31"/>
        <v>5.8314285714285701</v>
      </c>
      <c r="AJ76" s="136"/>
      <c r="AK76" s="131"/>
      <c r="AL76" s="131"/>
      <c r="AM76" s="18"/>
      <c r="AN76" s="136"/>
      <c r="AO76" s="149"/>
      <c r="AP76" s="131" t="s">
        <v>285</v>
      </c>
      <c r="AQ76" s="18"/>
      <c r="AR76" s="136"/>
      <c r="AS76" s="156">
        <v>336.63</v>
      </c>
      <c r="AT76" s="156">
        <v>333.72</v>
      </c>
      <c r="AU76" s="18">
        <f t="shared" si="32"/>
        <v>-0.58199999999999363</v>
      </c>
      <c r="AV76" s="136"/>
      <c r="AW76" s="136"/>
      <c r="AX76" s="136"/>
      <c r="AY76" s="136"/>
      <c r="AZ76" s="136"/>
      <c r="BA76" s="136"/>
      <c r="BB76" s="142"/>
      <c r="BC76" s="142"/>
      <c r="BD76" s="142"/>
      <c r="BE76" s="142"/>
      <c r="BF76" s="142"/>
      <c r="BG76" s="142"/>
      <c r="BH76" s="142"/>
      <c r="BI76" s="142"/>
    </row>
    <row r="77" spans="1:61" ht="16">
      <c r="A77" s="15">
        <v>67</v>
      </c>
      <c r="B77" s="15" t="s">
        <v>51</v>
      </c>
      <c r="C77" s="15" t="s">
        <v>50</v>
      </c>
      <c r="D77" s="15" t="s">
        <v>48</v>
      </c>
      <c r="E77" s="131">
        <v>321.44</v>
      </c>
      <c r="F77" s="131">
        <v>309.60000000000002</v>
      </c>
      <c r="G77" s="18">
        <f t="shared" si="24"/>
        <v>3.9466666666666583</v>
      </c>
      <c r="H77" s="136"/>
      <c r="I77" s="131">
        <v>309.60000000000002</v>
      </c>
      <c r="J77" s="131">
        <v>294.61</v>
      </c>
      <c r="K77" s="18">
        <f t="shared" si="25"/>
        <v>3.7475000000000023</v>
      </c>
      <c r="L77" s="136"/>
      <c r="M77" s="131">
        <v>294.61</v>
      </c>
      <c r="N77" s="131">
        <v>279.72000000000003</v>
      </c>
      <c r="O77" s="18">
        <f t="shared" si="26"/>
        <v>3.7224999999999966</v>
      </c>
      <c r="P77" s="136"/>
      <c r="Q77" s="131">
        <v>279.72000000000003</v>
      </c>
      <c r="R77" s="131">
        <v>262.08999999999997</v>
      </c>
      <c r="S77" s="18">
        <f t="shared" si="27"/>
        <v>4.4075000000000131</v>
      </c>
      <c r="T77" s="136"/>
      <c r="U77" s="131">
        <v>262.08999999999997</v>
      </c>
      <c r="V77" s="131">
        <v>245.4</v>
      </c>
      <c r="W77" s="18">
        <f t="shared" si="28"/>
        <v>5.5633333333333228</v>
      </c>
      <c r="X77" s="136"/>
      <c r="Y77" s="131">
        <v>245.4</v>
      </c>
      <c r="Z77" s="153">
        <v>189.01</v>
      </c>
      <c r="AA77" s="18">
        <f t="shared" si="29"/>
        <v>14.097500000000004</v>
      </c>
      <c r="AB77" s="136"/>
      <c r="AC77" s="153">
        <v>189.01</v>
      </c>
      <c r="AD77" s="153">
        <v>173.6</v>
      </c>
      <c r="AE77" s="18">
        <f t="shared" si="30"/>
        <v>5.1366666666666658</v>
      </c>
      <c r="AF77" s="136"/>
      <c r="AG77" s="131">
        <v>173.6</v>
      </c>
      <c r="AH77" s="131">
        <v>138.22</v>
      </c>
      <c r="AI77" s="18">
        <f t="shared" si="31"/>
        <v>5.0542857142857134</v>
      </c>
      <c r="AJ77" s="136"/>
      <c r="AK77" s="131"/>
      <c r="AL77" s="131"/>
      <c r="AM77" s="18"/>
      <c r="AN77" s="136"/>
      <c r="AO77" s="149"/>
      <c r="AP77" s="131" t="s">
        <v>285</v>
      </c>
      <c r="AQ77" s="18"/>
      <c r="AR77" s="136"/>
      <c r="AS77" s="131">
        <v>335.24</v>
      </c>
      <c r="AT77" s="131">
        <v>312.79000000000002</v>
      </c>
      <c r="AU77" s="18">
        <f t="shared" si="32"/>
        <v>-4.4899999999999975</v>
      </c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</row>
    <row r="78" spans="1:61" ht="16">
      <c r="A78" s="15">
        <v>68</v>
      </c>
      <c r="B78" s="15" t="s">
        <v>51</v>
      </c>
      <c r="C78" s="15" t="s">
        <v>50</v>
      </c>
      <c r="D78" s="15" t="s">
        <v>49</v>
      </c>
      <c r="E78" s="131">
        <v>305.33</v>
      </c>
      <c r="F78" s="131">
        <v>281.60000000000002</v>
      </c>
      <c r="G78" s="18">
        <f t="shared" si="24"/>
        <v>7.9099999999999868</v>
      </c>
      <c r="H78" s="136"/>
      <c r="I78" s="131">
        <v>281.60000000000002</v>
      </c>
      <c r="J78" s="131">
        <v>261.3</v>
      </c>
      <c r="K78" s="18">
        <f t="shared" si="25"/>
        <v>5.0750000000000028</v>
      </c>
      <c r="L78" s="136"/>
      <c r="M78" s="131">
        <v>261.3</v>
      </c>
      <c r="N78" s="131">
        <v>244.07</v>
      </c>
      <c r="O78" s="18">
        <f t="shared" si="26"/>
        <v>4.3075000000000045</v>
      </c>
      <c r="P78" s="136"/>
      <c r="Q78" s="131">
        <v>244.07</v>
      </c>
      <c r="R78" s="131">
        <v>224.96</v>
      </c>
      <c r="S78" s="18">
        <f t="shared" si="27"/>
        <v>4.7774999999999963</v>
      </c>
      <c r="T78" s="136"/>
      <c r="U78" s="131">
        <v>224.96</v>
      </c>
      <c r="V78" s="131">
        <v>210.59</v>
      </c>
      <c r="W78" s="18">
        <f t="shared" si="28"/>
        <v>4.7900000000000018</v>
      </c>
      <c r="X78" s="136"/>
      <c r="Y78" s="131">
        <v>210.59</v>
      </c>
      <c r="Z78" s="153">
        <v>175.49</v>
      </c>
      <c r="AA78" s="18">
        <f t="shared" si="29"/>
        <v>8.7749999999999986</v>
      </c>
      <c r="AB78" s="136"/>
      <c r="AC78" s="153">
        <v>175.49</v>
      </c>
      <c r="AD78" s="153">
        <v>159.69999999999999</v>
      </c>
      <c r="AE78" s="18">
        <f t="shared" si="30"/>
        <v>5.2633333333333399</v>
      </c>
      <c r="AF78" s="136"/>
      <c r="AG78" s="131">
        <v>159.69999999999999</v>
      </c>
      <c r="AH78" s="131">
        <v>127.57</v>
      </c>
      <c r="AI78" s="18">
        <f t="shared" si="31"/>
        <v>4.589999999999999</v>
      </c>
      <c r="AJ78" s="136"/>
      <c r="AK78" s="131"/>
      <c r="AL78" s="131"/>
      <c r="AM78" s="18"/>
      <c r="AN78" s="136"/>
      <c r="AO78" s="149"/>
      <c r="AP78" s="131" t="s">
        <v>285</v>
      </c>
      <c r="AQ78" s="18"/>
      <c r="AR78" s="136"/>
      <c r="AS78" s="131">
        <v>394.9</v>
      </c>
      <c r="AT78" s="131">
        <v>365.8</v>
      </c>
      <c r="AU78" s="18">
        <f t="shared" si="32"/>
        <v>-5.8199999999999932</v>
      </c>
      <c r="AV78" s="136"/>
      <c r="AW78" s="136"/>
      <c r="AX78" s="136"/>
      <c r="AY78" s="136"/>
      <c r="AZ78" s="136"/>
      <c r="BA78" s="136"/>
      <c r="BB78" s="142"/>
      <c r="BC78" s="142"/>
      <c r="BD78" s="142"/>
      <c r="BE78" s="142"/>
      <c r="BF78" s="142"/>
      <c r="BG78" s="142"/>
      <c r="BH78" s="142"/>
      <c r="BI78" s="142"/>
    </row>
    <row r="79" spans="1:61" ht="16">
      <c r="A79" s="15">
        <v>69</v>
      </c>
      <c r="B79" s="15" t="s">
        <v>51</v>
      </c>
      <c r="C79" s="15" t="s">
        <v>50</v>
      </c>
      <c r="D79" s="15" t="s">
        <v>48</v>
      </c>
      <c r="E79" s="131">
        <v>312.91000000000003</v>
      </c>
      <c r="F79" s="131">
        <v>296.39999999999998</v>
      </c>
      <c r="G79" s="18">
        <f t="shared" si="24"/>
        <v>5.503333333333349</v>
      </c>
      <c r="H79" s="136"/>
      <c r="I79" s="131">
        <v>296.39999999999998</v>
      </c>
      <c r="J79" s="131">
        <v>281.47000000000003</v>
      </c>
      <c r="K79" s="18">
        <f t="shared" si="25"/>
        <v>3.7324999999999875</v>
      </c>
      <c r="L79" s="136"/>
      <c r="M79" s="131">
        <v>281.47000000000003</v>
      </c>
      <c r="N79" s="131">
        <v>263.86</v>
      </c>
      <c r="O79" s="18">
        <f t="shared" si="26"/>
        <v>4.4025000000000034</v>
      </c>
      <c r="P79" s="136"/>
      <c r="Q79" s="131">
        <v>263.86</v>
      </c>
      <c r="R79" s="131">
        <v>245.75</v>
      </c>
      <c r="S79" s="18">
        <f t="shared" si="27"/>
        <v>4.5275000000000034</v>
      </c>
      <c r="T79" s="136"/>
      <c r="U79" s="131">
        <v>245.75</v>
      </c>
      <c r="V79" s="131">
        <v>229.76</v>
      </c>
      <c r="W79" s="18">
        <f t="shared" si="28"/>
        <v>5.3300000000000027</v>
      </c>
      <c r="X79" s="136"/>
      <c r="Y79" s="131">
        <v>229.76</v>
      </c>
      <c r="Z79" s="153">
        <v>183.39</v>
      </c>
      <c r="AA79" s="18">
        <f t="shared" si="29"/>
        <v>11.592500000000001</v>
      </c>
      <c r="AB79" s="136"/>
      <c r="AC79" s="153">
        <v>183.39</v>
      </c>
      <c r="AD79" s="153">
        <v>167.73</v>
      </c>
      <c r="AE79" s="18">
        <f t="shared" si="30"/>
        <v>5.2199999999999989</v>
      </c>
      <c r="AF79" s="136"/>
      <c r="AG79" s="131">
        <v>167.73</v>
      </c>
      <c r="AH79" s="131">
        <v>130.09</v>
      </c>
      <c r="AI79" s="18">
        <f t="shared" si="31"/>
        <v>5.3771428571428554</v>
      </c>
      <c r="AJ79" s="136"/>
      <c r="AK79" s="131"/>
      <c r="AL79" s="131"/>
      <c r="AM79" s="18"/>
      <c r="AN79" s="136"/>
      <c r="AO79" s="154"/>
      <c r="AP79" s="131" t="s">
        <v>285</v>
      </c>
      <c r="AQ79" s="18"/>
      <c r="AR79" s="136"/>
      <c r="AS79" s="131">
        <v>370.7</v>
      </c>
      <c r="AT79" s="131">
        <v>344.8</v>
      </c>
      <c r="AU79" s="18">
        <f t="shared" si="32"/>
        <v>-5.1799999999999953</v>
      </c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</row>
    <row r="80" spans="1:61" ht="16">
      <c r="A80" s="15">
        <v>70</v>
      </c>
      <c r="B80" s="15" t="s">
        <v>51</v>
      </c>
      <c r="C80" s="15" t="s">
        <v>50</v>
      </c>
      <c r="D80" s="15" t="s">
        <v>49</v>
      </c>
      <c r="E80" s="131">
        <v>312.33999999999997</v>
      </c>
      <c r="F80" s="131">
        <v>289.60000000000002</v>
      </c>
      <c r="G80" s="18">
        <f t="shared" si="24"/>
        <v>7.5799999999999841</v>
      </c>
      <c r="H80" s="136"/>
      <c r="I80" s="131">
        <v>289.60000000000002</v>
      </c>
      <c r="J80" s="131">
        <v>270</v>
      </c>
      <c r="K80" s="18">
        <f t="shared" si="25"/>
        <v>4.9000000000000057</v>
      </c>
      <c r="L80" s="136"/>
      <c r="M80" s="131">
        <v>270</v>
      </c>
      <c r="N80" s="131">
        <v>252.7</v>
      </c>
      <c r="O80" s="18">
        <f t="shared" si="26"/>
        <v>4.3250000000000028</v>
      </c>
      <c r="P80" s="136"/>
      <c r="Q80" s="131">
        <v>252.7</v>
      </c>
      <c r="R80" s="131">
        <v>233.82</v>
      </c>
      <c r="S80" s="18">
        <f t="shared" si="27"/>
        <v>4.7199999999999989</v>
      </c>
      <c r="T80" s="136"/>
      <c r="U80" s="131">
        <v>233.82</v>
      </c>
      <c r="V80" s="131">
        <v>214.82</v>
      </c>
      <c r="W80" s="18">
        <f t="shared" si="28"/>
        <v>6.333333333333333</v>
      </c>
      <c r="X80" s="136"/>
      <c r="Y80" s="131">
        <v>214.82</v>
      </c>
      <c r="Z80" s="153">
        <v>192.6</v>
      </c>
      <c r="AA80" s="18">
        <f t="shared" si="29"/>
        <v>5.5549999999999997</v>
      </c>
      <c r="AB80" s="136"/>
      <c r="AC80" s="153">
        <v>192.6</v>
      </c>
      <c r="AD80" s="153">
        <v>177.62</v>
      </c>
      <c r="AE80" s="18">
        <f t="shared" si="30"/>
        <v>4.9933333333333296</v>
      </c>
      <c r="AF80" s="136"/>
      <c r="AG80" s="131">
        <v>177.62</v>
      </c>
      <c r="AH80" s="131">
        <v>140.63999999999999</v>
      </c>
      <c r="AI80" s="18">
        <f t="shared" si="31"/>
        <v>5.2828571428571456</v>
      </c>
      <c r="AJ80" s="136"/>
      <c r="AK80" s="131"/>
      <c r="AL80" s="131"/>
      <c r="AM80" s="18"/>
      <c r="AN80" s="136"/>
      <c r="AO80" s="149"/>
      <c r="AP80" s="131" t="s">
        <v>285</v>
      </c>
      <c r="AQ80" s="18"/>
      <c r="AR80" s="136"/>
      <c r="AS80" s="131">
        <v>355.2</v>
      </c>
      <c r="AT80" s="131">
        <v>329.86</v>
      </c>
      <c r="AU80" s="18">
        <f t="shared" si="32"/>
        <v>-5.0679999999999952</v>
      </c>
      <c r="AV80" s="136"/>
      <c r="AW80" s="136"/>
      <c r="AX80" s="136"/>
      <c r="AY80" s="136"/>
      <c r="AZ80" s="136"/>
      <c r="BA80" s="136"/>
      <c r="BB80" s="142"/>
      <c r="BC80" s="142"/>
      <c r="BD80" s="142"/>
      <c r="BE80" s="142"/>
      <c r="BF80" s="142"/>
      <c r="BG80" s="142"/>
      <c r="BH80" s="142"/>
      <c r="BI80" s="142"/>
    </row>
    <row r="81" spans="1:61" ht="16">
      <c r="A81" s="15">
        <v>71</v>
      </c>
      <c r="B81" s="157" t="s">
        <v>51</v>
      </c>
      <c r="C81" s="15" t="s">
        <v>50</v>
      </c>
      <c r="D81" s="157" t="s">
        <v>49</v>
      </c>
      <c r="E81" s="131">
        <v>252.59</v>
      </c>
      <c r="F81" s="131">
        <v>233.8</v>
      </c>
      <c r="G81" s="18">
        <f t="shared" si="24"/>
        <v>6.263333333333331</v>
      </c>
      <c r="H81" s="136"/>
      <c r="I81" s="131">
        <v>233.8</v>
      </c>
      <c r="J81" s="131">
        <v>215.3</v>
      </c>
      <c r="K81" s="18">
        <f t="shared" si="25"/>
        <v>4.625</v>
      </c>
      <c r="L81" s="136"/>
      <c r="M81" s="131">
        <v>215.3</v>
      </c>
      <c r="N81" s="131">
        <v>194.97</v>
      </c>
      <c r="O81" s="18">
        <f t="shared" si="26"/>
        <v>5.0825000000000031</v>
      </c>
      <c r="P81" s="136"/>
      <c r="Q81" s="131">
        <v>194.97</v>
      </c>
      <c r="R81" s="131">
        <v>174.97</v>
      </c>
      <c r="S81" s="18">
        <f t="shared" si="27"/>
        <v>5</v>
      </c>
      <c r="T81" s="136"/>
      <c r="U81" s="131">
        <v>174.97</v>
      </c>
      <c r="V81" s="131">
        <v>157.80000000000001</v>
      </c>
      <c r="W81" s="18">
        <f t="shared" si="28"/>
        <v>5.7233333333333292</v>
      </c>
      <c r="X81" s="136"/>
      <c r="Y81" s="131">
        <v>157.80000000000001</v>
      </c>
      <c r="Z81" s="153">
        <v>131.25</v>
      </c>
      <c r="AA81" s="18">
        <f t="shared" si="29"/>
        <v>6.6375000000000028</v>
      </c>
      <c r="AB81" s="136"/>
      <c r="AC81" s="153">
        <v>131.25</v>
      </c>
      <c r="AD81" s="153">
        <v>112.5</v>
      </c>
      <c r="AE81" s="18">
        <f t="shared" si="30"/>
        <v>6.25</v>
      </c>
      <c r="AF81" s="136"/>
      <c r="AG81" s="131">
        <v>112.5</v>
      </c>
      <c r="AH81" s="131">
        <v>70.34</v>
      </c>
      <c r="AI81" s="18">
        <f t="shared" si="31"/>
        <v>6.0228571428571422</v>
      </c>
      <c r="AJ81" s="136"/>
      <c r="AK81" s="131"/>
      <c r="AL81" s="131"/>
      <c r="AM81" s="18"/>
      <c r="AN81" s="136"/>
      <c r="AO81" s="154"/>
      <c r="AP81" s="131" t="s">
        <v>285</v>
      </c>
      <c r="AQ81" s="18"/>
      <c r="AR81" s="136"/>
      <c r="AS81" s="131">
        <v>349.14</v>
      </c>
      <c r="AT81" s="131">
        <v>314.69</v>
      </c>
      <c r="AU81" s="18">
        <f t="shared" si="32"/>
        <v>-6.8899999999999979</v>
      </c>
      <c r="AV81" s="136"/>
      <c r="AW81" s="136"/>
      <c r="AX81" s="136"/>
      <c r="AY81" s="136"/>
      <c r="AZ81" s="136"/>
      <c r="BA81" s="136"/>
      <c r="BB81" s="142"/>
      <c r="BC81" s="142"/>
      <c r="BD81" s="142"/>
      <c r="BE81" s="142"/>
      <c r="BF81" s="142"/>
      <c r="BG81" s="142"/>
      <c r="BH81" s="142"/>
      <c r="BI81" s="142"/>
    </row>
    <row r="82" spans="1:61">
      <c r="A82" s="15"/>
      <c r="B82" s="157"/>
      <c r="C82" s="157"/>
      <c r="D82" s="157"/>
      <c r="E82" s="131"/>
      <c r="F82" s="131"/>
      <c r="G82" s="18"/>
      <c r="H82" s="136"/>
      <c r="I82" s="131"/>
      <c r="J82" s="131"/>
      <c r="K82" s="18"/>
      <c r="L82" s="136"/>
      <c r="M82" s="131"/>
      <c r="N82" s="131"/>
      <c r="O82" s="18"/>
      <c r="P82" s="136"/>
      <c r="Q82" s="131"/>
      <c r="R82" s="131"/>
      <c r="S82" s="18"/>
      <c r="T82" s="136"/>
      <c r="U82" s="131"/>
      <c r="V82" s="131"/>
      <c r="W82" s="18"/>
      <c r="X82" s="136"/>
      <c r="Y82" s="131"/>
      <c r="Z82" s="131"/>
      <c r="AA82" s="18"/>
      <c r="AB82" s="136"/>
      <c r="AC82" s="131"/>
      <c r="AD82" s="131"/>
      <c r="AE82" s="18"/>
      <c r="AF82" s="136"/>
      <c r="AG82" s="131"/>
      <c r="AH82" s="131"/>
      <c r="AI82" s="18"/>
      <c r="AJ82" s="136"/>
      <c r="AK82" s="131"/>
      <c r="AL82" s="131"/>
      <c r="AM82" s="18"/>
      <c r="AN82" s="136"/>
      <c r="AO82" s="131"/>
      <c r="AP82" s="131" t="s">
        <v>285</v>
      </c>
      <c r="AQ82" s="18"/>
      <c r="AR82" s="136"/>
      <c r="AS82" s="131"/>
      <c r="AT82" s="131"/>
      <c r="AU82" s="18">
        <f t="shared" si="32"/>
        <v>0</v>
      </c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</row>
    <row r="83" spans="1:61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</row>
    <row r="84" spans="1:61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</row>
    <row r="85" spans="1:61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</row>
    <row r="86" spans="1:61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</row>
    <row r="87" spans="1:61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</row>
    <row r="88" spans="1:61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</row>
    <row r="89" spans="1:61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</row>
    <row r="90" spans="1:61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</row>
    <row r="91" spans="1:61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</row>
    <row r="92" spans="1:61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</row>
    <row r="93" spans="1:61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</row>
    <row r="94" spans="1:61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</row>
    <row r="95" spans="1:61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</row>
    <row r="96" spans="1:61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</row>
    <row r="97" spans="1:61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</row>
    <row r="98" spans="1:61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</row>
    <row r="99" spans="1:61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</row>
    <row r="100" spans="1:61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</row>
    <row r="101" spans="1:61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</row>
    <row r="102" spans="1:61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</row>
    <row r="103" spans="1:6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</row>
    <row r="104" spans="1:61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</row>
    <row r="105" spans="1:61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</row>
    <row r="106" spans="1:61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</row>
    <row r="107" spans="1:61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</row>
    <row r="108" spans="1:61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</row>
    <row r="109" spans="1:61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</row>
    <row r="110" spans="1:61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</row>
    <row r="111" spans="1:61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</row>
    <row r="112" spans="1:61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</row>
    <row r="113" spans="1:61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</row>
    <row r="114" spans="1:61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</row>
    <row r="115" spans="1:61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</row>
    <row r="116" spans="1:61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</row>
    <row r="117" spans="1:61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</row>
    <row r="118" spans="1:61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</row>
    <row r="119" spans="1:61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</row>
    <row r="120" spans="1:61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</row>
    <row r="121" spans="1:61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</row>
    <row r="122" spans="1:61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</row>
    <row r="123" spans="1:61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</row>
    <row r="124" spans="1:61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</row>
    <row r="125" spans="1:61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</row>
    <row r="126" spans="1:61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</row>
    <row r="127" spans="1:61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</row>
    <row r="128" spans="1:61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</row>
    <row r="129" spans="1:61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</row>
    <row r="130" spans="1:61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</row>
    <row r="131" spans="1:61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</row>
    <row r="132" spans="1:61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</row>
    <row r="133" spans="1:61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</row>
    <row r="134" spans="1:61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</row>
    <row r="135" spans="1:61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</row>
    <row r="136" spans="1:61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</row>
    <row r="137" spans="1:61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</row>
    <row r="138" spans="1:61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</row>
    <row r="139" spans="1:61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</row>
    <row r="140" spans="1:61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</row>
    <row r="141" spans="1:61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</row>
    <row r="142" spans="1:61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</row>
    <row r="143" spans="1:61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</row>
    <row r="144" spans="1:61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</row>
    <row r="145" spans="1:61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</row>
    <row r="146" spans="1:61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  <c r="AA146" s="136"/>
      <c r="AB146" s="136"/>
      <c r="AC146" s="136"/>
      <c r="AD146" s="136"/>
      <c r="AE146" s="136"/>
      <c r="AF146" s="136"/>
      <c r="AG146" s="136"/>
      <c r="AH146" s="136"/>
      <c r="AI146" s="136"/>
      <c r="AJ146" s="136"/>
      <c r="AK146" s="136"/>
      <c r="AL146" s="136"/>
      <c r="AM146" s="136"/>
      <c r="AN146" s="136"/>
      <c r="AO146" s="136"/>
      <c r="AP146" s="136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136"/>
      <c r="BD146" s="136"/>
      <c r="BE146" s="136"/>
      <c r="BF146" s="136"/>
      <c r="BG146" s="136"/>
      <c r="BH146" s="136"/>
      <c r="BI146" s="136"/>
    </row>
    <row r="147" spans="1:61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  <c r="AA147" s="136"/>
      <c r="AB147" s="136"/>
      <c r="AC147" s="136"/>
      <c r="AD147" s="136"/>
      <c r="AE147" s="136"/>
      <c r="AF147" s="136"/>
      <c r="AG147" s="136"/>
      <c r="AH147" s="136"/>
      <c r="AI147" s="136"/>
      <c r="AJ147" s="136"/>
      <c r="AK147" s="136"/>
      <c r="AL147" s="136"/>
      <c r="AM147" s="136"/>
      <c r="AN147" s="136"/>
      <c r="AO147" s="136"/>
      <c r="AP147" s="136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136"/>
      <c r="BD147" s="136"/>
      <c r="BE147" s="136"/>
      <c r="BF147" s="136"/>
      <c r="BG147" s="136"/>
      <c r="BH147" s="136"/>
      <c r="BI147" s="136"/>
    </row>
    <row r="148" spans="1:61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  <c r="AA148" s="136"/>
      <c r="AB148" s="136"/>
      <c r="AC148" s="136"/>
      <c r="AD148" s="136"/>
      <c r="AE148" s="136"/>
      <c r="AF148" s="136"/>
      <c r="AG148" s="136"/>
      <c r="AH148" s="136"/>
      <c r="AI148" s="136"/>
      <c r="AJ148" s="136"/>
      <c r="AK148" s="136"/>
      <c r="AL148" s="136"/>
      <c r="AM148" s="136"/>
      <c r="AN148" s="136"/>
      <c r="AO148" s="136"/>
      <c r="AP148" s="136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136"/>
      <c r="BD148" s="136"/>
      <c r="BE148" s="136"/>
      <c r="BF148" s="136"/>
      <c r="BG148" s="136"/>
      <c r="BH148" s="136"/>
      <c r="BI148" s="136"/>
    </row>
    <row r="149" spans="1:61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  <c r="AA149" s="136"/>
      <c r="AB149" s="136"/>
      <c r="AC149" s="136"/>
      <c r="AD149" s="136"/>
      <c r="AE149" s="136"/>
      <c r="AF149" s="136"/>
      <c r="AG149" s="136"/>
      <c r="AH149" s="136"/>
      <c r="AI149" s="136"/>
      <c r="AJ149" s="136"/>
      <c r="AK149" s="136"/>
      <c r="AL149" s="136"/>
      <c r="AM149" s="136"/>
      <c r="AN149" s="136"/>
      <c r="AO149" s="136"/>
      <c r="AP149" s="136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136"/>
      <c r="BD149" s="136"/>
      <c r="BE149" s="136"/>
      <c r="BF149" s="136"/>
      <c r="BG149" s="136"/>
      <c r="BH149" s="136"/>
      <c r="BI149" s="136"/>
    </row>
    <row r="150" spans="1:61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6"/>
      <c r="AN150" s="136"/>
      <c r="AO150" s="136"/>
      <c r="AP150" s="136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136"/>
      <c r="BD150" s="136"/>
      <c r="BE150" s="136"/>
      <c r="BF150" s="136"/>
      <c r="BG150" s="136"/>
      <c r="BH150" s="136"/>
      <c r="BI150" s="136"/>
    </row>
    <row r="151" spans="1:61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6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6"/>
    </row>
    <row r="152" spans="1:61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  <c r="AA152" s="136"/>
      <c r="AB152" s="136"/>
      <c r="AC152" s="136"/>
      <c r="AD152" s="136"/>
      <c r="AE152" s="136"/>
      <c r="AF152" s="136"/>
      <c r="AG152" s="136"/>
      <c r="AH152" s="136"/>
      <c r="AI152" s="136"/>
      <c r="AJ152" s="136"/>
      <c r="AK152" s="136"/>
      <c r="AL152" s="136"/>
      <c r="AM152" s="136"/>
      <c r="AN152" s="136"/>
      <c r="AO152" s="136"/>
      <c r="AP152" s="136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136"/>
      <c r="BD152" s="136"/>
      <c r="BE152" s="136"/>
      <c r="BF152" s="136"/>
      <c r="BG152" s="136"/>
      <c r="BH152" s="136"/>
      <c r="BI152" s="136"/>
    </row>
    <row r="153" spans="1:61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  <c r="AA153" s="136"/>
      <c r="AB153" s="136"/>
      <c r="AC153" s="136"/>
      <c r="AD153" s="136"/>
      <c r="AE153" s="136"/>
      <c r="AF153" s="136"/>
      <c r="AG153" s="136"/>
      <c r="AH153" s="136"/>
      <c r="AI153" s="136"/>
      <c r="AJ153" s="136"/>
      <c r="AK153" s="136"/>
      <c r="AL153" s="136"/>
      <c r="AM153" s="136"/>
      <c r="AN153" s="136"/>
      <c r="AO153" s="136"/>
      <c r="AP153" s="136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136"/>
      <c r="BD153" s="136"/>
      <c r="BE153" s="136"/>
      <c r="BF153" s="136"/>
      <c r="BG153" s="136"/>
      <c r="BH153" s="136"/>
      <c r="BI153" s="136"/>
    </row>
    <row r="154" spans="1:61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  <c r="AA154" s="136"/>
      <c r="AB154" s="136"/>
      <c r="AC154" s="136"/>
      <c r="AD154" s="136"/>
      <c r="AE154" s="136"/>
      <c r="AF154" s="136"/>
      <c r="AG154" s="136"/>
      <c r="AH154" s="136"/>
      <c r="AI154" s="136"/>
      <c r="AJ154" s="136"/>
      <c r="AK154" s="136"/>
      <c r="AL154" s="136"/>
      <c r="AM154" s="136"/>
      <c r="AN154" s="136"/>
      <c r="AO154" s="136"/>
      <c r="AP154" s="136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136"/>
      <c r="BD154" s="136"/>
      <c r="BE154" s="136"/>
      <c r="BF154" s="136"/>
      <c r="BG154" s="136"/>
      <c r="BH154" s="136"/>
      <c r="BI154" s="136"/>
    </row>
    <row r="155" spans="1:61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136"/>
      <c r="BD155" s="136"/>
      <c r="BE155" s="136"/>
      <c r="BF155" s="136"/>
      <c r="BG155" s="136"/>
      <c r="BH155" s="136"/>
      <c r="BI155" s="136"/>
    </row>
    <row r="156" spans="1:61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  <c r="AA156" s="136"/>
      <c r="AB156" s="136"/>
      <c r="AC156" s="136"/>
      <c r="AD156" s="136"/>
      <c r="AE156" s="136"/>
      <c r="AF156" s="136"/>
      <c r="AG156" s="136"/>
      <c r="AH156" s="136"/>
      <c r="AI156" s="136"/>
      <c r="AJ156" s="136"/>
      <c r="AK156" s="136"/>
      <c r="AL156" s="136"/>
      <c r="AM156" s="136"/>
      <c r="AN156" s="136"/>
      <c r="AO156" s="136"/>
      <c r="AP156" s="136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136"/>
      <c r="BD156" s="136"/>
      <c r="BE156" s="136"/>
      <c r="BF156" s="136"/>
      <c r="BG156" s="136"/>
      <c r="BH156" s="136"/>
      <c r="BI156" s="136"/>
    </row>
    <row r="157" spans="1:61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6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6"/>
    </row>
    <row r="158" spans="1:61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  <c r="AA158" s="136"/>
      <c r="AB158" s="136"/>
      <c r="AC158" s="136"/>
      <c r="AD158" s="136"/>
      <c r="AE158" s="136"/>
      <c r="AF158" s="136"/>
      <c r="AG158" s="136"/>
      <c r="AH158" s="136"/>
      <c r="AI158" s="136"/>
      <c r="AJ158" s="136"/>
      <c r="AK158" s="136"/>
      <c r="AL158" s="136"/>
      <c r="AM158" s="136"/>
      <c r="AN158" s="136"/>
      <c r="AO158" s="136"/>
      <c r="AP158" s="136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136"/>
      <c r="BD158" s="136"/>
      <c r="BE158" s="136"/>
      <c r="BF158" s="136"/>
      <c r="BG158" s="136"/>
      <c r="BH158" s="136"/>
      <c r="BI158" s="136"/>
    </row>
    <row r="159" spans="1:61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  <c r="AA159" s="136"/>
      <c r="AB159" s="136"/>
      <c r="AC159" s="136"/>
      <c r="AD159" s="136"/>
      <c r="AE159" s="136"/>
      <c r="AF159" s="136"/>
      <c r="AG159" s="136"/>
      <c r="AH159" s="136"/>
      <c r="AI159" s="136"/>
      <c r="AJ159" s="136"/>
      <c r="AK159" s="136"/>
      <c r="AL159" s="136"/>
      <c r="AM159" s="136"/>
      <c r="AN159" s="136"/>
      <c r="AO159" s="136"/>
      <c r="AP159" s="136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136"/>
      <c r="BD159" s="136"/>
      <c r="BE159" s="136"/>
      <c r="BF159" s="136"/>
      <c r="BG159" s="136"/>
      <c r="BH159" s="136"/>
      <c r="BI159" s="136"/>
    </row>
    <row r="160" spans="1:61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  <c r="AA160" s="136"/>
      <c r="AB160" s="136"/>
      <c r="AC160" s="136"/>
      <c r="AD160" s="136"/>
      <c r="AE160" s="136"/>
      <c r="AF160" s="136"/>
      <c r="AG160" s="136"/>
      <c r="AH160" s="136"/>
      <c r="AI160" s="136"/>
      <c r="AJ160" s="136"/>
      <c r="AK160" s="136"/>
      <c r="AL160" s="136"/>
      <c r="AM160" s="136"/>
      <c r="AN160" s="136"/>
      <c r="AO160" s="136"/>
      <c r="AP160" s="136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136"/>
      <c r="BD160" s="136"/>
      <c r="BE160" s="136"/>
      <c r="BF160" s="136"/>
      <c r="BG160" s="136"/>
      <c r="BH160" s="136"/>
      <c r="BI160" s="136"/>
    </row>
    <row r="161" spans="1:61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  <c r="AA161" s="136"/>
      <c r="AB161" s="136"/>
      <c r="AC161" s="136"/>
      <c r="AD161" s="136"/>
      <c r="AE161" s="136"/>
      <c r="AF161" s="136"/>
      <c r="AG161" s="136"/>
      <c r="AH161" s="136"/>
      <c r="AI161" s="136"/>
      <c r="AJ161" s="136"/>
      <c r="AK161" s="136"/>
      <c r="AL161" s="136"/>
      <c r="AM161" s="136"/>
      <c r="AN161" s="136"/>
      <c r="AO161" s="136"/>
      <c r="AP161" s="136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136"/>
      <c r="BD161" s="136"/>
      <c r="BE161" s="136"/>
      <c r="BF161" s="136"/>
      <c r="BG161" s="136"/>
      <c r="BH161" s="136"/>
      <c r="BI161" s="136"/>
    </row>
    <row r="162" spans="1:61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6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6"/>
    </row>
    <row r="163" spans="1:61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  <c r="AA163" s="136"/>
      <c r="AB163" s="136"/>
      <c r="AC163" s="136"/>
      <c r="AD163" s="136"/>
      <c r="AE163" s="136"/>
      <c r="AF163" s="136"/>
      <c r="AG163" s="136"/>
      <c r="AH163" s="136"/>
      <c r="AI163" s="136"/>
      <c r="AJ163" s="136"/>
      <c r="AK163" s="136"/>
      <c r="AL163" s="136"/>
      <c r="AM163" s="136"/>
      <c r="AN163" s="136"/>
      <c r="AO163" s="136"/>
      <c r="AP163" s="136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136"/>
      <c r="BD163" s="136"/>
      <c r="BE163" s="136"/>
      <c r="BF163" s="136"/>
      <c r="BG163" s="136"/>
      <c r="BH163" s="136"/>
      <c r="BI163" s="136"/>
    </row>
    <row r="164" spans="1:61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6"/>
      <c r="AN164" s="136"/>
      <c r="AO164" s="136"/>
      <c r="AP164" s="136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136"/>
      <c r="BD164" s="136"/>
      <c r="BE164" s="136"/>
      <c r="BF164" s="136"/>
      <c r="BG164" s="136"/>
      <c r="BH164" s="136"/>
      <c r="BI164" s="136"/>
    </row>
    <row r="165" spans="1:61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136"/>
      <c r="BD165" s="136"/>
      <c r="BE165" s="136"/>
      <c r="BF165" s="136"/>
      <c r="BG165" s="136"/>
      <c r="BH165" s="136"/>
      <c r="BI165" s="136"/>
    </row>
    <row r="166" spans="1:61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  <c r="AA166" s="136"/>
      <c r="AB166" s="136"/>
      <c r="AC166" s="136"/>
      <c r="AD166" s="136"/>
      <c r="AE166" s="136"/>
      <c r="AF166" s="136"/>
      <c r="AG166" s="136"/>
      <c r="AH166" s="136"/>
      <c r="AI166" s="136"/>
      <c r="AJ166" s="136"/>
      <c r="AK166" s="136"/>
      <c r="AL166" s="136"/>
      <c r="AM166" s="136"/>
      <c r="AN166" s="136"/>
      <c r="AO166" s="136"/>
      <c r="AP166" s="136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136"/>
      <c r="BD166" s="136"/>
      <c r="BE166" s="136"/>
      <c r="BF166" s="136"/>
      <c r="BG166" s="136"/>
      <c r="BH166" s="136"/>
      <c r="BI166" s="136"/>
    </row>
    <row r="167" spans="1:61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  <c r="AA167" s="136"/>
      <c r="AB167" s="136"/>
      <c r="AC167" s="136"/>
      <c r="AD167" s="136"/>
      <c r="AE167" s="136"/>
      <c r="AF167" s="136"/>
      <c r="AG167" s="136"/>
      <c r="AH167" s="136"/>
      <c r="AI167" s="136"/>
      <c r="AJ167" s="136"/>
      <c r="AK167" s="136"/>
      <c r="AL167" s="136"/>
      <c r="AM167" s="136"/>
      <c r="AN167" s="136"/>
      <c r="AO167" s="136"/>
      <c r="AP167" s="136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136"/>
      <c r="BD167" s="136"/>
      <c r="BE167" s="136"/>
      <c r="BF167" s="136"/>
      <c r="BG167" s="136"/>
      <c r="BH167" s="136"/>
      <c r="BI167" s="136"/>
    </row>
    <row r="168" spans="1:61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6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6"/>
    </row>
    <row r="169" spans="1:61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  <c r="AA169" s="136"/>
      <c r="AB169" s="136"/>
      <c r="AC169" s="136"/>
      <c r="AD169" s="136"/>
      <c r="AE169" s="136"/>
      <c r="AF169" s="136"/>
      <c r="AG169" s="136"/>
      <c r="AH169" s="136"/>
      <c r="AI169" s="136"/>
      <c r="AJ169" s="136"/>
      <c r="AK169" s="136"/>
      <c r="AL169" s="136"/>
      <c r="AM169" s="136"/>
      <c r="AN169" s="136"/>
      <c r="AO169" s="136"/>
      <c r="AP169" s="136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136"/>
      <c r="BD169" s="136"/>
      <c r="BE169" s="136"/>
      <c r="BF169" s="136"/>
      <c r="BG169" s="136"/>
      <c r="BH169" s="136"/>
      <c r="BI169" s="136"/>
    </row>
    <row r="170" spans="1:61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  <c r="AA170" s="136"/>
      <c r="AB170" s="136"/>
      <c r="AC170" s="136"/>
      <c r="AD170" s="136"/>
      <c r="AE170" s="136"/>
      <c r="AF170" s="136"/>
      <c r="AG170" s="136"/>
      <c r="AH170" s="136"/>
      <c r="AI170" s="136"/>
      <c r="AJ170" s="136"/>
      <c r="AK170" s="136"/>
      <c r="AL170" s="136"/>
      <c r="AM170" s="136"/>
      <c r="AN170" s="136"/>
      <c r="AO170" s="136"/>
      <c r="AP170" s="136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136"/>
      <c r="BD170" s="136"/>
      <c r="BE170" s="136"/>
      <c r="BF170" s="136"/>
      <c r="BG170" s="136"/>
      <c r="BH170" s="136"/>
      <c r="BI170" s="136"/>
    </row>
    <row r="171" spans="1:61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  <c r="AA171" s="136"/>
      <c r="AB171" s="136"/>
      <c r="AC171" s="136"/>
      <c r="AD171" s="136"/>
      <c r="AE171" s="136"/>
      <c r="AF171" s="136"/>
      <c r="AG171" s="136"/>
      <c r="AH171" s="136"/>
      <c r="AI171" s="136"/>
      <c r="AJ171" s="136"/>
      <c r="AK171" s="136"/>
      <c r="AL171" s="136"/>
      <c r="AM171" s="136"/>
      <c r="AN171" s="136"/>
      <c r="AO171" s="136"/>
      <c r="AP171" s="136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136"/>
      <c r="BD171" s="136"/>
      <c r="BE171" s="136"/>
      <c r="BF171" s="136"/>
      <c r="BG171" s="136"/>
      <c r="BH171" s="136"/>
      <c r="BI171" s="136"/>
    </row>
    <row r="172" spans="1:61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  <c r="AA172" s="136"/>
      <c r="AB172" s="136"/>
      <c r="AC172" s="136"/>
      <c r="AD172" s="136"/>
      <c r="AE172" s="136"/>
      <c r="AF172" s="136"/>
      <c r="AG172" s="136"/>
      <c r="AH172" s="136"/>
      <c r="AI172" s="136"/>
      <c r="AJ172" s="136"/>
      <c r="AK172" s="136"/>
      <c r="AL172" s="136"/>
      <c r="AM172" s="136"/>
      <c r="AN172" s="136"/>
      <c r="AO172" s="136"/>
      <c r="AP172" s="136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136"/>
      <c r="BD172" s="136"/>
      <c r="BE172" s="136"/>
      <c r="BF172" s="136"/>
      <c r="BG172" s="136"/>
      <c r="BH172" s="136"/>
      <c r="BI172" s="136"/>
    </row>
    <row r="173" spans="1:61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  <c r="AA173" s="136"/>
      <c r="AB173" s="136"/>
      <c r="AC173" s="136"/>
      <c r="AD173" s="136"/>
      <c r="AE173" s="136"/>
      <c r="AF173" s="136"/>
      <c r="AG173" s="136"/>
      <c r="AH173" s="136"/>
      <c r="AI173" s="136"/>
      <c r="AJ173" s="136"/>
      <c r="AK173" s="136"/>
      <c r="AL173" s="136"/>
      <c r="AM173" s="136"/>
      <c r="AN173" s="136"/>
      <c r="AO173" s="136"/>
      <c r="AP173" s="136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136"/>
      <c r="BD173" s="136"/>
      <c r="BE173" s="136"/>
      <c r="BF173" s="136"/>
      <c r="BG173" s="136"/>
      <c r="BH173" s="136"/>
      <c r="BI173" s="136"/>
    </row>
    <row r="174" spans="1:61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  <c r="AA174" s="136"/>
      <c r="AB174" s="136"/>
      <c r="AC174" s="136"/>
      <c r="AD174" s="136"/>
      <c r="AE174" s="136"/>
      <c r="AF174" s="136"/>
      <c r="AG174" s="136"/>
      <c r="AH174" s="136"/>
      <c r="AI174" s="136"/>
      <c r="AJ174" s="136"/>
      <c r="AK174" s="136"/>
      <c r="AL174" s="136"/>
      <c r="AM174" s="136"/>
      <c r="AN174" s="136"/>
      <c r="AO174" s="136"/>
      <c r="AP174" s="136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136"/>
      <c r="BD174" s="136"/>
      <c r="BE174" s="136"/>
      <c r="BF174" s="136"/>
      <c r="BG174" s="136"/>
      <c r="BH174" s="136"/>
      <c r="BI174" s="136"/>
    </row>
    <row r="175" spans="1:61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  <c r="AA175" s="136"/>
      <c r="AB175" s="136"/>
      <c r="AC175" s="136"/>
      <c r="AD175" s="136"/>
      <c r="AE175" s="136"/>
      <c r="AF175" s="136"/>
      <c r="AG175" s="136"/>
      <c r="AH175" s="136"/>
      <c r="AI175" s="136"/>
      <c r="AJ175" s="136"/>
      <c r="AK175" s="136"/>
      <c r="AL175" s="136"/>
      <c r="AM175" s="136"/>
      <c r="AN175" s="136"/>
      <c r="AO175" s="136"/>
      <c r="AP175" s="136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136"/>
      <c r="BD175" s="136"/>
      <c r="BE175" s="136"/>
      <c r="BF175" s="136"/>
      <c r="BG175" s="136"/>
      <c r="BH175" s="136"/>
      <c r="BI175" s="136"/>
    </row>
    <row r="176" spans="1:61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  <c r="AA176" s="136"/>
      <c r="AB176" s="136"/>
      <c r="AC176" s="136"/>
      <c r="AD176" s="136"/>
      <c r="AE176" s="136"/>
      <c r="AF176" s="136"/>
      <c r="AG176" s="136"/>
      <c r="AH176" s="136"/>
      <c r="AI176" s="136"/>
      <c r="AJ176" s="136"/>
      <c r="AK176" s="136"/>
      <c r="AL176" s="136"/>
      <c r="AM176" s="136"/>
      <c r="AN176" s="136"/>
      <c r="AO176" s="136"/>
      <c r="AP176" s="136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136"/>
      <c r="BD176" s="136"/>
      <c r="BE176" s="136"/>
      <c r="BF176" s="136"/>
      <c r="BG176" s="136"/>
      <c r="BH176" s="136"/>
      <c r="BI176" s="136"/>
    </row>
    <row r="177" spans="1:61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  <c r="AA177" s="136"/>
      <c r="AB177" s="136"/>
      <c r="AC177" s="136"/>
      <c r="AD177" s="136"/>
      <c r="AE177" s="136"/>
      <c r="AF177" s="136"/>
      <c r="AG177" s="136"/>
      <c r="AH177" s="136"/>
      <c r="AI177" s="136"/>
      <c r="AJ177" s="136"/>
      <c r="AK177" s="136"/>
      <c r="AL177" s="136"/>
      <c r="AM177" s="136"/>
      <c r="AN177" s="136"/>
      <c r="AO177" s="136"/>
      <c r="AP177" s="136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136"/>
      <c r="BD177" s="136"/>
      <c r="BE177" s="136"/>
      <c r="BF177" s="136"/>
      <c r="BG177" s="136"/>
      <c r="BH177" s="136"/>
      <c r="BI177" s="136"/>
    </row>
    <row r="178" spans="1:61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  <c r="AA178" s="136"/>
      <c r="AB178" s="136"/>
      <c r="AC178" s="136"/>
      <c r="AD178" s="136"/>
      <c r="AE178" s="136"/>
      <c r="AF178" s="136"/>
      <c r="AG178" s="136"/>
      <c r="AH178" s="136"/>
      <c r="AI178" s="136"/>
      <c r="AJ178" s="136"/>
      <c r="AK178" s="136"/>
      <c r="AL178" s="136"/>
      <c r="AM178" s="136"/>
      <c r="AN178" s="136"/>
      <c r="AO178" s="136"/>
      <c r="AP178" s="136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136"/>
      <c r="BD178" s="136"/>
      <c r="BE178" s="136"/>
      <c r="BF178" s="136"/>
      <c r="BG178" s="136"/>
      <c r="BH178" s="136"/>
      <c r="BI178" s="136"/>
    </row>
    <row r="179" spans="1:61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  <c r="AA179" s="136"/>
      <c r="AB179" s="136"/>
      <c r="AC179" s="136"/>
      <c r="AD179" s="136"/>
      <c r="AE179" s="136"/>
      <c r="AF179" s="136"/>
      <c r="AG179" s="136"/>
      <c r="AH179" s="136"/>
      <c r="AI179" s="136"/>
      <c r="AJ179" s="136"/>
      <c r="AK179" s="136"/>
      <c r="AL179" s="136"/>
      <c r="AM179" s="136"/>
      <c r="AN179" s="136"/>
      <c r="AO179" s="136"/>
      <c r="AP179" s="136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136"/>
      <c r="BD179" s="136"/>
      <c r="BE179" s="136"/>
      <c r="BF179" s="136"/>
      <c r="BG179" s="136"/>
      <c r="BH179" s="136"/>
      <c r="BI179" s="136"/>
    </row>
    <row r="180" spans="1:61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  <c r="AA180" s="136"/>
      <c r="AB180" s="136"/>
      <c r="AC180" s="136"/>
      <c r="AD180" s="136"/>
      <c r="AE180" s="136"/>
      <c r="AF180" s="136"/>
      <c r="AG180" s="136"/>
      <c r="AH180" s="136"/>
      <c r="AI180" s="136"/>
      <c r="AJ180" s="136"/>
      <c r="AK180" s="136"/>
      <c r="AL180" s="136"/>
      <c r="AM180" s="136"/>
      <c r="AN180" s="136"/>
      <c r="AO180" s="136"/>
      <c r="AP180" s="136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136"/>
      <c r="BD180" s="136"/>
      <c r="BE180" s="136"/>
      <c r="BF180" s="136"/>
      <c r="BG180" s="136"/>
      <c r="BH180" s="136"/>
      <c r="BI180" s="136"/>
    </row>
    <row r="181" spans="1:61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  <c r="AK181" s="136"/>
      <c r="AL181" s="136"/>
      <c r="AM181" s="136"/>
      <c r="AN181" s="136"/>
      <c r="AO181" s="136"/>
      <c r="AP181" s="136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136"/>
      <c r="BD181" s="136"/>
      <c r="BE181" s="136"/>
      <c r="BF181" s="136"/>
      <c r="BG181" s="136"/>
      <c r="BH181" s="136"/>
      <c r="BI181" s="136"/>
    </row>
    <row r="182" spans="1:61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  <c r="AA182" s="136"/>
      <c r="AB182" s="136"/>
      <c r="AC182" s="136"/>
      <c r="AD182" s="136"/>
      <c r="AE182" s="136"/>
      <c r="AF182" s="136"/>
      <c r="AG182" s="136"/>
      <c r="AH182" s="136"/>
      <c r="AI182" s="136"/>
      <c r="AJ182" s="136"/>
      <c r="AK182" s="136"/>
      <c r="AL182" s="136"/>
      <c r="AM182" s="136"/>
      <c r="AN182" s="136"/>
      <c r="AO182" s="136"/>
      <c r="AP182" s="136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136"/>
      <c r="BD182" s="136"/>
      <c r="BE182" s="136"/>
      <c r="BF182" s="136"/>
      <c r="BG182" s="136"/>
      <c r="BH182" s="136"/>
      <c r="BI182" s="136"/>
    </row>
    <row r="183" spans="1:61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  <c r="AA183" s="136"/>
      <c r="AB183" s="136"/>
      <c r="AC183" s="136"/>
      <c r="AD183" s="136"/>
      <c r="AE183" s="136"/>
      <c r="AF183" s="136"/>
      <c r="AG183" s="136"/>
      <c r="AH183" s="136"/>
      <c r="AI183" s="136"/>
      <c r="AJ183" s="136"/>
      <c r="AK183" s="136"/>
      <c r="AL183" s="136"/>
      <c r="AM183" s="136"/>
      <c r="AN183" s="136"/>
      <c r="AO183" s="136"/>
      <c r="AP183" s="136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136"/>
      <c r="BD183" s="136"/>
      <c r="BE183" s="136"/>
      <c r="BF183" s="136"/>
      <c r="BG183" s="136"/>
      <c r="BH183" s="136"/>
      <c r="BI183" s="136"/>
    </row>
    <row r="184" spans="1:61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  <c r="AA184" s="136"/>
      <c r="AB184" s="136"/>
      <c r="AC184" s="136"/>
      <c r="AD184" s="136"/>
      <c r="AE184" s="136"/>
      <c r="AF184" s="136"/>
      <c r="AG184" s="136"/>
      <c r="AH184" s="136"/>
      <c r="AI184" s="136"/>
      <c r="AJ184" s="136"/>
      <c r="AK184" s="136"/>
      <c r="AL184" s="136"/>
      <c r="AM184" s="136"/>
      <c r="AN184" s="136"/>
      <c r="AO184" s="136"/>
      <c r="AP184" s="136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136"/>
      <c r="BD184" s="136"/>
      <c r="BE184" s="136"/>
      <c r="BF184" s="136"/>
      <c r="BG184" s="136"/>
      <c r="BH184" s="136"/>
      <c r="BI184" s="136"/>
    </row>
    <row r="185" spans="1:61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  <c r="AA185" s="136"/>
      <c r="AB185" s="136"/>
      <c r="AC185" s="136"/>
      <c r="AD185" s="136"/>
      <c r="AE185" s="136"/>
      <c r="AF185" s="136"/>
      <c r="AG185" s="136"/>
      <c r="AH185" s="136"/>
      <c r="AI185" s="136"/>
      <c r="AJ185" s="136"/>
      <c r="AK185" s="136"/>
      <c r="AL185" s="136"/>
      <c r="AM185" s="136"/>
      <c r="AN185" s="136"/>
      <c r="AO185" s="136"/>
      <c r="AP185" s="136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136"/>
      <c r="BD185" s="136"/>
      <c r="BE185" s="136"/>
      <c r="BF185" s="136"/>
      <c r="BG185" s="136"/>
      <c r="BH185" s="136"/>
      <c r="BI185" s="136"/>
    </row>
    <row r="186" spans="1:61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  <c r="AA186" s="136"/>
      <c r="AB186" s="136"/>
      <c r="AC186" s="136"/>
      <c r="AD186" s="136"/>
      <c r="AE186" s="136"/>
      <c r="AF186" s="136"/>
      <c r="AG186" s="136"/>
      <c r="AH186" s="136"/>
      <c r="AI186" s="136"/>
      <c r="AJ186" s="136"/>
      <c r="AK186" s="136"/>
      <c r="AL186" s="136"/>
      <c r="AM186" s="136"/>
      <c r="AN186" s="136"/>
      <c r="AO186" s="136"/>
      <c r="AP186" s="136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136"/>
      <c r="BD186" s="136"/>
      <c r="BE186" s="136"/>
      <c r="BF186" s="136"/>
      <c r="BG186" s="136"/>
      <c r="BH186" s="136"/>
      <c r="BI186" s="136"/>
    </row>
    <row r="187" spans="1:61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  <c r="AA187" s="136"/>
      <c r="AB187" s="136"/>
      <c r="AC187" s="136"/>
      <c r="AD187" s="136"/>
      <c r="AE187" s="136"/>
      <c r="AF187" s="136"/>
      <c r="AG187" s="136"/>
      <c r="AH187" s="136"/>
      <c r="AI187" s="136"/>
      <c r="AJ187" s="136"/>
      <c r="AK187" s="136"/>
      <c r="AL187" s="136"/>
      <c r="AM187" s="136"/>
      <c r="AN187" s="136"/>
      <c r="AO187" s="136"/>
      <c r="AP187" s="136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136"/>
      <c r="BD187" s="136"/>
      <c r="BE187" s="136"/>
      <c r="BF187" s="136"/>
      <c r="BG187" s="136"/>
      <c r="BH187" s="136"/>
      <c r="BI187" s="136"/>
    </row>
    <row r="188" spans="1:61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136"/>
      <c r="BD188" s="136"/>
      <c r="BE188" s="136"/>
      <c r="BF188" s="136"/>
      <c r="BG188" s="136"/>
      <c r="BH188" s="136"/>
      <c r="BI188" s="136"/>
    </row>
    <row r="189" spans="1:61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  <c r="AA189" s="136"/>
      <c r="AB189" s="136"/>
      <c r="AC189" s="136"/>
      <c r="AD189" s="136"/>
      <c r="AE189" s="136"/>
      <c r="AF189" s="136"/>
      <c r="AG189" s="136"/>
      <c r="AH189" s="136"/>
      <c r="AI189" s="136"/>
      <c r="AJ189" s="136"/>
      <c r="AK189" s="136"/>
      <c r="AL189" s="136"/>
      <c r="AM189" s="136"/>
      <c r="AN189" s="136"/>
      <c r="AO189" s="136"/>
      <c r="AP189" s="136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136"/>
      <c r="BD189" s="136"/>
      <c r="BE189" s="136"/>
      <c r="BF189" s="136"/>
      <c r="BG189" s="136"/>
      <c r="BH189" s="136"/>
      <c r="BI189" s="136"/>
    </row>
    <row r="190" spans="1:61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  <c r="AA190" s="136"/>
      <c r="AB190" s="136"/>
      <c r="AC190" s="136"/>
      <c r="AD190" s="136"/>
      <c r="AE190" s="136"/>
      <c r="AF190" s="136"/>
      <c r="AG190" s="136"/>
      <c r="AH190" s="136"/>
      <c r="AI190" s="136"/>
      <c r="AJ190" s="136"/>
      <c r="AK190" s="136"/>
      <c r="AL190" s="136"/>
      <c r="AM190" s="136"/>
      <c r="AN190" s="136"/>
      <c r="AO190" s="136"/>
      <c r="AP190" s="136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136"/>
      <c r="BD190" s="136"/>
      <c r="BE190" s="136"/>
      <c r="BF190" s="136"/>
      <c r="BG190" s="136"/>
      <c r="BH190" s="136"/>
      <c r="BI190" s="136"/>
    </row>
    <row r="191" spans="1:61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  <c r="AA191" s="136"/>
      <c r="AB191" s="136"/>
      <c r="AC191" s="136"/>
      <c r="AD191" s="136"/>
      <c r="AE191" s="136"/>
      <c r="AF191" s="136"/>
      <c r="AG191" s="136"/>
      <c r="AH191" s="136"/>
      <c r="AI191" s="136"/>
      <c r="AJ191" s="136"/>
      <c r="AK191" s="136"/>
      <c r="AL191" s="136"/>
      <c r="AM191" s="136"/>
      <c r="AN191" s="136"/>
      <c r="AO191" s="136"/>
      <c r="AP191" s="136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136"/>
      <c r="BD191" s="136"/>
      <c r="BE191" s="136"/>
      <c r="BF191" s="136"/>
      <c r="BG191" s="136"/>
      <c r="BH191" s="136"/>
      <c r="BI191" s="136"/>
    </row>
    <row r="192" spans="1:61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  <c r="AA192" s="136"/>
      <c r="AB192" s="136"/>
      <c r="AC192" s="136"/>
      <c r="AD192" s="136"/>
      <c r="AE192" s="136"/>
      <c r="AF192" s="136"/>
      <c r="AG192" s="136"/>
      <c r="AH192" s="136"/>
      <c r="AI192" s="136"/>
      <c r="AJ192" s="136"/>
      <c r="AK192" s="136"/>
      <c r="AL192" s="136"/>
      <c r="AM192" s="136"/>
      <c r="AN192" s="136"/>
      <c r="AO192" s="136"/>
      <c r="AP192" s="136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136"/>
      <c r="BD192" s="136"/>
      <c r="BE192" s="136"/>
      <c r="BF192" s="136"/>
      <c r="BG192" s="136"/>
      <c r="BH192" s="136"/>
      <c r="BI192" s="136"/>
    </row>
    <row r="193" spans="1:61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  <c r="AA193" s="136"/>
      <c r="AB193" s="136"/>
      <c r="AC193" s="136"/>
      <c r="AD193" s="136"/>
      <c r="AE193" s="136"/>
      <c r="AF193" s="136"/>
      <c r="AG193" s="136"/>
      <c r="AH193" s="136"/>
      <c r="AI193" s="136"/>
      <c r="AJ193" s="136"/>
      <c r="AK193" s="136"/>
      <c r="AL193" s="136"/>
      <c r="AM193" s="136"/>
      <c r="AN193" s="136"/>
      <c r="AO193" s="136"/>
      <c r="AP193" s="136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136"/>
      <c r="BD193" s="136"/>
      <c r="BE193" s="136"/>
      <c r="BF193" s="136"/>
      <c r="BG193" s="136"/>
      <c r="BH193" s="136"/>
      <c r="BI193" s="136"/>
    </row>
    <row r="194" spans="1:61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136"/>
      <c r="BD194" s="136"/>
      <c r="BE194" s="136"/>
      <c r="BF194" s="136"/>
      <c r="BG194" s="136"/>
      <c r="BH194" s="136"/>
      <c r="BI194" s="136"/>
    </row>
    <row r="195" spans="1:61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  <c r="AA195" s="136"/>
      <c r="AB195" s="136"/>
      <c r="AC195" s="136"/>
      <c r="AD195" s="136"/>
      <c r="AE195" s="136"/>
      <c r="AF195" s="136"/>
      <c r="AG195" s="136"/>
      <c r="AH195" s="136"/>
      <c r="AI195" s="136"/>
      <c r="AJ195" s="136"/>
      <c r="AK195" s="136"/>
      <c r="AL195" s="136"/>
      <c r="AM195" s="136"/>
      <c r="AN195" s="136"/>
      <c r="AO195" s="136"/>
      <c r="AP195" s="136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136"/>
      <c r="BD195" s="136"/>
      <c r="BE195" s="136"/>
      <c r="BF195" s="136"/>
      <c r="BG195" s="136"/>
      <c r="BH195" s="136"/>
      <c r="BI195" s="136"/>
    </row>
    <row r="196" spans="1:61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  <c r="AA196" s="136"/>
      <c r="AB196" s="136"/>
      <c r="AC196" s="136"/>
      <c r="AD196" s="136"/>
      <c r="AE196" s="136"/>
      <c r="AF196" s="136"/>
      <c r="AG196" s="136"/>
      <c r="AH196" s="136"/>
      <c r="AI196" s="136"/>
      <c r="AJ196" s="136"/>
      <c r="AK196" s="136"/>
      <c r="AL196" s="136"/>
      <c r="AM196" s="136"/>
      <c r="AN196" s="136"/>
      <c r="AO196" s="136"/>
      <c r="AP196" s="136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136"/>
      <c r="BD196" s="136"/>
      <c r="BE196" s="136"/>
      <c r="BF196" s="136"/>
      <c r="BG196" s="136"/>
      <c r="BH196" s="136"/>
      <c r="BI196" s="136"/>
    </row>
    <row r="197" spans="1:61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136"/>
      <c r="BD197" s="136"/>
      <c r="BE197" s="136"/>
      <c r="BF197" s="136"/>
      <c r="BG197" s="136"/>
      <c r="BH197" s="136"/>
      <c r="BI197" s="136"/>
    </row>
    <row r="198" spans="1:61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  <c r="AA198" s="136"/>
      <c r="AB198" s="136"/>
      <c r="AC198" s="136"/>
      <c r="AD198" s="136"/>
      <c r="AE198" s="136"/>
      <c r="AF198" s="136"/>
      <c r="AG198" s="136"/>
      <c r="AH198" s="136"/>
      <c r="AI198" s="136"/>
      <c r="AJ198" s="136"/>
      <c r="AK198" s="136"/>
      <c r="AL198" s="136"/>
      <c r="AM198" s="136"/>
      <c r="AN198" s="136"/>
      <c r="AO198" s="136"/>
      <c r="AP198" s="136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136"/>
      <c r="BD198" s="136"/>
      <c r="BE198" s="136"/>
      <c r="BF198" s="136"/>
      <c r="BG198" s="136"/>
      <c r="BH198" s="136"/>
      <c r="BI198" s="136"/>
    </row>
    <row r="199" spans="1:61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  <c r="AA199" s="136"/>
      <c r="AB199" s="136"/>
      <c r="AC199" s="136"/>
      <c r="AD199" s="136"/>
      <c r="AE199" s="136"/>
      <c r="AF199" s="136"/>
      <c r="AG199" s="136"/>
      <c r="AH199" s="136"/>
      <c r="AI199" s="136"/>
      <c r="AJ199" s="136"/>
      <c r="AK199" s="136"/>
      <c r="AL199" s="136"/>
      <c r="AM199" s="136"/>
      <c r="AN199" s="136"/>
      <c r="AO199" s="136"/>
      <c r="AP199" s="136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136"/>
      <c r="BD199" s="136"/>
      <c r="BE199" s="136"/>
      <c r="BF199" s="136"/>
      <c r="BG199" s="136"/>
      <c r="BH199" s="136"/>
      <c r="BI199" s="136"/>
    </row>
    <row r="200" spans="1:61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  <c r="AA200" s="136"/>
      <c r="AB200" s="136"/>
      <c r="AC200" s="136"/>
      <c r="AD200" s="136"/>
      <c r="AE200" s="136"/>
      <c r="AF200" s="136"/>
      <c r="AG200" s="136"/>
      <c r="AH200" s="136"/>
      <c r="AI200" s="136"/>
      <c r="AJ200" s="136"/>
      <c r="AK200" s="136"/>
      <c r="AL200" s="136"/>
      <c r="AM200" s="136"/>
      <c r="AN200" s="136"/>
      <c r="AO200" s="136"/>
      <c r="AP200" s="136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136"/>
      <c r="BD200" s="136"/>
      <c r="BE200" s="136"/>
      <c r="BF200" s="136"/>
      <c r="BG200" s="136"/>
      <c r="BH200" s="136"/>
      <c r="BI200" s="136"/>
    </row>
    <row r="201" spans="1:6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  <c r="AA201" s="136"/>
      <c r="AB201" s="136"/>
      <c r="AC201" s="136"/>
      <c r="AD201" s="136"/>
      <c r="AE201" s="136"/>
      <c r="AF201" s="136"/>
      <c r="AG201" s="136"/>
      <c r="AH201" s="136"/>
      <c r="AI201" s="136"/>
      <c r="AJ201" s="136"/>
      <c r="AK201" s="136"/>
      <c r="AL201" s="136"/>
      <c r="AM201" s="136"/>
      <c r="AN201" s="136"/>
      <c r="AO201" s="136"/>
      <c r="AP201" s="136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136"/>
      <c r="BD201" s="136"/>
      <c r="BE201" s="136"/>
      <c r="BF201" s="136"/>
      <c r="BG201" s="136"/>
      <c r="BH201" s="136"/>
      <c r="BI201" s="136"/>
    </row>
    <row r="202" spans="1:61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  <c r="AA202" s="136"/>
      <c r="AB202" s="136"/>
      <c r="AC202" s="136"/>
      <c r="AD202" s="136"/>
      <c r="AE202" s="136"/>
      <c r="AF202" s="136"/>
      <c r="AG202" s="136"/>
      <c r="AH202" s="136"/>
      <c r="AI202" s="136"/>
      <c r="AJ202" s="136"/>
      <c r="AK202" s="136"/>
      <c r="AL202" s="136"/>
      <c r="AM202" s="136"/>
      <c r="AN202" s="136"/>
      <c r="AO202" s="136"/>
      <c r="AP202" s="136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136"/>
      <c r="BD202" s="136"/>
      <c r="BE202" s="136"/>
      <c r="BF202" s="136"/>
      <c r="BG202" s="136"/>
      <c r="BH202" s="136"/>
      <c r="BI202" s="136"/>
    </row>
    <row r="203" spans="1:61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  <c r="AA203" s="136"/>
      <c r="AB203" s="136"/>
      <c r="AC203" s="136"/>
      <c r="AD203" s="136"/>
      <c r="AE203" s="136"/>
      <c r="AF203" s="136"/>
      <c r="AG203" s="136"/>
      <c r="AH203" s="136"/>
      <c r="AI203" s="136"/>
      <c r="AJ203" s="136"/>
      <c r="AK203" s="136"/>
      <c r="AL203" s="136"/>
      <c r="AM203" s="136"/>
      <c r="AN203" s="136"/>
      <c r="AO203" s="136"/>
      <c r="AP203" s="136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136"/>
      <c r="BD203" s="136"/>
      <c r="BE203" s="136"/>
      <c r="BF203" s="136"/>
      <c r="BG203" s="136"/>
      <c r="BH203" s="136"/>
      <c r="BI203" s="136"/>
    </row>
    <row r="204" spans="1:61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  <c r="AA204" s="136"/>
      <c r="AB204" s="136"/>
      <c r="AC204" s="136"/>
      <c r="AD204" s="136"/>
      <c r="AE204" s="136"/>
      <c r="AF204" s="136"/>
      <c r="AG204" s="136"/>
      <c r="AH204" s="136"/>
      <c r="AI204" s="136"/>
      <c r="AJ204" s="136"/>
      <c r="AK204" s="136"/>
      <c r="AL204" s="136"/>
      <c r="AM204" s="136"/>
      <c r="AN204" s="136"/>
      <c r="AO204" s="136"/>
      <c r="AP204" s="136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136"/>
      <c r="BD204" s="136"/>
      <c r="BE204" s="136"/>
      <c r="BF204" s="136"/>
      <c r="BG204" s="136"/>
      <c r="BH204" s="136"/>
      <c r="BI204" s="136"/>
    </row>
    <row r="205" spans="1:61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136"/>
      <c r="AC205" s="136"/>
      <c r="AD205" s="136"/>
      <c r="AE205" s="136"/>
      <c r="AF205" s="136"/>
      <c r="AG205" s="136"/>
      <c r="AH205" s="136"/>
      <c r="AI205" s="136"/>
      <c r="AJ205" s="136"/>
      <c r="AK205" s="136"/>
      <c r="AL205" s="136"/>
      <c r="AM205" s="136"/>
      <c r="AN205" s="136"/>
      <c r="AO205" s="136"/>
      <c r="AP205" s="136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136"/>
      <c r="BD205" s="136"/>
      <c r="BE205" s="136"/>
      <c r="BF205" s="136"/>
      <c r="BG205" s="136"/>
      <c r="BH205" s="136"/>
      <c r="BI205" s="136"/>
    </row>
    <row r="206" spans="1:61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  <c r="AA206" s="136"/>
      <c r="AB206" s="136"/>
      <c r="AC206" s="136"/>
      <c r="AD206" s="136"/>
      <c r="AE206" s="136"/>
      <c r="AF206" s="136"/>
      <c r="AG206" s="136"/>
      <c r="AH206" s="136"/>
      <c r="AI206" s="136"/>
      <c r="AJ206" s="136"/>
      <c r="AK206" s="136"/>
      <c r="AL206" s="136"/>
      <c r="AM206" s="136"/>
      <c r="AN206" s="136"/>
      <c r="AO206" s="136"/>
      <c r="AP206" s="136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136"/>
      <c r="BD206" s="136"/>
      <c r="BE206" s="136"/>
      <c r="BF206" s="136"/>
      <c r="BG206" s="136"/>
      <c r="BH206" s="136"/>
      <c r="BI206" s="136"/>
    </row>
    <row r="207" spans="1:61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  <c r="AA207" s="136"/>
      <c r="AB207" s="136"/>
      <c r="AC207" s="136"/>
      <c r="AD207" s="136"/>
      <c r="AE207" s="136"/>
      <c r="AF207" s="136"/>
      <c r="AG207" s="136"/>
      <c r="AH207" s="136"/>
      <c r="AI207" s="136"/>
      <c r="AJ207" s="136"/>
      <c r="AK207" s="136"/>
      <c r="AL207" s="136"/>
      <c r="AM207" s="136"/>
      <c r="AN207" s="136"/>
      <c r="AO207" s="136"/>
      <c r="AP207" s="136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136"/>
      <c r="BD207" s="136"/>
      <c r="BE207" s="136"/>
      <c r="BF207" s="136"/>
      <c r="BG207" s="136"/>
      <c r="BH207" s="136"/>
      <c r="BI207" s="136"/>
    </row>
    <row r="208" spans="1:61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  <c r="AA208" s="136"/>
      <c r="AB208" s="136"/>
      <c r="AC208" s="136"/>
      <c r="AD208" s="136"/>
      <c r="AE208" s="136"/>
      <c r="AF208" s="136"/>
      <c r="AG208" s="136"/>
      <c r="AH208" s="136"/>
      <c r="AI208" s="136"/>
      <c r="AJ208" s="136"/>
      <c r="AK208" s="136"/>
      <c r="AL208" s="136"/>
      <c r="AM208" s="136"/>
      <c r="AN208" s="136"/>
      <c r="AO208" s="136"/>
      <c r="AP208" s="136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136"/>
      <c r="BD208" s="136"/>
      <c r="BE208" s="136"/>
      <c r="BF208" s="136"/>
      <c r="BG208" s="136"/>
      <c r="BH208" s="136"/>
      <c r="BI208" s="136"/>
    </row>
    <row r="209" spans="1:61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  <c r="AA209" s="136"/>
      <c r="AB209" s="136"/>
      <c r="AC209" s="136"/>
      <c r="AD209" s="136"/>
      <c r="AE209" s="136"/>
      <c r="AF209" s="136"/>
      <c r="AG209" s="136"/>
      <c r="AH209" s="136"/>
      <c r="AI209" s="136"/>
      <c r="AJ209" s="136"/>
      <c r="AK209" s="136"/>
      <c r="AL209" s="136"/>
      <c r="AM209" s="136"/>
      <c r="AN209" s="136"/>
      <c r="AO209" s="136"/>
      <c r="AP209" s="136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136"/>
      <c r="BD209" s="136"/>
      <c r="BE209" s="136"/>
      <c r="BF209" s="136"/>
      <c r="BG209" s="136"/>
      <c r="BH209" s="136"/>
      <c r="BI209" s="136"/>
    </row>
    <row r="210" spans="1:61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  <c r="AA210" s="136"/>
      <c r="AB210" s="136"/>
      <c r="AC210" s="136"/>
      <c r="AD210" s="136"/>
      <c r="AE210" s="136"/>
      <c r="AF210" s="136"/>
      <c r="AG210" s="136"/>
      <c r="AH210" s="136"/>
      <c r="AI210" s="136"/>
      <c r="AJ210" s="136"/>
      <c r="AK210" s="136"/>
      <c r="AL210" s="136"/>
      <c r="AM210" s="136"/>
      <c r="AN210" s="136"/>
      <c r="AO210" s="136"/>
      <c r="AP210" s="136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136"/>
      <c r="BD210" s="136"/>
      <c r="BE210" s="136"/>
      <c r="BF210" s="136"/>
      <c r="BG210" s="136"/>
      <c r="BH210" s="136"/>
      <c r="BI210" s="136"/>
    </row>
    <row r="211" spans="1:6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136"/>
      <c r="AC211" s="136"/>
      <c r="AD211" s="136"/>
      <c r="AE211" s="136"/>
      <c r="AF211" s="136"/>
      <c r="AG211" s="136"/>
      <c r="AH211" s="136"/>
      <c r="AI211" s="136"/>
      <c r="AJ211" s="136"/>
      <c r="AK211" s="136"/>
      <c r="AL211" s="136"/>
      <c r="AM211" s="136"/>
      <c r="AN211" s="136"/>
      <c r="AO211" s="136"/>
      <c r="AP211" s="136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136"/>
      <c r="BD211" s="136"/>
      <c r="BE211" s="136"/>
      <c r="BF211" s="136"/>
      <c r="BG211" s="136"/>
      <c r="BH211" s="136"/>
      <c r="BI211" s="136"/>
    </row>
    <row r="212" spans="1:61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  <c r="AA212" s="136"/>
      <c r="AB212" s="136"/>
      <c r="AC212" s="136"/>
      <c r="AD212" s="136"/>
      <c r="AE212" s="136"/>
      <c r="AF212" s="136"/>
      <c r="AG212" s="136"/>
      <c r="AH212" s="136"/>
      <c r="AI212" s="136"/>
      <c r="AJ212" s="136"/>
      <c r="AK212" s="136"/>
      <c r="AL212" s="136"/>
      <c r="AM212" s="136"/>
      <c r="AN212" s="136"/>
      <c r="AO212" s="136"/>
      <c r="AP212" s="136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136"/>
      <c r="BD212" s="136"/>
      <c r="BE212" s="136"/>
      <c r="BF212" s="136"/>
      <c r="BG212" s="136"/>
      <c r="BH212" s="136"/>
      <c r="BI212" s="136"/>
    </row>
    <row r="213" spans="1:61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  <c r="AA213" s="136"/>
      <c r="AB213" s="136"/>
      <c r="AC213" s="136"/>
      <c r="AD213" s="136"/>
      <c r="AE213" s="136"/>
      <c r="AF213" s="136"/>
      <c r="AG213" s="136"/>
      <c r="AH213" s="136"/>
      <c r="AI213" s="136"/>
      <c r="AJ213" s="136"/>
      <c r="AK213" s="136"/>
      <c r="AL213" s="136"/>
      <c r="AM213" s="136"/>
      <c r="AN213" s="136"/>
      <c r="AO213" s="136"/>
      <c r="AP213" s="136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136"/>
      <c r="BD213" s="136"/>
      <c r="BE213" s="136"/>
      <c r="BF213" s="136"/>
      <c r="BG213" s="136"/>
      <c r="BH213" s="136"/>
      <c r="BI213" s="136"/>
    </row>
    <row r="214" spans="1:61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  <c r="AA214" s="136"/>
      <c r="AB214" s="136"/>
      <c r="AC214" s="136"/>
      <c r="AD214" s="136"/>
      <c r="AE214" s="136"/>
      <c r="AF214" s="136"/>
      <c r="AG214" s="136"/>
      <c r="AH214" s="136"/>
      <c r="AI214" s="136"/>
      <c r="AJ214" s="136"/>
      <c r="AK214" s="136"/>
      <c r="AL214" s="136"/>
      <c r="AM214" s="136"/>
      <c r="AN214" s="136"/>
      <c r="AO214" s="136"/>
      <c r="AP214" s="136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136"/>
      <c r="BD214" s="136"/>
      <c r="BE214" s="136"/>
      <c r="BF214" s="136"/>
      <c r="BG214" s="136"/>
      <c r="BH214" s="136"/>
      <c r="BI214" s="136"/>
    </row>
    <row r="215" spans="1:61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  <c r="AJ215" s="136"/>
      <c r="AK215" s="136"/>
      <c r="AL215" s="136"/>
      <c r="AM215" s="136"/>
      <c r="AN215" s="136"/>
      <c r="AO215" s="136"/>
      <c r="AP215" s="136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136"/>
      <c r="BD215" s="136"/>
      <c r="BE215" s="136"/>
      <c r="BF215" s="136"/>
      <c r="BG215" s="136"/>
      <c r="BH215" s="136"/>
      <c r="BI215" s="136"/>
    </row>
    <row r="216" spans="1:61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  <c r="AA216" s="136"/>
      <c r="AB216" s="136"/>
      <c r="AC216" s="136"/>
      <c r="AD216" s="136"/>
      <c r="AE216" s="136"/>
      <c r="AF216" s="136"/>
      <c r="AG216" s="136"/>
      <c r="AH216" s="136"/>
      <c r="AI216" s="136"/>
      <c r="AJ216" s="136"/>
      <c r="AK216" s="136"/>
      <c r="AL216" s="136"/>
      <c r="AM216" s="136"/>
      <c r="AN216" s="136"/>
      <c r="AO216" s="136"/>
      <c r="AP216" s="136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136"/>
      <c r="BD216" s="136"/>
      <c r="BE216" s="136"/>
      <c r="BF216" s="136"/>
      <c r="BG216" s="136"/>
      <c r="BH216" s="136"/>
      <c r="BI216" s="136"/>
    </row>
    <row r="217" spans="1:61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  <c r="AA217" s="136"/>
      <c r="AB217" s="136"/>
      <c r="AC217" s="136"/>
      <c r="AD217" s="136"/>
      <c r="AE217" s="136"/>
      <c r="AF217" s="136"/>
      <c r="AG217" s="136"/>
      <c r="AH217" s="136"/>
      <c r="AI217" s="136"/>
      <c r="AJ217" s="136"/>
      <c r="AK217" s="136"/>
      <c r="AL217" s="136"/>
      <c r="AM217" s="136"/>
      <c r="AN217" s="136"/>
      <c r="AO217" s="136"/>
      <c r="AP217" s="136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136"/>
      <c r="BD217" s="136"/>
      <c r="BE217" s="136"/>
      <c r="BF217" s="136"/>
      <c r="BG217" s="136"/>
      <c r="BH217" s="136"/>
      <c r="BI217" s="136"/>
    </row>
    <row r="218" spans="1:61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  <c r="AA218" s="136"/>
      <c r="AB218" s="136"/>
      <c r="AC218" s="136"/>
      <c r="AD218" s="136"/>
      <c r="AE218" s="136"/>
      <c r="AF218" s="136"/>
      <c r="AG218" s="136"/>
      <c r="AH218" s="136"/>
      <c r="AI218" s="136"/>
      <c r="AJ218" s="136"/>
      <c r="AK218" s="136"/>
      <c r="AL218" s="136"/>
      <c r="AM218" s="136"/>
      <c r="AN218" s="136"/>
      <c r="AO218" s="136"/>
      <c r="AP218" s="136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136"/>
      <c r="BD218" s="136"/>
      <c r="BE218" s="136"/>
      <c r="BF218" s="136"/>
      <c r="BG218" s="136"/>
      <c r="BH218" s="136"/>
      <c r="BI218" s="136"/>
    </row>
    <row r="219" spans="1:61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</row>
    <row r="220" spans="1:61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</row>
    <row r="221" spans="1:6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/>
      <c r="BG221" s="136"/>
      <c r="BH221" s="136"/>
      <c r="BI221" s="136"/>
    </row>
    <row r="222" spans="1:61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</row>
    <row r="223" spans="1:61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/>
    </row>
    <row r="224" spans="1:61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  <c r="AA224" s="136"/>
      <c r="AB224" s="136"/>
      <c r="AC224" s="136"/>
      <c r="AD224" s="136"/>
      <c r="AE224" s="136"/>
      <c r="AF224" s="136"/>
      <c r="AG224" s="136"/>
      <c r="AH224" s="136"/>
      <c r="AI224" s="136"/>
      <c r="AJ224" s="136"/>
      <c r="AK224" s="136"/>
      <c r="AL224" s="136"/>
      <c r="AM224" s="136"/>
      <c r="AN224" s="136"/>
      <c r="AO224" s="136"/>
      <c r="AP224" s="136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136"/>
      <c r="BD224" s="136"/>
      <c r="BE224" s="136"/>
      <c r="BF224" s="136"/>
      <c r="BG224" s="136"/>
      <c r="BH224" s="136"/>
      <c r="BI224" s="136"/>
    </row>
    <row r="225" spans="1:61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  <c r="AA225" s="136"/>
      <c r="AB225" s="136"/>
      <c r="AC225" s="136"/>
      <c r="AD225" s="136"/>
      <c r="AE225" s="136"/>
      <c r="AF225" s="136"/>
      <c r="AG225" s="136"/>
      <c r="AH225" s="136"/>
      <c r="AI225" s="136"/>
      <c r="AJ225" s="136"/>
      <c r="AK225" s="136"/>
      <c r="AL225" s="136"/>
      <c r="AM225" s="136"/>
      <c r="AN225" s="136"/>
      <c r="AO225" s="136"/>
      <c r="AP225" s="136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136"/>
      <c r="BD225" s="136"/>
      <c r="BE225" s="136"/>
      <c r="BF225" s="136"/>
      <c r="BG225" s="136"/>
      <c r="BH225" s="136"/>
      <c r="BI225" s="136"/>
    </row>
    <row r="226" spans="1:61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  <c r="AA226" s="136"/>
      <c r="AB226" s="136"/>
      <c r="AC226" s="136"/>
      <c r="AD226" s="136"/>
      <c r="AE226" s="136"/>
      <c r="AF226" s="136"/>
      <c r="AG226" s="136"/>
      <c r="AH226" s="136"/>
      <c r="AI226" s="136"/>
      <c r="AJ226" s="136"/>
      <c r="AK226" s="136"/>
      <c r="AL226" s="136"/>
      <c r="AM226" s="136"/>
      <c r="AN226" s="136"/>
      <c r="AO226" s="136"/>
      <c r="AP226" s="136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136"/>
      <c r="BD226" s="136"/>
      <c r="BE226" s="136"/>
      <c r="BF226" s="136"/>
      <c r="BG226" s="136"/>
      <c r="BH226" s="136"/>
      <c r="BI226" s="136"/>
    </row>
    <row r="227" spans="1:61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  <c r="AA227" s="136"/>
      <c r="AB227" s="136"/>
      <c r="AC227" s="136"/>
      <c r="AD227" s="136"/>
      <c r="AE227" s="136"/>
      <c r="AF227" s="136"/>
      <c r="AG227" s="136"/>
      <c r="AH227" s="136"/>
      <c r="AI227" s="136"/>
      <c r="AJ227" s="136"/>
      <c r="AK227" s="136"/>
      <c r="AL227" s="136"/>
      <c r="AM227" s="136"/>
      <c r="AN227" s="136"/>
      <c r="AO227" s="136"/>
      <c r="AP227" s="136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136"/>
      <c r="BD227" s="136"/>
      <c r="BE227" s="136"/>
      <c r="BF227" s="136"/>
      <c r="BG227" s="136"/>
      <c r="BH227" s="136"/>
      <c r="BI227" s="136"/>
    </row>
    <row r="228" spans="1:61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  <c r="AA228" s="136"/>
      <c r="AB228" s="136"/>
      <c r="AC228" s="136"/>
      <c r="AD228" s="136"/>
      <c r="AE228" s="136"/>
      <c r="AF228" s="136"/>
      <c r="AG228" s="136"/>
      <c r="AH228" s="136"/>
      <c r="AI228" s="136"/>
      <c r="AJ228" s="136"/>
      <c r="AK228" s="136"/>
      <c r="AL228" s="136"/>
      <c r="AM228" s="136"/>
      <c r="AN228" s="136"/>
      <c r="AO228" s="136"/>
      <c r="AP228" s="136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136"/>
      <c r="BD228" s="136"/>
      <c r="BE228" s="136"/>
      <c r="BF228" s="136"/>
      <c r="BG228" s="136"/>
      <c r="BH228" s="136"/>
      <c r="BI228" s="136"/>
    </row>
    <row r="229" spans="1:61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  <c r="AA229" s="136"/>
      <c r="AB229" s="136"/>
      <c r="AC229" s="136"/>
      <c r="AD229" s="136"/>
      <c r="AE229" s="136"/>
      <c r="AF229" s="136"/>
      <c r="AG229" s="136"/>
      <c r="AH229" s="136"/>
      <c r="AI229" s="136"/>
      <c r="AJ229" s="136"/>
      <c r="AK229" s="136"/>
      <c r="AL229" s="136"/>
      <c r="AM229" s="136"/>
      <c r="AN229" s="136"/>
      <c r="AO229" s="136"/>
      <c r="AP229" s="136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136"/>
      <c r="BD229" s="136"/>
      <c r="BE229" s="136"/>
      <c r="BF229" s="136"/>
      <c r="BG229" s="136"/>
      <c r="BH229" s="136"/>
      <c r="BI229" s="136"/>
    </row>
    <row r="230" spans="1:61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  <c r="AA230" s="136"/>
      <c r="AB230" s="136"/>
      <c r="AC230" s="136"/>
      <c r="AD230" s="136"/>
      <c r="AE230" s="136"/>
      <c r="AF230" s="136"/>
      <c r="AG230" s="136"/>
      <c r="AH230" s="136"/>
      <c r="AI230" s="136"/>
      <c r="AJ230" s="136"/>
      <c r="AK230" s="136"/>
      <c r="AL230" s="136"/>
      <c r="AM230" s="136"/>
      <c r="AN230" s="136"/>
      <c r="AO230" s="136"/>
      <c r="AP230" s="136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136"/>
      <c r="BD230" s="136"/>
      <c r="BE230" s="136"/>
      <c r="BF230" s="136"/>
      <c r="BG230" s="136"/>
      <c r="BH230" s="136"/>
      <c r="BI230" s="136"/>
    </row>
    <row r="231" spans="1:6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  <c r="AA231" s="136"/>
      <c r="AB231" s="136"/>
      <c r="AC231" s="136"/>
      <c r="AD231" s="136"/>
      <c r="AE231" s="136"/>
      <c r="AF231" s="136"/>
      <c r="AG231" s="136"/>
      <c r="AH231" s="136"/>
      <c r="AI231" s="136"/>
      <c r="AJ231" s="136"/>
      <c r="AK231" s="136"/>
      <c r="AL231" s="136"/>
      <c r="AM231" s="136"/>
      <c r="AN231" s="136"/>
      <c r="AO231" s="136"/>
      <c r="AP231" s="136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136"/>
      <c r="BD231" s="136"/>
      <c r="BE231" s="136"/>
      <c r="BF231" s="136"/>
      <c r="BG231" s="136"/>
      <c r="BH231" s="136"/>
      <c r="BI231" s="136"/>
    </row>
    <row r="232" spans="1:61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  <c r="AA232" s="136"/>
      <c r="AB232" s="136"/>
      <c r="AC232" s="136"/>
      <c r="AD232" s="136"/>
      <c r="AE232" s="136"/>
      <c r="AF232" s="136"/>
      <c r="AG232" s="136"/>
      <c r="AH232" s="136"/>
      <c r="AI232" s="136"/>
      <c r="AJ232" s="136"/>
      <c r="AK232" s="136"/>
      <c r="AL232" s="136"/>
      <c r="AM232" s="136"/>
      <c r="AN232" s="136"/>
      <c r="AO232" s="136"/>
      <c r="AP232" s="136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136"/>
      <c r="BD232" s="136"/>
      <c r="BE232" s="136"/>
      <c r="BF232" s="136"/>
      <c r="BG232" s="136"/>
      <c r="BH232" s="136"/>
      <c r="BI232" s="136"/>
    </row>
    <row r="233" spans="1:61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  <c r="AA233" s="136"/>
      <c r="AB233" s="136"/>
      <c r="AC233" s="136"/>
      <c r="AD233" s="136"/>
      <c r="AE233" s="136"/>
      <c r="AF233" s="136"/>
      <c r="AG233" s="136"/>
      <c r="AH233" s="136"/>
      <c r="AI233" s="136"/>
      <c r="AJ233" s="136"/>
      <c r="AK233" s="136"/>
      <c r="AL233" s="136"/>
      <c r="AM233" s="136"/>
      <c r="AN233" s="136"/>
      <c r="AO233" s="136"/>
      <c r="AP233" s="136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136"/>
      <c r="BD233" s="136"/>
      <c r="BE233" s="136"/>
      <c r="BF233" s="136"/>
      <c r="BG233" s="136"/>
      <c r="BH233" s="136"/>
      <c r="BI233" s="136"/>
    </row>
    <row r="234" spans="1:61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  <c r="AA234" s="136"/>
      <c r="AB234" s="136"/>
      <c r="AC234" s="136"/>
      <c r="AD234" s="136"/>
      <c r="AE234" s="136"/>
      <c r="AF234" s="136"/>
      <c r="AG234" s="136"/>
      <c r="AH234" s="136"/>
      <c r="AI234" s="136"/>
      <c r="AJ234" s="136"/>
      <c r="AK234" s="136"/>
      <c r="AL234" s="136"/>
      <c r="AM234" s="136"/>
      <c r="AN234" s="136"/>
      <c r="AO234" s="136"/>
      <c r="AP234" s="136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136"/>
      <c r="BD234" s="136"/>
      <c r="BE234" s="136"/>
      <c r="BF234" s="136"/>
      <c r="BG234" s="136"/>
      <c r="BH234" s="136"/>
      <c r="BI234" s="136"/>
    </row>
    <row r="235" spans="1:61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  <c r="AA235" s="136"/>
      <c r="AB235" s="136"/>
      <c r="AC235" s="136"/>
      <c r="AD235" s="136"/>
      <c r="AE235" s="136"/>
      <c r="AF235" s="136"/>
      <c r="AG235" s="136"/>
      <c r="AH235" s="136"/>
      <c r="AI235" s="136"/>
      <c r="AJ235" s="136"/>
      <c r="AK235" s="136"/>
      <c r="AL235" s="136"/>
      <c r="AM235" s="136"/>
      <c r="AN235" s="136"/>
      <c r="AO235" s="136"/>
      <c r="AP235" s="136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136"/>
      <c r="BD235" s="136"/>
      <c r="BE235" s="136"/>
      <c r="BF235" s="136"/>
      <c r="BG235" s="136"/>
      <c r="BH235" s="136"/>
      <c r="BI235" s="136"/>
    </row>
    <row r="236" spans="1:61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  <c r="AA236" s="136"/>
      <c r="AB236" s="136"/>
      <c r="AC236" s="136"/>
      <c r="AD236" s="136"/>
      <c r="AE236" s="136"/>
      <c r="AF236" s="136"/>
      <c r="AG236" s="136"/>
      <c r="AH236" s="136"/>
      <c r="AI236" s="136"/>
      <c r="AJ236" s="136"/>
      <c r="AK236" s="136"/>
      <c r="AL236" s="136"/>
      <c r="AM236" s="136"/>
      <c r="AN236" s="136"/>
      <c r="AO236" s="136"/>
      <c r="AP236" s="136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136"/>
      <c r="BD236" s="136"/>
      <c r="BE236" s="136"/>
      <c r="BF236" s="136"/>
      <c r="BG236" s="136"/>
      <c r="BH236" s="136"/>
      <c r="BI236" s="136"/>
    </row>
    <row r="237" spans="1:61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  <c r="AA237" s="136"/>
      <c r="AB237" s="136"/>
      <c r="AC237" s="136"/>
      <c r="AD237" s="136"/>
      <c r="AE237" s="136"/>
      <c r="AF237" s="136"/>
      <c r="AG237" s="136"/>
      <c r="AH237" s="136"/>
      <c r="AI237" s="136"/>
      <c r="AJ237" s="136"/>
      <c r="AK237" s="136"/>
      <c r="AL237" s="136"/>
      <c r="AM237" s="136"/>
      <c r="AN237" s="136"/>
      <c r="AO237" s="136"/>
      <c r="AP237" s="136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136"/>
      <c r="BD237" s="136"/>
      <c r="BE237" s="136"/>
      <c r="BF237" s="136"/>
      <c r="BG237" s="136"/>
      <c r="BH237" s="136"/>
      <c r="BI237" s="136"/>
    </row>
    <row r="238" spans="1:61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  <c r="AA238" s="136"/>
      <c r="AB238" s="136"/>
      <c r="AC238" s="136"/>
      <c r="AD238" s="136"/>
      <c r="AE238" s="136"/>
      <c r="AF238" s="136"/>
      <c r="AG238" s="136"/>
      <c r="AH238" s="136"/>
      <c r="AI238" s="136"/>
      <c r="AJ238" s="136"/>
      <c r="AK238" s="136"/>
      <c r="AL238" s="136"/>
      <c r="AM238" s="136"/>
      <c r="AN238" s="136"/>
      <c r="AO238" s="136"/>
      <c r="AP238" s="136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136"/>
      <c r="BD238" s="136"/>
      <c r="BE238" s="136"/>
      <c r="BF238" s="136"/>
      <c r="BG238" s="136"/>
      <c r="BH238" s="136"/>
      <c r="BI238" s="136"/>
    </row>
    <row r="239" spans="1:61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  <c r="AA239" s="136"/>
      <c r="AB239" s="136"/>
      <c r="AC239" s="136"/>
      <c r="AD239" s="136"/>
      <c r="AE239" s="136"/>
      <c r="AF239" s="136"/>
      <c r="AG239" s="136"/>
      <c r="AH239" s="136"/>
      <c r="AI239" s="136"/>
      <c r="AJ239" s="136"/>
      <c r="AK239" s="136"/>
      <c r="AL239" s="136"/>
      <c r="AM239" s="136"/>
      <c r="AN239" s="136"/>
      <c r="AO239" s="136"/>
      <c r="AP239" s="136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136"/>
      <c r="BD239" s="136"/>
      <c r="BE239" s="136"/>
      <c r="BF239" s="136"/>
      <c r="BG239" s="136"/>
      <c r="BH239" s="136"/>
      <c r="BI239" s="136"/>
    </row>
    <row r="240" spans="1:61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  <c r="AA240" s="136"/>
      <c r="AB240" s="136"/>
      <c r="AC240" s="136"/>
      <c r="AD240" s="136"/>
      <c r="AE240" s="136"/>
      <c r="AF240" s="136"/>
      <c r="AG240" s="136"/>
      <c r="AH240" s="136"/>
      <c r="AI240" s="136"/>
      <c r="AJ240" s="136"/>
      <c r="AK240" s="136"/>
      <c r="AL240" s="136"/>
      <c r="AM240" s="136"/>
      <c r="AN240" s="136"/>
      <c r="AO240" s="136"/>
      <c r="AP240" s="136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136"/>
      <c r="BD240" s="136"/>
      <c r="BE240" s="136"/>
      <c r="BF240" s="136"/>
      <c r="BG240" s="136"/>
      <c r="BH240" s="136"/>
      <c r="BI240" s="136"/>
    </row>
    <row r="241" spans="1:6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  <c r="AA241" s="136"/>
      <c r="AB241" s="136"/>
      <c r="AC241" s="136"/>
      <c r="AD241" s="136"/>
      <c r="AE241" s="136"/>
      <c r="AF241" s="136"/>
      <c r="AG241" s="136"/>
      <c r="AH241" s="136"/>
      <c r="AI241" s="136"/>
      <c r="AJ241" s="136"/>
      <c r="AK241" s="136"/>
      <c r="AL241" s="136"/>
      <c r="AM241" s="136"/>
      <c r="AN241" s="136"/>
      <c r="AO241" s="136"/>
      <c r="AP241" s="136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136"/>
      <c r="BD241" s="136"/>
      <c r="BE241" s="136"/>
      <c r="BF241" s="136"/>
      <c r="BG241" s="136"/>
      <c r="BH241" s="136"/>
      <c r="BI241" s="136"/>
    </row>
    <row r="242" spans="1:61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  <c r="AA242" s="136"/>
      <c r="AB242" s="136"/>
      <c r="AC242" s="136"/>
      <c r="AD242" s="136"/>
      <c r="AE242" s="136"/>
      <c r="AF242" s="136"/>
      <c r="AG242" s="136"/>
      <c r="AH242" s="136"/>
      <c r="AI242" s="136"/>
      <c r="AJ242" s="136"/>
      <c r="AK242" s="136"/>
      <c r="AL242" s="136"/>
      <c r="AM242" s="136"/>
      <c r="AN242" s="136"/>
      <c r="AO242" s="136"/>
      <c r="AP242" s="136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136"/>
      <c r="BD242" s="136"/>
      <c r="BE242" s="136"/>
      <c r="BF242" s="136"/>
      <c r="BG242" s="136"/>
      <c r="BH242" s="136"/>
      <c r="BI242" s="136"/>
    </row>
    <row r="243" spans="1:61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  <c r="AA243" s="136"/>
      <c r="AB243" s="136"/>
      <c r="AC243" s="136"/>
      <c r="AD243" s="136"/>
      <c r="AE243" s="136"/>
      <c r="AF243" s="136"/>
      <c r="AG243" s="136"/>
      <c r="AH243" s="136"/>
      <c r="AI243" s="136"/>
      <c r="AJ243" s="136"/>
      <c r="AK243" s="136"/>
      <c r="AL243" s="136"/>
      <c r="AM243" s="136"/>
      <c r="AN243" s="136"/>
      <c r="AO243" s="136"/>
      <c r="AP243" s="136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136"/>
      <c r="BD243" s="136"/>
      <c r="BE243" s="136"/>
      <c r="BF243" s="136"/>
      <c r="BG243" s="136"/>
      <c r="BH243" s="136"/>
      <c r="BI243" s="136"/>
    </row>
    <row r="244" spans="1:61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  <c r="AA244" s="136"/>
      <c r="AB244" s="136"/>
      <c r="AC244" s="136"/>
      <c r="AD244" s="136"/>
      <c r="AE244" s="136"/>
      <c r="AF244" s="136"/>
      <c r="AG244" s="136"/>
      <c r="AH244" s="136"/>
      <c r="AI244" s="136"/>
      <c r="AJ244" s="136"/>
      <c r="AK244" s="136"/>
      <c r="AL244" s="136"/>
      <c r="AM244" s="136"/>
      <c r="AN244" s="136"/>
      <c r="AO244" s="136"/>
      <c r="AP244" s="136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136"/>
      <c r="BD244" s="136"/>
      <c r="BE244" s="136"/>
      <c r="BF244" s="136"/>
      <c r="BG244" s="136"/>
      <c r="BH244" s="136"/>
      <c r="BI244" s="136"/>
    </row>
    <row r="245" spans="1:61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  <c r="AA245" s="136"/>
      <c r="AB245" s="136"/>
      <c r="AC245" s="136"/>
      <c r="AD245" s="136"/>
      <c r="AE245" s="136"/>
      <c r="AF245" s="136"/>
      <c r="AG245" s="136"/>
      <c r="AH245" s="136"/>
      <c r="AI245" s="136"/>
      <c r="AJ245" s="136"/>
      <c r="AK245" s="136"/>
      <c r="AL245" s="136"/>
      <c r="AM245" s="136"/>
      <c r="AN245" s="136"/>
      <c r="AO245" s="136"/>
      <c r="AP245" s="136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136"/>
      <c r="BD245" s="136"/>
      <c r="BE245" s="136"/>
      <c r="BF245" s="136"/>
      <c r="BG245" s="136"/>
      <c r="BH245" s="136"/>
      <c r="BI245" s="136"/>
    </row>
    <row r="246" spans="1:61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  <c r="AA246" s="136"/>
      <c r="AB246" s="136"/>
      <c r="AC246" s="136"/>
      <c r="AD246" s="136"/>
      <c r="AE246" s="136"/>
      <c r="AF246" s="136"/>
      <c r="AG246" s="136"/>
      <c r="AH246" s="136"/>
      <c r="AI246" s="136"/>
      <c r="AJ246" s="136"/>
      <c r="AK246" s="136"/>
      <c r="AL246" s="136"/>
      <c r="AM246" s="136"/>
      <c r="AN246" s="136"/>
      <c r="AO246" s="136"/>
      <c r="AP246" s="136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136"/>
      <c r="BD246" s="136"/>
      <c r="BE246" s="136"/>
      <c r="BF246" s="136"/>
      <c r="BG246" s="136"/>
      <c r="BH246" s="136"/>
      <c r="BI246" s="136"/>
    </row>
    <row r="247" spans="1:61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  <c r="AA247" s="136"/>
      <c r="AB247" s="136"/>
      <c r="AC247" s="136"/>
      <c r="AD247" s="136"/>
      <c r="AE247" s="136"/>
      <c r="AF247" s="136"/>
      <c r="AG247" s="136"/>
      <c r="AH247" s="136"/>
      <c r="AI247" s="136"/>
      <c r="AJ247" s="136"/>
      <c r="AK247" s="136"/>
      <c r="AL247" s="136"/>
      <c r="AM247" s="136"/>
      <c r="AN247" s="136"/>
      <c r="AO247" s="136"/>
      <c r="AP247" s="136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136"/>
      <c r="BD247" s="136"/>
      <c r="BE247" s="136"/>
      <c r="BF247" s="136"/>
      <c r="BG247" s="136"/>
      <c r="BH247" s="136"/>
      <c r="BI247" s="136"/>
    </row>
    <row r="248" spans="1:61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  <c r="AA248" s="136"/>
      <c r="AB248" s="136"/>
      <c r="AC248" s="136"/>
      <c r="AD248" s="136"/>
      <c r="AE248" s="136"/>
      <c r="AF248" s="136"/>
      <c r="AG248" s="136"/>
      <c r="AH248" s="136"/>
      <c r="AI248" s="136"/>
      <c r="AJ248" s="136"/>
      <c r="AK248" s="136"/>
      <c r="AL248" s="136"/>
      <c r="AM248" s="136"/>
      <c r="AN248" s="136"/>
      <c r="AO248" s="136"/>
      <c r="AP248" s="136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136"/>
      <c r="BD248" s="136"/>
      <c r="BE248" s="136"/>
      <c r="BF248" s="136"/>
      <c r="BG248" s="136"/>
      <c r="BH248" s="136"/>
      <c r="BI248" s="136"/>
    </row>
    <row r="249" spans="1:61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  <c r="AA249" s="136"/>
      <c r="AB249" s="136"/>
      <c r="AC249" s="136"/>
      <c r="AD249" s="136"/>
      <c r="AE249" s="136"/>
      <c r="AF249" s="136"/>
      <c r="AG249" s="136"/>
      <c r="AH249" s="136"/>
      <c r="AI249" s="136"/>
      <c r="AJ249" s="136"/>
      <c r="AK249" s="136"/>
      <c r="AL249" s="136"/>
      <c r="AM249" s="136"/>
      <c r="AN249" s="136"/>
      <c r="AO249" s="136"/>
      <c r="AP249" s="136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136"/>
      <c r="BD249" s="136"/>
      <c r="BE249" s="136"/>
      <c r="BF249" s="136"/>
      <c r="BG249" s="136"/>
      <c r="BH249" s="136"/>
      <c r="BI249" s="136"/>
    </row>
    <row r="250" spans="1:61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  <c r="AA250" s="136"/>
      <c r="AB250" s="136"/>
      <c r="AC250" s="136"/>
      <c r="AD250" s="136"/>
      <c r="AE250" s="136"/>
      <c r="AF250" s="136"/>
      <c r="AG250" s="136"/>
      <c r="AH250" s="136"/>
      <c r="AI250" s="136"/>
      <c r="AJ250" s="136"/>
      <c r="AK250" s="136"/>
      <c r="AL250" s="136"/>
      <c r="AM250" s="136"/>
      <c r="AN250" s="136"/>
      <c r="AO250" s="136"/>
      <c r="AP250" s="136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136"/>
      <c r="BD250" s="136"/>
      <c r="BE250" s="136"/>
      <c r="BF250" s="136"/>
      <c r="BG250" s="136"/>
      <c r="BH250" s="136"/>
      <c r="BI250" s="136"/>
    </row>
    <row r="251" spans="1:6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  <c r="AA251" s="136"/>
      <c r="AB251" s="136"/>
      <c r="AC251" s="136"/>
      <c r="AD251" s="136"/>
      <c r="AE251" s="136"/>
      <c r="AF251" s="136"/>
      <c r="AG251" s="136"/>
      <c r="AH251" s="136"/>
      <c r="AI251" s="136"/>
      <c r="AJ251" s="136"/>
      <c r="AK251" s="136"/>
      <c r="AL251" s="136"/>
      <c r="AM251" s="136"/>
      <c r="AN251" s="136"/>
      <c r="AO251" s="136"/>
      <c r="AP251" s="136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136"/>
      <c r="BD251" s="136"/>
      <c r="BE251" s="136"/>
      <c r="BF251" s="136"/>
      <c r="BG251" s="136"/>
      <c r="BH251" s="136"/>
      <c r="BI251" s="136"/>
    </row>
    <row r="252" spans="1:61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  <c r="AA252" s="136"/>
      <c r="AB252" s="136"/>
      <c r="AC252" s="136"/>
      <c r="AD252" s="136"/>
      <c r="AE252" s="136"/>
      <c r="AF252" s="136"/>
      <c r="AG252" s="136"/>
      <c r="AH252" s="136"/>
      <c r="AI252" s="136"/>
      <c r="AJ252" s="136"/>
      <c r="AK252" s="136"/>
      <c r="AL252" s="136"/>
      <c r="AM252" s="136"/>
      <c r="AN252" s="136"/>
      <c r="AO252" s="136"/>
      <c r="AP252" s="136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136"/>
      <c r="BD252" s="136"/>
      <c r="BE252" s="136"/>
      <c r="BF252" s="136"/>
      <c r="BG252" s="136"/>
      <c r="BH252" s="136"/>
      <c r="BI252" s="136"/>
    </row>
    <row r="253" spans="1:61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  <c r="AA253" s="136"/>
      <c r="AB253" s="136"/>
      <c r="AC253" s="136"/>
      <c r="AD253" s="136"/>
      <c r="AE253" s="136"/>
      <c r="AF253" s="136"/>
      <c r="AG253" s="136"/>
      <c r="AH253" s="136"/>
      <c r="AI253" s="136"/>
      <c r="AJ253" s="136"/>
      <c r="AK253" s="136"/>
      <c r="AL253" s="136"/>
      <c r="AM253" s="136"/>
      <c r="AN253" s="136"/>
      <c r="AO253" s="136"/>
      <c r="AP253" s="136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136"/>
      <c r="BD253" s="136"/>
      <c r="BE253" s="136"/>
      <c r="BF253" s="136"/>
      <c r="BG253" s="136"/>
      <c r="BH253" s="136"/>
      <c r="BI253" s="136"/>
    </row>
    <row r="254" spans="1:61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  <c r="AA254" s="136"/>
      <c r="AB254" s="136"/>
      <c r="AC254" s="136"/>
      <c r="AD254" s="136"/>
      <c r="AE254" s="136"/>
      <c r="AF254" s="136"/>
      <c r="AG254" s="136"/>
      <c r="AH254" s="136"/>
      <c r="AI254" s="136"/>
      <c r="AJ254" s="136"/>
      <c r="AK254" s="136"/>
      <c r="AL254" s="136"/>
      <c r="AM254" s="136"/>
      <c r="AN254" s="136"/>
      <c r="AO254" s="136"/>
      <c r="AP254" s="136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136"/>
      <c r="BD254" s="136"/>
      <c r="BE254" s="136"/>
      <c r="BF254" s="136"/>
      <c r="BG254" s="136"/>
      <c r="BH254" s="136"/>
      <c r="BI254" s="136"/>
    </row>
    <row r="255" spans="1:61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  <c r="AA255" s="136"/>
      <c r="AB255" s="136"/>
      <c r="AC255" s="136"/>
      <c r="AD255" s="136"/>
      <c r="AE255" s="136"/>
      <c r="AF255" s="136"/>
      <c r="AG255" s="136"/>
      <c r="AH255" s="136"/>
      <c r="AI255" s="136"/>
      <c r="AJ255" s="136"/>
      <c r="AK255" s="136"/>
      <c r="AL255" s="136"/>
      <c r="AM255" s="136"/>
      <c r="AN255" s="136"/>
      <c r="AO255" s="136"/>
      <c r="AP255" s="136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136"/>
      <c r="BD255" s="136"/>
      <c r="BE255" s="136"/>
      <c r="BF255" s="136"/>
      <c r="BG255" s="136"/>
      <c r="BH255" s="136"/>
      <c r="BI255" s="136"/>
    </row>
    <row r="256" spans="1:61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  <c r="AA256" s="136"/>
      <c r="AB256" s="136"/>
      <c r="AC256" s="136"/>
      <c r="AD256" s="136"/>
      <c r="AE256" s="136"/>
      <c r="AF256" s="136"/>
      <c r="AG256" s="136"/>
      <c r="AH256" s="136"/>
      <c r="AI256" s="136"/>
      <c r="AJ256" s="136"/>
      <c r="AK256" s="136"/>
      <c r="AL256" s="136"/>
      <c r="AM256" s="136"/>
      <c r="AN256" s="136"/>
      <c r="AO256" s="136"/>
      <c r="AP256" s="136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136"/>
      <c r="BD256" s="136"/>
      <c r="BE256" s="136"/>
      <c r="BF256" s="136"/>
      <c r="BG256" s="136"/>
      <c r="BH256" s="136"/>
      <c r="BI256" s="136"/>
    </row>
    <row r="257" spans="1:61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  <c r="AA257" s="136"/>
      <c r="AB257" s="136"/>
      <c r="AC257" s="136"/>
      <c r="AD257" s="136"/>
      <c r="AE257" s="136"/>
      <c r="AF257" s="136"/>
      <c r="AG257" s="136"/>
      <c r="AH257" s="136"/>
      <c r="AI257" s="136"/>
      <c r="AJ257" s="136"/>
      <c r="AK257" s="136"/>
      <c r="AL257" s="136"/>
      <c r="AM257" s="136"/>
      <c r="AN257" s="136"/>
      <c r="AO257" s="136"/>
      <c r="AP257" s="136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136"/>
      <c r="BD257" s="136"/>
      <c r="BE257" s="136"/>
      <c r="BF257" s="136"/>
      <c r="BG257" s="136"/>
      <c r="BH257" s="136"/>
      <c r="BI257" s="136"/>
    </row>
    <row r="258" spans="1:61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  <c r="AA258" s="136"/>
      <c r="AB258" s="136"/>
      <c r="AC258" s="136"/>
      <c r="AD258" s="136"/>
      <c r="AE258" s="136"/>
      <c r="AF258" s="136"/>
      <c r="AG258" s="136"/>
      <c r="AH258" s="136"/>
      <c r="AI258" s="136"/>
      <c r="AJ258" s="136"/>
      <c r="AK258" s="136"/>
      <c r="AL258" s="136"/>
      <c r="AM258" s="136"/>
      <c r="AN258" s="136"/>
      <c r="AO258" s="136"/>
      <c r="AP258" s="136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136"/>
      <c r="BD258" s="136"/>
      <c r="BE258" s="136"/>
      <c r="BF258" s="136"/>
      <c r="BG258" s="136"/>
      <c r="BH258" s="136"/>
      <c r="BI258" s="136"/>
    </row>
    <row r="259" spans="1:61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  <c r="AA259" s="136"/>
      <c r="AB259" s="136"/>
      <c r="AC259" s="136"/>
      <c r="AD259" s="136"/>
      <c r="AE259" s="136"/>
      <c r="AF259" s="136"/>
      <c r="AG259" s="136"/>
      <c r="AH259" s="136"/>
      <c r="AI259" s="136"/>
      <c r="AJ259" s="136"/>
      <c r="AK259" s="136"/>
      <c r="AL259" s="136"/>
      <c r="AM259" s="136"/>
      <c r="AN259" s="136"/>
      <c r="AO259" s="136"/>
      <c r="AP259" s="136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136"/>
      <c r="BD259" s="136"/>
      <c r="BE259" s="136"/>
      <c r="BF259" s="136"/>
      <c r="BG259" s="136"/>
      <c r="BH259" s="136"/>
      <c r="BI259" s="136"/>
    </row>
    <row r="260" spans="1:61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  <c r="AA260" s="136"/>
      <c r="AB260" s="136"/>
      <c r="AC260" s="136"/>
      <c r="AD260" s="136"/>
      <c r="AE260" s="136"/>
      <c r="AF260" s="136"/>
      <c r="AG260" s="136"/>
      <c r="AH260" s="136"/>
      <c r="AI260" s="136"/>
      <c r="AJ260" s="136"/>
      <c r="AK260" s="136"/>
      <c r="AL260" s="136"/>
      <c r="AM260" s="136"/>
      <c r="AN260" s="136"/>
      <c r="AO260" s="136"/>
      <c r="AP260" s="136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136"/>
      <c r="BD260" s="136"/>
      <c r="BE260" s="136"/>
      <c r="BF260" s="136"/>
      <c r="BG260" s="136"/>
      <c r="BH260" s="136"/>
      <c r="BI260" s="136"/>
    </row>
    <row r="261" spans="1: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  <c r="AA261" s="136"/>
      <c r="AB261" s="136"/>
      <c r="AC261" s="136"/>
      <c r="AD261" s="136"/>
      <c r="AE261" s="136"/>
      <c r="AF261" s="136"/>
      <c r="AG261" s="136"/>
      <c r="AH261" s="136"/>
      <c r="AI261" s="136"/>
      <c r="AJ261" s="136"/>
      <c r="AK261" s="136"/>
      <c r="AL261" s="136"/>
      <c r="AM261" s="136"/>
      <c r="AN261" s="136"/>
      <c r="AO261" s="136"/>
      <c r="AP261" s="136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136"/>
      <c r="BD261" s="136"/>
      <c r="BE261" s="136"/>
      <c r="BF261" s="136"/>
      <c r="BG261" s="136"/>
      <c r="BH261" s="136"/>
      <c r="BI261" s="136"/>
    </row>
    <row r="262" spans="1:61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  <c r="AA262" s="136"/>
      <c r="AB262" s="136"/>
      <c r="AC262" s="136"/>
      <c r="AD262" s="136"/>
      <c r="AE262" s="136"/>
      <c r="AF262" s="136"/>
      <c r="AG262" s="136"/>
      <c r="AH262" s="136"/>
      <c r="AI262" s="136"/>
      <c r="AJ262" s="136"/>
      <c r="AK262" s="136"/>
      <c r="AL262" s="136"/>
      <c r="AM262" s="136"/>
      <c r="AN262" s="136"/>
      <c r="AO262" s="136"/>
      <c r="AP262" s="136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136"/>
      <c r="BD262" s="136"/>
      <c r="BE262" s="136"/>
      <c r="BF262" s="136"/>
      <c r="BG262" s="136"/>
      <c r="BH262" s="136"/>
      <c r="BI262" s="136"/>
    </row>
    <row r="263" spans="1:61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  <c r="AA263" s="136"/>
      <c r="AB263" s="136"/>
      <c r="AC263" s="136"/>
      <c r="AD263" s="136"/>
      <c r="AE263" s="136"/>
      <c r="AF263" s="136"/>
      <c r="AG263" s="136"/>
      <c r="AH263" s="136"/>
      <c r="AI263" s="136"/>
      <c r="AJ263" s="136"/>
      <c r="AK263" s="136"/>
      <c r="AL263" s="136"/>
      <c r="AM263" s="136"/>
      <c r="AN263" s="136"/>
      <c r="AO263" s="136"/>
      <c r="AP263" s="136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136"/>
      <c r="BD263" s="136"/>
      <c r="BE263" s="136"/>
      <c r="BF263" s="136"/>
      <c r="BG263" s="136"/>
      <c r="BH263" s="136"/>
      <c r="BI263" s="136"/>
    </row>
    <row r="264" spans="1:61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  <c r="AA264" s="136"/>
      <c r="AB264" s="136"/>
      <c r="AC264" s="136"/>
      <c r="AD264" s="136"/>
      <c r="AE264" s="136"/>
      <c r="AF264" s="136"/>
      <c r="AG264" s="136"/>
      <c r="AH264" s="136"/>
      <c r="AI264" s="136"/>
      <c r="AJ264" s="136"/>
      <c r="AK264" s="136"/>
      <c r="AL264" s="136"/>
      <c r="AM264" s="136"/>
      <c r="AN264" s="136"/>
      <c r="AO264" s="136"/>
      <c r="AP264" s="136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136"/>
      <c r="BD264" s="136"/>
      <c r="BE264" s="136"/>
      <c r="BF264" s="136"/>
      <c r="BG264" s="136"/>
      <c r="BH264" s="136"/>
      <c r="BI264" s="136"/>
    </row>
    <row r="265" spans="1:61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  <c r="AA265" s="136"/>
      <c r="AB265" s="136"/>
      <c r="AC265" s="136"/>
      <c r="AD265" s="136"/>
      <c r="AE265" s="136"/>
      <c r="AF265" s="136"/>
      <c r="AG265" s="136"/>
      <c r="AH265" s="136"/>
      <c r="AI265" s="136"/>
      <c r="AJ265" s="136"/>
      <c r="AK265" s="136"/>
      <c r="AL265" s="136"/>
      <c r="AM265" s="136"/>
      <c r="AN265" s="136"/>
      <c r="AO265" s="136"/>
      <c r="AP265" s="136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136"/>
      <c r="BD265" s="136"/>
      <c r="BE265" s="136"/>
      <c r="BF265" s="136"/>
      <c r="BG265" s="136"/>
      <c r="BH265" s="136"/>
      <c r="BI265" s="136"/>
    </row>
    <row r="266" spans="1:61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  <c r="AA266" s="136"/>
      <c r="AB266" s="136"/>
      <c r="AC266" s="136"/>
      <c r="AD266" s="136"/>
      <c r="AE266" s="136"/>
      <c r="AF266" s="136"/>
      <c r="AG266" s="136"/>
      <c r="AH266" s="136"/>
      <c r="AI266" s="136"/>
      <c r="AJ266" s="136"/>
      <c r="AK266" s="136"/>
      <c r="AL266" s="136"/>
      <c r="AM266" s="136"/>
      <c r="AN266" s="136"/>
      <c r="AO266" s="136"/>
      <c r="AP266" s="136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136"/>
      <c r="BD266" s="136"/>
      <c r="BE266" s="136"/>
      <c r="BF266" s="136"/>
      <c r="BG266" s="136"/>
      <c r="BH266" s="136"/>
      <c r="BI266" s="136"/>
    </row>
    <row r="267" spans="1:61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  <c r="AA267" s="136"/>
      <c r="AB267" s="136"/>
      <c r="AC267" s="136"/>
      <c r="AD267" s="136"/>
      <c r="AE267" s="136"/>
      <c r="AF267" s="136"/>
      <c r="AG267" s="136"/>
      <c r="AH267" s="136"/>
      <c r="AI267" s="136"/>
      <c r="AJ267" s="136"/>
      <c r="AK267" s="136"/>
      <c r="AL267" s="136"/>
      <c r="AM267" s="136"/>
      <c r="AN267" s="136"/>
      <c r="AO267" s="136"/>
      <c r="AP267" s="136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136"/>
      <c r="BD267" s="136"/>
      <c r="BE267" s="136"/>
      <c r="BF267" s="136"/>
      <c r="BG267" s="136"/>
      <c r="BH267" s="136"/>
      <c r="BI267" s="136"/>
    </row>
    <row r="268" spans="1:61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  <c r="AA268" s="136"/>
      <c r="AB268" s="136"/>
      <c r="AC268" s="136"/>
      <c r="AD268" s="136"/>
      <c r="AE268" s="136"/>
      <c r="AF268" s="136"/>
      <c r="AG268" s="136"/>
      <c r="AH268" s="136"/>
      <c r="AI268" s="136"/>
      <c r="AJ268" s="136"/>
      <c r="AK268" s="136"/>
      <c r="AL268" s="136"/>
      <c r="AM268" s="136"/>
      <c r="AN268" s="136"/>
      <c r="AO268" s="136"/>
      <c r="AP268" s="136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136"/>
      <c r="BD268" s="136"/>
      <c r="BE268" s="136"/>
      <c r="BF268" s="136"/>
      <c r="BG268" s="136"/>
      <c r="BH268" s="136"/>
      <c r="BI268" s="136"/>
    </row>
    <row r="269" spans="1:61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136"/>
      <c r="BD269" s="136"/>
      <c r="BE269" s="136"/>
      <c r="BF269" s="136"/>
      <c r="BG269" s="136"/>
      <c r="BH269" s="136"/>
      <c r="BI269" s="136"/>
    </row>
    <row r="270" spans="1:61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  <c r="AA270" s="136"/>
      <c r="AB270" s="136"/>
      <c r="AC270" s="136"/>
      <c r="AD270" s="136"/>
      <c r="AE270" s="136"/>
      <c r="AF270" s="136"/>
      <c r="AG270" s="136"/>
      <c r="AH270" s="136"/>
      <c r="AI270" s="136"/>
      <c r="AJ270" s="136"/>
      <c r="AK270" s="136"/>
      <c r="AL270" s="136"/>
      <c r="AM270" s="136"/>
      <c r="AN270" s="136"/>
      <c r="AO270" s="136"/>
      <c r="AP270" s="136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136"/>
      <c r="BD270" s="136"/>
      <c r="BE270" s="136"/>
      <c r="BF270" s="136"/>
      <c r="BG270" s="136"/>
      <c r="BH270" s="136"/>
      <c r="BI270" s="136"/>
    </row>
    <row r="271" spans="1:6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  <c r="AA271" s="136"/>
      <c r="AB271" s="136"/>
      <c r="AC271" s="136"/>
      <c r="AD271" s="136"/>
      <c r="AE271" s="136"/>
      <c r="AF271" s="136"/>
      <c r="AG271" s="136"/>
      <c r="AH271" s="136"/>
      <c r="AI271" s="136"/>
      <c r="AJ271" s="136"/>
      <c r="AK271" s="136"/>
      <c r="AL271" s="136"/>
      <c r="AM271" s="136"/>
      <c r="AN271" s="136"/>
      <c r="AO271" s="136"/>
      <c r="AP271" s="136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136"/>
      <c r="BD271" s="136"/>
      <c r="BE271" s="136"/>
      <c r="BF271" s="136"/>
      <c r="BG271" s="136"/>
      <c r="BH271" s="136"/>
      <c r="BI271" s="136"/>
    </row>
    <row r="272" spans="1:61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  <c r="AA272" s="136"/>
      <c r="AB272" s="136"/>
      <c r="AC272" s="136"/>
      <c r="AD272" s="136"/>
      <c r="AE272" s="136"/>
      <c r="AF272" s="136"/>
      <c r="AG272" s="136"/>
      <c r="AH272" s="136"/>
      <c r="AI272" s="136"/>
      <c r="AJ272" s="136"/>
      <c r="AK272" s="136"/>
      <c r="AL272" s="136"/>
      <c r="AM272" s="136"/>
      <c r="AN272" s="136"/>
      <c r="AO272" s="136"/>
      <c r="AP272" s="136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136"/>
      <c r="BD272" s="136"/>
      <c r="BE272" s="136"/>
      <c r="BF272" s="136"/>
      <c r="BG272" s="136"/>
      <c r="BH272" s="136"/>
      <c r="BI272" s="136"/>
    </row>
    <row r="273" spans="1:61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  <c r="AA273" s="136"/>
      <c r="AB273" s="136"/>
      <c r="AC273" s="136"/>
      <c r="AD273" s="136"/>
      <c r="AE273" s="136"/>
      <c r="AF273" s="136"/>
      <c r="AG273" s="136"/>
      <c r="AH273" s="136"/>
      <c r="AI273" s="136"/>
      <c r="AJ273" s="136"/>
      <c r="AK273" s="136"/>
      <c r="AL273" s="136"/>
      <c r="AM273" s="136"/>
      <c r="AN273" s="136"/>
      <c r="AO273" s="136"/>
      <c r="AP273" s="136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136"/>
      <c r="BD273" s="136"/>
      <c r="BE273" s="136"/>
      <c r="BF273" s="136"/>
      <c r="BG273" s="136"/>
      <c r="BH273" s="136"/>
      <c r="BI273" s="136"/>
    </row>
    <row r="274" spans="1:61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  <c r="AA274" s="136"/>
      <c r="AB274" s="136"/>
      <c r="AC274" s="136"/>
      <c r="AD274" s="136"/>
      <c r="AE274" s="136"/>
      <c r="AF274" s="136"/>
      <c r="AG274" s="136"/>
      <c r="AH274" s="136"/>
      <c r="AI274" s="136"/>
      <c r="AJ274" s="136"/>
      <c r="AK274" s="136"/>
      <c r="AL274" s="136"/>
      <c r="AM274" s="136"/>
      <c r="AN274" s="136"/>
      <c r="AO274" s="136"/>
      <c r="AP274" s="136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136"/>
      <c r="BD274" s="136"/>
      <c r="BE274" s="136"/>
      <c r="BF274" s="136"/>
      <c r="BG274" s="136"/>
      <c r="BH274" s="136"/>
      <c r="BI274" s="136"/>
    </row>
    <row r="275" spans="1:61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136"/>
      <c r="AI275" s="136"/>
      <c r="AJ275" s="136"/>
      <c r="AK275" s="136"/>
      <c r="AL275" s="136"/>
      <c r="AM275" s="136"/>
      <c r="AN275" s="136"/>
      <c r="AO275" s="136"/>
      <c r="AP275" s="136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136"/>
      <c r="BD275" s="136"/>
      <c r="BE275" s="136"/>
      <c r="BF275" s="136"/>
      <c r="BG275" s="136"/>
      <c r="BH275" s="136"/>
      <c r="BI275" s="136"/>
    </row>
    <row r="276" spans="1:61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  <c r="AA276" s="136"/>
      <c r="AB276" s="136"/>
      <c r="AC276" s="136"/>
      <c r="AD276" s="136"/>
      <c r="AE276" s="136"/>
      <c r="AF276" s="136"/>
      <c r="AG276" s="136"/>
      <c r="AH276" s="136"/>
      <c r="AI276" s="136"/>
      <c r="AJ276" s="136"/>
      <c r="AK276" s="136"/>
      <c r="AL276" s="136"/>
      <c r="AM276" s="136"/>
      <c r="AN276" s="136"/>
      <c r="AO276" s="136"/>
      <c r="AP276" s="136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136"/>
      <c r="BD276" s="136"/>
      <c r="BE276" s="136"/>
      <c r="BF276" s="136"/>
      <c r="BG276" s="136"/>
      <c r="BH276" s="136"/>
      <c r="BI276" s="136"/>
    </row>
    <row r="277" spans="1:61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  <c r="AA277" s="136"/>
      <c r="AB277" s="136"/>
      <c r="AC277" s="136"/>
      <c r="AD277" s="136"/>
      <c r="AE277" s="136"/>
      <c r="AF277" s="136"/>
      <c r="AG277" s="136"/>
      <c r="AH277" s="136"/>
      <c r="AI277" s="136"/>
      <c r="AJ277" s="136"/>
      <c r="AK277" s="136"/>
      <c r="AL277" s="136"/>
      <c r="AM277" s="136"/>
      <c r="AN277" s="136"/>
      <c r="AO277" s="136"/>
      <c r="AP277" s="136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136"/>
      <c r="BD277" s="136"/>
      <c r="BE277" s="136"/>
      <c r="BF277" s="136"/>
      <c r="BG277" s="136"/>
      <c r="BH277" s="136"/>
      <c r="BI277" s="136"/>
    </row>
    <row r="278" spans="1:61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  <c r="AA278" s="136"/>
      <c r="AB278" s="136"/>
      <c r="AC278" s="136"/>
      <c r="AD278" s="136"/>
      <c r="AE278" s="136"/>
      <c r="AF278" s="136"/>
      <c r="AG278" s="136"/>
      <c r="AH278" s="136"/>
      <c r="AI278" s="136"/>
      <c r="AJ278" s="136"/>
      <c r="AK278" s="136"/>
      <c r="AL278" s="136"/>
      <c r="AM278" s="136"/>
      <c r="AN278" s="136"/>
      <c r="AO278" s="136"/>
      <c r="AP278" s="136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136"/>
      <c r="BD278" s="136"/>
      <c r="BE278" s="136"/>
      <c r="BF278" s="136"/>
      <c r="BG278" s="136"/>
      <c r="BH278" s="136"/>
      <c r="BI278" s="136"/>
    </row>
    <row r="279" spans="1:61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  <c r="AA279" s="136"/>
      <c r="AB279" s="136"/>
      <c r="AC279" s="136"/>
      <c r="AD279" s="136"/>
      <c r="AE279" s="136"/>
      <c r="AF279" s="136"/>
      <c r="AG279" s="136"/>
      <c r="AH279" s="136"/>
      <c r="AI279" s="136"/>
      <c r="AJ279" s="136"/>
      <c r="AK279" s="136"/>
      <c r="AL279" s="136"/>
      <c r="AM279" s="136"/>
      <c r="AN279" s="136"/>
      <c r="AO279" s="136"/>
      <c r="AP279" s="136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136"/>
      <c r="BD279" s="136"/>
      <c r="BE279" s="136"/>
      <c r="BF279" s="136"/>
      <c r="BG279" s="136"/>
      <c r="BH279" s="136"/>
      <c r="BI279" s="136"/>
    </row>
    <row r="280" spans="1:61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  <c r="AA280" s="136"/>
      <c r="AB280" s="136"/>
      <c r="AC280" s="136"/>
      <c r="AD280" s="136"/>
      <c r="AE280" s="136"/>
      <c r="AF280" s="136"/>
      <c r="AG280" s="136"/>
      <c r="AH280" s="136"/>
      <c r="AI280" s="136"/>
      <c r="AJ280" s="136"/>
      <c r="AK280" s="136"/>
      <c r="AL280" s="136"/>
      <c r="AM280" s="136"/>
      <c r="AN280" s="136"/>
      <c r="AO280" s="136"/>
      <c r="AP280" s="136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136"/>
      <c r="BD280" s="136"/>
      <c r="BE280" s="136"/>
      <c r="BF280" s="136"/>
      <c r="BG280" s="136"/>
      <c r="BH280" s="136"/>
      <c r="BI280" s="136"/>
    </row>
    <row r="281" spans="1:6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136"/>
      <c r="BD281" s="136"/>
      <c r="BE281" s="136"/>
      <c r="BF281" s="136"/>
      <c r="BG281" s="136"/>
      <c r="BH281" s="136"/>
      <c r="BI281" s="136"/>
    </row>
    <row r="282" spans="1:61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  <c r="AA282" s="136"/>
      <c r="AB282" s="136"/>
      <c r="AC282" s="136"/>
      <c r="AD282" s="136"/>
      <c r="AE282" s="136"/>
      <c r="AF282" s="136"/>
      <c r="AG282" s="136"/>
      <c r="AH282" s="136"/>
      <c r="AI282" s="136"/>
      <c r="AJ282" s="136"/>
      <c r="AK282" s="136"/>
      <c r="AL282" s="136"/>
      <c r="AM282" s="136"/>
      <c r="AN282" s="136"/>
      <c r="AO282" s="136"/>
      <c r="AP282" s="136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136"/>
      <c r="BD282" s="136"/>
      <c r="BE282" s="136"/>
      <c r="BF282" s="136"/>
      <c r="BG282" s="136"/>
      <c r="BH282" s="136"/>
      <c r="BI282" s="136"/>
    </row>
    <row r="283" spans="1:61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  <c r="AA283" s="136"/>
      <c r="AB283" s="136"/>
      <c r="AC283" s="136"/>
      <c r="AD283" s="136"/>
      <c r="AE283" s="136"/>
      <c r="AF283" s="136"/>
      <c r="AG283" s="136"/>
      <c r="AH283" s="136"/>
      <c r="AI283" s="136"/>
      <c r="AJ283" s="136"/>
      <c r="AK283" s="136"/>
      <c r="AL283" s="136"/>
      <c r="AM283" s="136"/>
      <c r="AN283" s="136"/>
      <c r="AO283" s="136"/>
      <c r="AP283" s="136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136"/>
      <c r="BD283" s="136"/>
      <c r="BE283" s="136"/>
      <c r="BF283" s="136"/>
      <c r="BG283" s="136"/>
      <c r="BH283" s="136"/>
      <c r="BI283" s="136"/>
    </row>
    <row r="284" spans="1:61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  <c r="AA284" s="136"/>
      <c r="AB284" s="136"/>
      <c r="AC284" s="136"/>
      <c r="AD284" s="136"/>
      <c r="AE284" s="136"/>
      <c r="AF284" s="136"/>
      <c r="AG284" s="136"/>
      <c r="AH284" s="136"/>
      <c r="AI284" s="136"/>
      <c r="AJ284" s="136"/>
      <c r="AK284" s="136"/>
      <c r="AL284" s="136"/>
      <c r="AM284" s="136"/>
      <c r="AN284" s="136"/>
      <c r="AO284" s="136"/>
      <c r="AP284" s="136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136"/>
      <c r="BD284" s="136"/>
      <c r="BE284" s="136"/>
      <c r="BF284" s="136"/>
      <c r="BG284" s="136"/>
      <c r="BH284" s="136"/>
      <c r="BI284" s="136"/>
    </row>
    <row r="285" spans="1:61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  <c r="AA285" s="136"/>
      <c r="AB285" s="136"/>
      <c r="AC285" s="136"/>
      <c r="AD285" s="136"/>
      <c r="AE285" s="136"/>
      <c r="AF285" s="136"/>
      <c r="AG285" s="136"/>
      <c r="AH285" s="136"/>
      <c r="AI285" s="136"/>
      <c r="AJ285" s="136"/>
      <c r="AK285" s="136"/>
      <c r="AL285" s="136"/>
      <c r="AM285" s="136"/>
      <c r="AN285" s="136"/>
      <c r="AO285" s="136"/>
      <c r="AP285" s="136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136"/>
      <c r="BD285" s="136"/>
      <c r="BE285" s="136"/>
      <c r="BF285" s="136"/>
      <c r="BG285" s="136"/>
      <c r="BH285" s="136"/>
      <c r="BI285" s="136"/>
    </row>
    <row r="286" spans="1:61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  <c r="AA286" s="136"/>
      <c r="AB286" s="136"/>
      <c r="AC286" s="136"/>
      <c r="AD286" s="136"/>
      <c r="AE286" s="136"/>
      <c r="AF286" s="136"/>
      <c r="AG286" s="136"/>
      <c r="AH286" s="136"/>
      <c r="AI286" s="136"/>
      <c r="AJ286" s="136"/>
      <c r="AK286" s="136"/>
      <c r="AL286" s="136"/>
      <c r="AM286" s="136"/>
      <c r="AN286" s="136"/>
      <c r="AO286" s="136"/>
      <c r="AP286" s="136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136"/>
      <c r="BD286" s="136"/>
      <c r="BE286" s="136"/>
      <c r="BF286" s="136"/>
      <c r="BG286" s="136"/>
      <c r="BH286" s="136"/>
      <c r="BI286" s="136"/>
    </row>
    <row r="287" spans="1:61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  <c r="AA287" s="136"/>
      <c r="AB287" s="136"/>
      <c r="AC287" s="136"/>
      <c r="AD287" s="136"/>
      <c r="AE287" s="136"/>
      <c r="AF287" s="136"/>
      <c r="AG287" s="136"/>
      <c r="AH287" s="136"/>
      <c r="AI287" s="136"/>
      <c r="AJ287" s="136"/>
      <c r="AK287" s="136"/>
      <c r="AL287" s="136"/>
      <c r="AM287" s="136"/>
      <c r="AN287" s="136"/>
      <c r="AO287" s="136"/>
      <c r="AP287" s="136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136"/>
      <c r="BD287" s="136"/>
      <c r="BE287" s="136"/>
      <c r="BF287" s="136"/>
      <c r="BG287" s="136"/>
      <c r="BH287" s="136"/>
      <c r="BI287" s="136"/>
    </row>
    <row r="288" spans="1:61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  <c r="AA288" s="136"/>
      <c r="AB288" s="136"/>
      <c r="AC288" s="136"/>
      <c r="AD288" s="136"/>
      <c r="AE288" s="136"/>
      <c r="AF288" s="136"/>
      <c r="AG288" s="136"/>
      <c r="AH288" s="136"/>
      <c r="AI288" s="136"/>
      <c r="AJ288" s="136"/>
      <c r="AK288" s="136"/>
      <c r="AL288" s="136"/>
      <c r="AM288" s="136"/>
      <c r="AN288" s="136"/>
      <c r="AO288" s="136"/>
      <c r="AP288" s="136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136"/>
      <c r="BD288" s="136"/>
      <c r="BE288" s="136"/>
      <c r="BF288" s="136"/>
      <c r="BG288" s="136"/>
      <c r="BH288" s="136"/>
      <c r="BI288" s="136"/>
    </row>
    <row r="289" spans="1:61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  <c r="AA289" s="136"/>
      <c r="AB289" s="136"/>
      <c r="AC289" s="136"/>
      <c r="AD289" s="136"/>
      <c r="AE289" s="136"/>
      <c r="AF289" s="136"/>
      <c r="AG289" s="136"/>
      <c r="AH289" s="136"/>
      <c r="AI289" s="136"/>
      <c r="AJ289" s="136"/>
      <c r="AK289" s="136"/>
      <c r="AL289" s="136"/>
      <c r="AM289" s="136"/>
      <c r="AN289" s="136"/>
      <c r="AO289" s="136"/>
      <c r="AP289" s="136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136"/>
      <c r="BD289" s="136"/>
      <c r="BE289" s="136"/>
      <c r="BF289" s="136"/>
      <c r="BG289" s="136"/>
      <c r="BH289" s="136"/>
      <c r="BI289" s="136"/>
    </row>
    <row r="290" spans="1:61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  <c r="AA290" s="136"/>
      <c r="AB290" s="136"/>
      <c r="AC290" s="136"/>
      <c r="AD290" s="136"/>
      <c r="AE290" s="136"/>
      <c r="AF290" s="136"/>
      <c r="AG290" s="136"/>
      <c r="AH290" s="136"/>
      <c r="AI290" s="136"/>
      <c r="AJ290" s="136"/>
      <c r="AK290" s="136"/>
      <c r="AL290" s="136"/>
      <c r="AM290" s="136"/>
      <c r="AN290" s="136"/>
      <c r="AO290" s="136"/>
      <c r="AP290" s="136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136"/>
      <c r="BD290" s="136"/>
      <c r="BE290" s="136"/>
      <c r="BF290" s="136"/>
      <c r="BG290" s="136"/>
      <c r="BH290" s="136"/>
      <c r="BI290" s="136"/>
    </row>
    <row r="291" spans="1:6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136"/>
      <c r="BD291" s="136"/>
      <c r="BE291" s="136"/>
      <c r="BF291" s="136"/>
      <c r="BG291" s="136"/>
      <c r="BH291" s="136"/>
      <c r="BI291" s="136"/>
    </row>
    <row r="292" spans="1:61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  <c r="AA292" s="136"/>
      <c r="AB292" s="136"/>
      <c r="AC292" s="136"/>
      <c r="AD292" s="136"/>
      <c r="AE292" s="136"/>
      <c r="AF292" s="136"/>
      <c r="AG292" s="136"/>
      <c r="AH292" s="136"/>
      <c r="AI292" s="136"/>
      <c r="AJ292" s="136"/>
      <c r="AK292" s="136"/>
      <c r="AL292" s="136"/>
      <c r="AM292" s="136"/>
      <c r="AN292" s="136"/>
      <c r="AO292" s="136"/>
      <c r="AP292" s="136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136"/>
      <c r="BD292" s="136"/>
      <c r="BE292" s="136"/>
      <c r="BF292" s="136"/>
      <c r="BG292" s="136"/>
      <c r="BH292" s="136"/>
      <c r="BI292" s="136"/>
    </row>
    <row r="293" spans="1:61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  <c r="AA293" s="136"/>
      <c r="AB293" s="136"/>
      <c r="AC293" s="136"/>
      <c r="AD293" s="136"/>
      <c r="AE293" s="136"/>
      <c r="AF293" s="136"/>
      <c r="AG293" s="136"/>
      <c r="AH293" s="136"/>
      <c r="AI293" s="136"/>
      <c r="AJ293" s="136"/>
      <c r="AK293" s="136"/>
      <c r="AL293" s="136"/>
      <c r="AM293" s="136"/>
      <c r="AN293" s="136"/>
      <c r="AO293" s="136"/>
      <c r="AP293" s="136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136"/>
      <c r="BD293" s="136"/>
      <c r="BE293" s="136"/>
      <c r="BF293" s="136"/>
      <c r="BG293" s="136"/>
      <c r="BH293" s="136"/>
      <c r="BI293" s="136"/>
    </row>
    <row r="294" spans="1:61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  <c r="AA294" s="136"/>
      <c r="AB294" s="136"/>
      <c r="AC294" s="136"/>
      <c r="AD294" s="136"/>
      <c r="AE294" s="136"/>
      <c r="AF294" s="136"/>
      <c r="AG294" s="136"/>
      <c r="AH294" s="136"/>
      <c r="AI294" s="136"/>
      <c r="AJ294" s="136"/>
      <c r="AK294" s="136"/>
      <c r="AL294" s="136"/>
      <c r="AM294" s="136"/>
      <c r="AN294" s="136"/>
      <c r="AO294" s="136"/>
      <c r="AP294" s="136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136"/>
      <c r="BD294" s="136"/>
      <c r="BE294" s="136"/>
      <c r="BF294" s="136"/>
      <c r="BG294" s="136"/>
      <c r="BH294" s="136"/>
      <c r="BI294" s="136"/>
    </row>
    <row r="295" spans="1:61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  <c r="AA295" s="136"/>
      <c r="AB295" s="136"/>
      <c r="AC295" s="136"/>
      <c r="AD295" s="136"/>
      <c r="AE295" s="136"/>
      <c r="AF295" s="136"/>
      <c r="AG295" s="136"/>
      <c r="AH295" s="136"/>
      <c r="AI295" s="136"/>
      <c r="AJ295" s="136"/>
      <c r="AK295" s="136"/>
      <c r="AL295" s="136"/>
      <c r="AM295" s="136"/>
      <c r="AN295" s="136"/>
      <c r="AO295" s="136"/>
      <c r="AP295" s="136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136"/>
      <c r="BD295" s="136"/>
      <c r="BE295" s="136"/>
      <c r="BF295" s="136"/>
      <c r="BG295" s="136"/>
      <c r="BH295" s="136"/>
      <c r="BI295" s="136"/>
    </row>
    <row r="296" spans="1:61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  <c r="AA296" s="136"/>
      <c r="AB296" s="136"/>
      <c r="AC296" s="136"/>
      <c r="AD296" s="136"/>
      <c r="AE296" s="136"/>
      <c r="AF296" s="136"/>
      <c r="AG296" s="136"/>
      <c r="AH296" s="136"/>
      <c r="AI296" s="136"/>
      <c r="AJ296" s="136"/>
      <c r="AK296" s="136"/>
      <c r="AL296" s="136"/>
      <c r="AM296" s="136"/>
      <c r="AN296" s="136"/>
      <c r="AO296" s="136"/>
      <c r="AP296" s="136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136"/>
      <c r="BD296" s="136"/>
      <c r="BE296" s="136"/>
      <c r="BF296" s="136"/>
      <c r="BG296" s="136"/>
      <c r="BH296" s="136"/>
      <c r="BI296" s="136"/>
    </row>
    <row r="297" spans="1:61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  <c r="AA297" s="136"/>
      <c r="AB297" s="136"/>
      <c r="AC297" s="136"/>
      <c r="AD297" s="136"/>
      <c r="AE297" s="136"/>
      <c r="AF297" s="136"/>
      <c r="AG297" s="136"/>
      <c r="AH297" s="136"/>
      <c r="AI297" s="136"/>
      <c r="AJ297" s="136"/>
      <c r="AK297" s="136"/>
      <c r="AL297" s="136"/>
      <c r="AM297" s="136"/>
      <c r="AN297" s="136"/>
      <c r="AO297" s="136"/>
      <c r="AP297" s="136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136"/>
      <c r="BD297" s="136"/>
      <c r="BE297" s="136"/>
      <c r="BF297" s="136"/>
      <c r="BG297" s="136"/>
      <c r="BH297" s="136"/>
      <c r="BI297" s="136"/>
    </row>
    <row r="298" spans="1:61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  <c r="AA298" s="136"/>
      <c r="AB298" s="136"/>
      <c r="AC298" s="136"/>
      <c r="AD298" s="136"/>
      <c r="AE298" s="136"/>
      <c r="AF298" s="136"/>
      <c r="AG298" s="136"/>
      <c r="AH298" s="136"/>
      <c r="AI298" s="136"/>
      <c r="AJ298" s="136"/>
      <c r="AK298" s="136"/>
      <c r="AL298" s="136"/>
      <c r="AM298" s="136"/>
      <c r="AN298" s="136"/>
      <c r="AO298" s="136"/>
      <c r="AP298" s="136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136"/>
      <c r="BD298" s="136"/>
      <c r="BE298" s="136"/>
      <c r="BF298" s="136"/>
      <c r="BG298" s="136"/>
      <c r="BH298" s="136"/>
      <c r="BI298" s="136"/>
    </row>
    <row r="299" spans="1:61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  <c r="AA299" s="136"/>
      <c r="AB299" s="136"/>
      <c r="AC299" s="136"/>
      <c r="AD299" s="136"/>
      <c r="AE299" s="136"/>
      <c r="AF299" s="136"/>
      <c r="AG299" s="136"/>
      <c r="AH299" s="136"/>
      <c r="AI299" s="136"/>
      <c r="AJ299" s="136"/>
      <c r="AK299" s="136"/>
      <c r="AL299" s="136"/>
      <c r="AM299" s="136"/>
      <c r="AN299" s="136"/>
      <c r="AO299" s="136"/>
      <c r="AP299" s="136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136"/>
      <c r="BD299" s="136"/>
      <c r="BE299" s="136"/>
      <c r="BF299" s="136"/>
      <c r="BG299" s="136"/>
      <c r="BH299" s="136"/>
      <c r="BI299" s="136"/>
    </row>
    <row r="300" spans="1:61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  <c r="AA300" s="136"/>
      <c r="AB300" s="136"/>
      <c r="AC300" s="136"/>
      <c r="AD300" s="136"/>
      <c r="AE300" s="136"/>
      <c r="AF300" s="136"/>
      <c r="AG300" s="136"/>
      <c r="AH300" s="136"/>
      <c r="AI300" s="136"/>
      <c r="AJ300" s="136"/>
      <c r="AK300" s="136"/>
      <c r="AL300" s="136"/>
      <c r="AM300" s="136"/>
      <c r="AN300" s="136"/>
      <c r="AO300" s="136"/>
      <c r="AP300" s="136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136"/>
      <c r="BD300" s="136"/>
      <c r="BE300" s="136"/>
      <c r="BF300" s="136"/>
      <c r="BG300" s="136"/>
      <c r="BH300" s="136"/>
      <c r="BI300" s="136"/>
    </row>
    <row r="301" spans="1:6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  <c r="AA301" s="136"/>
      <c r="AB301" s="136"/>
      <c r="AC301" s="136"/>
      <c r="AD301" s="136"/>
      <c r="AE301" s="136"/>
      <c r="AF301" s="136"/>
      <c r="AG301" s="136"/>
      <c r="AH301" s="136"/>
      <c r="AI301" s="136"/>
      <c r="AJ301" s="136"/>
      <c r="AK301" s="136"/>
      <c r="AL301" s="136"/>
      <c r="AM301" s="136"/>
      <c r="AN301" s="136"/>
      <c r="AO301" s="136"/>
      <c r="AP301" s="136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136"/>
      <c r="BD301" s="136"/>
      <c r="BE301" s="136"/>
      <c r="BF301" s="136"/>
      <c r="BG301" s="136"/>
      <c r="BH301" s="136"/>
      <c r="BI301" s="136"/>
    </row>
    <row r="302" spans="1:61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  <c r="AA302" s="136"/>
      <c r="AB302" s="136"/>
      <c r="AC302" s="136"/>
      <c r="AD302" s="136"/>
      <c r="AE302" s="136"/>
      <c r="AF302" s="136"/>
      <c r="AG302" s="136"/>
      <c r="AH302" s="136"/>
      <c r="AI302" s="136"/>
      <c r="AJ302" s="136"/>
      <c r="AK302" s="136"/>
      <c r="AL302" s="136"/>
      <c r="AM302" s="136"/>
      <c r="AN302" s="136"/>
      <c r="AO302" s="136"/>
      <c r="AP302" s="136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136"/>
      <c r="BD302" s="136"/>
      <c r="BE302" s="136"/>
      <c r="BF302" s="136"/>
      <c r="BG302" s="136"/>
      <c r="BH302" s="136"/>
      <c r="BI302" s="136"/>
    </row>
    <row r="303" spans="1:61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  <c r="AA303" s="136"/>
      <c r="AB303" s="136"/>
      <c r="AC303" s="136"/>
      <c r="AD303" s="136"/>
      <c r="AE303" s="136"/>
      <c r="AF303" s="136"/>
      <c r="AG303" s="136"/>
      <c r="AH303" s="136"/>
      <c r="AI303" s="136"/>
      <c r="AJ303" s="136"/>
      <c r="AK303" s="136"/>
      <c r="AL303" s="136"/>
      <c r="AM303" s="136"/>
      <c r="AN303" s="136"/>
      <c r="AO303" s="136"/>
      <c r="AP303" s="136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136"/>
      <c r="BD303" s="136"/>
      <c r="BE303" s="136"/>
      <c r="BF303" s="136"/>
      <c r="BG303" s="136"/>
      <c r="BH303" s="136"/>
      <c r="BI303" s="136"/>
    </row>
    <row r="304" spans="1:61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  <c r="AA304" s="136"/>
      <c r="AB304" s="136"/>
      <c r="AC304" s="136"/>
      <c r="AD304" s="136"/>
      <c r="AE304" s="136"/>
      <c r="AF304" s="136"/>
      <c r="AG304" s="136"/>
      <c r="AH304" s="136"/>
      <c r="AI304" s="136"/>
      <c r="AJ304" s="136"/>
      <c r="AK304" s="136"/>
      <c r="AL304" s="136"/>
      <c r="AM304" s="136"/>
      <c r="AN304" s="136"/>
      <c r="AO304" s="136"/>
      <c r="AP304" s="136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136"/>
      <c r="BD304" s="136"/>
      <c r="BE304" s="136"/>
      <c r="BF304" s="136"/>
      <c r="BG304" s="136"/>
      <c r="BH304" s="136"/>
      <c r="BI304" s="136"/>
    </row>
    <row r="305" spans="1:61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  <c r="AA305" s="136"/>
      <c r="AB305" s="136"/>
      <c r="AC305" s="136"/>
      <c r="AD305" s="136"/>
      <c r="AE305" s="136"/>
      <c r="AF305" s="136"/>
      <c r="AG305" s="136"/>
      <c r="AH305" s="136"/>
      <c r="AI305" s="136"/>
      <c r="AJ305" s="136"/>
      <c r="AK305" s="136"/>
      <c r="AL305" s="136"/>
      <c r="AM305" s="136"/>
      <c r="AN305" s="136"/>
      <c r="AO305" s="136"/>
      <c r="AP305" s="136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136"/>
      <c r="BD305" s="136"/>
      <c r="BE305" s="136"/>
      <c r="BF305" s="136"/>
      <c r="BG305" s="136"/>
      <c r="BH305" s="136"/>
      <c r="BI305" s="136"/>
    </row>
    <row r="306" spans="1:61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  <c r="AA306" s="136"/>
      <c r="AB306" s="136"/>
      <c r="AC306" s="136"/>
      <c r="AD306" s="136"/>
      <c r="AE306" s="136"/>
      <c r="AF306" s="136"/>
      <c r="AG306" s="136"/>
      <c r="AH306" s="136"/>
      <c r="AI306" s="136"/>
      <c r="AJ306" s="136"/>
      <c r="AK306" s="136"/>
      <c r="AL306" s="136"/>
      <c r="AM306" s="136"/>
      <c r="AN306" s="136"/>
      <c r="AO306" s="136"/>
      <c r="AP306" s="136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136"/>
      <c r="BD306" s="136"/>
      <c r="BE306" s="136"/>
      <c r="BF306" s="136"/>
      <c r="BG306" s="136"/>
      <c r="BH306" s="136"/>
      <c r="BI306" s="136"/>
    </row>
    <row r="307" spans="1:61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  <c r="AA307" s="136"/>
      <c r="AB307" s="136"/>
      <c r="AC307" s="136"/>
      <c r="AD307" s="136"/>
      <c r="AE307" s="136"/>
      <c r="AF307" s="136"/>
      <c r="AG307" s="136"/>
      <c r="AH307" s="136"/>
      <c r="AI307" s="136"/>
      <c r="AJ307" s="136"/>
      <c r="AK307" s="136"/>
      <c r="AL307" s="136"/>
      <c r="AM307" s="136"/>
      <c r="AN307" s="136"/>
      <c r="AO307" s="136"/>
      <c r="AP307" s="136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136"/>
      <c r="BD307" s="136"/>
      <c r="BE307" s="136"/>
      <c r="BF307" s="136"/>
      <c r="BG307" s="136"/>
      <c r="BH307" s="136"/>
      <c r="BI307" s="136"/>
    </row>
    <row r="308" spans="1:61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  <c r="AA308" s="136"/>
      <c r="AB308" s="136"/>
      <c r="AC308" s="136"/>
      <c r="AD308" s="136"/>
      <c r="AE308" s="136"/>
      <c r="AF308" s="136"/>
      <c r="AG308" s="136"/>
      <c r="AH308" s="136"/>
      <c r="AI308" s="136"/>
      <c r="AJ308" s="136"/>
      <c r="AK308" s="136"/>
      <c r="AL308" s="136"/>
      <c r="AM308" s="136"/>
      <c r="AN308" s="136"/>
      <c r="AO308" s="136"/>
      <c r="AP308" s="136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136"/>
      <c r="BD308" s="136"/>
      <c r="BE308" s="136"/>
      <c r="BF308" s="136"/>
      <c r="BG308" s="136"/>
      <c r="BH308" s="136"/>
      <c r="BI308" s="136"/>
    </row>
    <row r="309" spans="1:61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  <c r="AA309" s="136"/>
      <c r="AB309" s="136"/>
      <c r="AC309" s="136"/>
      <c r="AD309" s="136"/>
      <c r="AE309" s="136"/>
      <c r="AF309" s="136"/>
      <c r="AG309" s="136"/>
      <c r="AH309" s="136"/>
      <c r="AI309" s="136"/>
      <c r="AJ309" s="136"/>
      <c r="AK309" s="136"/>
      <c r="AL309" s="136"/>
      <c r="AM309" s="136"/>
      <c r="AN309" s="136"/>
      <c r="AO309" s="136"/>
      <c r="AP309" s="136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136"/>
      <c r="BD309" s="136"/>
      <c r="BE309" s="136"/>
      <c r="BF309" s="136"/>
      <c r="BG309" s="136"/>
      <c r="BH309" s="136"/>
      <c r="BI309" s="136"/>
    </row>
    <row r="310" spans="1:61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  <c r="AA310" s="136"/>
      <c r="AB310" s="136"/>
      <c r="AC310" s="136"/>
      <c r="AD310" s="136"/>
      <c r="AE310" s="136"/>
      <c r="AF310" s="136"/>
      <c r="AG310" s="136"/>
      <c r="AH310" s="136"/>
      <c r="AI310" s="136"/>
      <c r="AJ310" s="136"/>
      <c r="AK310" s="136"/>
      <c r="AL310" s="136"/>
      <c r="AM310" s="136"/>
      <c r="AN310" s="136"/>
      <c r="AO310" s="136"/>
      <c r="AP310" s="136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136"/>
      <c r="BD310" s="136"/>
      <c r="BE310" s="136"/>
      <c r="BF310" s="136"/>
      <c r="BG310" s="136"/>
      <c r="BH310" s="136"/>
      <c r="BI310" s="136"/>
    </row>
    <row r="311" spans="1:6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  <c r="AA311" s="136"/>
      <c r="AB311" s="136"/>
      <c r="AC311" s="136"/>
      <c r="AD311" s="136"/>
      <c r="AE311" s="136"/>
      <c r="AF311" s="136"/>
      <c r="AG311" s="136"/>
      <c r="AH311" s="136"/>
      <c r="AI311" s="136"/>
      <c r="AJ311" s="136"/>
      <c r="AK311" s="136"/>
      <c r="AL311" s="136"/>
      <c r="AM311" s="136"/>
      <c r="AN311" s="136"/>
      <c r="AO311" s="136"/>
      <c r="AP311" s="136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136"/>
      <c r="BD311" s="136"/>
      <c r="BE311" s="136"/>
      <c r="BF311" s="136"/>
      <c r="BG311" s="136"/>
      <c r="BH311" s="136"/>
      <c r="BI311" s="136"/>
    </row>
    <row r="312" spans="1:61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  <c r="AA312" s="136"/>
      <c r="AB312" s="136"/>
      <c r="AC312" s="136"/>
      <c r="AD312" s="136"/>
      <c r="AE312" s="136"/>
      <c r="AF312" s="136"/>
      <c r="AG312" s="136"/>
      <c r="AH312" s="136"/>
      <c r="AI312" s="136"/>
      <c r="AJ312" s="136"/>
      <c r="AK312" s="136"/>
      <c r="AL312" s="136"/>
      <c r="AM312" s="136"/>
      <c r="AN312" s="136"/>
      <c r="AO312" s="136"/>
      <c r="AP312" s="136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136"/>
      <c r="BD312" s="136"/>
      <c r="BE312" s="136"/>
      <c r="BF312" s="136"/>
      <c r="BG312" s="136"/>
      <c r="BH312" s="136"/>
      <c r="BI312" s="136"/>
    </row>
    <row r="313" spans="1:61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  <c r="AA313" s="136"/>
      <c r="AB313" s="136"/>
      <c r="AC313" s="136"/>
      <c r="AD313" s="136"/>
      <c r="AE313" s="136"/>
      <c r="AF313" s="136"/>
      <c r="AG313" s="136"/>
      <c r="AH313" s="136"/>
      <c r="AI313" s="136"/>
      <c r="AJ313" s="136"/>
      <c r="AK313" s="136"/>
      <c r="AL313" s="136"/>
      <c r="AM313" s="136"/>
      <c r="AN313" s="136"/>
      <c r="AO313" s="136"/>
      <c r="AP313" s="136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136"/>
      <c r="BD313" s="136"/>
      <c r="BE313" s="136"/>
      <c r="BF313" s="136"/>
      <c r="BG313" s="136"/>
      <c r="BH313" s="136"/>
      <c r="BI313" s="136"/>
    </row>
    <row r="314" spans="1:61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  <c r="AA314" s="136"/>
      <c r="AB314" s="136"/>
      <c r="AC314" s="136"/>
      <c r="AD314" s="136"/>
      <c r="AE314" s="136"/>
      <c r="AF314" s="136"/>
      <c r="AG314" s="136"/>
      <c r="AH314" s="136"/>
      <c r="AI314" s="136"/>
      <c r="AJ314" s="136"/>
      <c r="AK314" s="136"/>
      <c r="AL314" s="136"/>
      <c r="AM314" s="136"/>
      <c r="AN314" s="136"/>
      <c r="AO314" s="136"/>
      <c r="AP314" s="136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136"/>
      <c r="BD314" s="136"/>
      <c r="BE314" s="136"/>
      <c r="BF314" s="136"/>
      <c r="BG314" s="136"/>
      <c r="BH314" s="136"/>
      <c r="BI314" s="136"/>
    </row>
    <row r="315" spans="1:61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  <c r="AA315" s="136"/>
      <c r="AB315" s="136"/>
      <c r="AC315" s="136"/>
      <c r="AD315" s="136"/>
      <c r="AE315" s="136"/>
      <c r="AF315" s="136"/>
      <c r="AG315" s="136"/>
      <c r="AH315" s="136"/>
      <c r="AI315" s="136"/>
      <c r="AJ315" s="136"/>
      <c r="AK315" s="136"/>
      <c r="AL315" s="136"/>
      <c r="AM315" s="136"/>
      <c r="AN315" s="136"/>
      <c r="AO315" s="136"/>
      <c r="AP315" s="136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136"/>
      <c r="BD315" s="136"/>
      <c r="BE315" s="136"/>
      <c r="BF315" s="136"/>
      <c r="BG315" s="136"/>
      <c r="BH315" s="136"/>
      <c r="BI315" s="136"/>
    </row>
    <row r="316" spans="1:61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  <c r="AA316" s="136"/>
      <c r="AB316" s="136"/>
      <c r="AC316" s="136"/>
      <c r="AD316" s="136"/>
      <c r="AE316" s="136"/>
      <c r="AF316" s="136"/>
      <c r="AG316" s="136"/>
      <c r="AH316" s="136"/>
      <c r="AI316" s="136"/>
      <c r="AJ316" s="136"/>
      <c r="AK316" s="136"/>
      <c r="AL316" s="136"/>
      <c r="AM316" s="136"/>
      <c r="AN316" s="136"/>
      <c r="AO316" s="136"/>
      <c r="AP316" s="136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136"/>
      <c r="BD316" s="136"/>
      <c r="BE316" s="136"/>
      <c r="BF316" s="136"/>
      <c r="BG316" s="136"/>
      <c r="BH316" s="136"/>
      <c r="BI316" s="136"/>
    </row>
    <row r="317" spans="1:61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  <c r="AA317" s="136"/>
      <c r="AB317" s="136"/>
      <c r="AC317" s="136"/>
      <c r="AD317" s="136"/>
      <c r="AE317" s="136"/>
      <c r="AF317" s="136"/>
      <c r="AG317" s="136"/>
      <c r="AH317" s="136"/>
      <c r="AI317" s="136"/>
      <c r="AJ317" s="136"/>
      <c r="AK317" s="136"/>
      <c r="AL317" s="136"/>
      <c r="AM317" s="136"/>
      <c r="AN317" s="136"/>
      <c r="AO317" s="136"/>
      <c r="AP317" s="136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136"/>
      <c r="BD317" s="136"/>
      <c r="BE317" s="136"/>
      <c r="BF317" s="136"/>
      <c r="BG317" s="136"/>
      <c r="BH317" s="136"/>
      <c r="BI317" s="136"/>
    </row>
    <row r="318" spans="1:61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  <c r="AA318" s="136"/>
      <c r="AB318" s="136"/>
      <c r="AC318" s="136"/>
      <c r="AD318" s="136"/>
      <c r="AE318" s="136"/>
      <c r="AF318" s="136"/>
      <c r="AG318" s="136"/>
      <c r="AH318" s="136"/>
      <c r="AI318" s="136"/>
      <c r="AJ318" s="136"/>
      <c r="AK318" s="136"/>
      <c r="AL318" s="136"/>
      <c r="AM318" s="136"/>
      <c r="AN318" s="136"/>
      <c r="AO318" s="136"/>
      <c r="AP318" s="136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136"/>
      <c r="BD318" s="136"/>
      <c r="BE318" s="136"/>
      <c r="BF318" s="136"/>
      <c r="BG318" s="136"/>
      <c r="BH318" s="136"/>
      <c r="BI318" s="136"/>
    </row>
    <row r="319" spans="1:61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  <c r="AA319" s="136"/>
      <c r="AB319" s="136"/>
      <c r="AC319" s="136"/>
      <c r="AD319" s="136"/>
      <c r="AE319" s="136"/>
      <c r="AF319" s="136"/>
      <c r="AG319" s="136"/>
      <c r="AH319" s="136"/>
      <c r="AI319" s="136"/>
      <c r="AJ319" s="136"/>
      <c r="AK319" s="136"/>
      <c r="AL319" s="136"/>
      <c r="AM319" s="136"/>
      <c r="AN319" s="136"/>
      <c r="AO319" s="136"/>
      <c r="AP319" s="136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136"/>
      <c r="BD319" s="136"/>
      <c r="BE319" s="136"/>
      <c r="BF319" s="136"/>
      <c r="BG319" s="136"/>
      <c r="BH319" s="136"/>
      <c r="BI319" s="136"/>
    </row>
    <row r="320" spans="1:61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  <c r="AA320" s="136"/>
      <c r="AB320" s="136"/>
      <c r="AC320" s="136"/>
      <c r="AD320" s="136"/>
      <c r="AE320" s="136"/>
      <c r="AF320" s="136"/>
      <c r="AG320" s="136"/>
      <c r="AH320" s="136"/>
      <c r="AI320" s="136"/>
      <c r="AJ320" s="136"/>
      <c r="AK320" s="136"/>
      <c r="AL320" s="136"/>
      <c r="AM320" s="136"/>
      <c r="AN320" s="136"/>
      <c r="AO320" s="136"/>
      <c r="AP320" s="136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136"/>
      <c r="BD320" s="136"/>
      <c r="BE320" s="136"/>
      <c r="BF320" s="136"/>
      <c r="BG320" s="136"/>
      <c r="BH320" s="136"/>
      <c r="BI320" s="136"/>
    </row>
    <row r="321" spans="1:61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  <c r="AA321" s="136"/>
      <c r="AB321" s="136"/>
      <c r="AC321" s="136"/>
      <c r="AD321" s="136"/>
      <c r="AE321" s="136"/>
      <c r="AF321" s="136"/>
      <c r="AG321" s="136"/>
      <c r="AH321" s="136"/>
      <c r="AI321" s="136"/>
      <c r="AJ321" s="136"/>
      <c r="AK321" s="136"/>
      <c r="AL321" s="136"/>
      <c r="AM321" s="136"/>
      <c r="AN321" s="136"/>
      <c r="AO321" s="136"/>
      <c r="AP321" s="136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136"/>
      <c r="BD321" s="136"/>
      <c r="BE321" s="136"/>
      <c r="BF321" s="136"/>
      <c r="BG321" s="136"/>
      <c r="BH321" s="136"/>
      <c r="BI321" s="136"/>
    </row>
    <row r="322" spans="1:61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  <c r="AA322" s="136"/>
      <c r="AB322" s="136"/>
      <c r="AC322" s="136"/>
      <c r="AD322" s="136"/>
      <c r="AE322" s="136"/>
      <c r="AF322" s="136"/>
      <c r="AG322" s="136"/>
      <c r="AH322" s="136"/>
      <c r="AI322" s="136"/>
      <c r="AJ322" s="136"/>
      <c r="AK322" s="136"/>
      <c r="AL322" s="136"/>
      <c r="AM322" s="136"/>
      <c r="AN322" s="136"/>
      <c r="AO322" s="136"/>
      <c r="AP322" s="136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136"/>
      <c r="BD322" s="136"/>
      <c r="BE322" s="136"/>
      <c r="BF322" s="136"/>
      <c r="BG322" s="136"/>
      <c r="BH322" s="136"/>
      <c r="BI322" s="136"/>
    </row>
    <row r="323" spans="1:61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136"/>
      <c r="BD323" s="136"/>
      <c r="BE323" s="136"/>
      <c r="BF323" s="136"/>
      <c r="BG323" s="136"/>
      <c r="BH323" s="136"/>
      <c r="BI323" s="136"/>
    </row>
    <row r="324" spans="1:61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  <c r="AA324" s="136"/>
      <c r="AB324" s="136"/>
      <c r="AC324" s="136"/>
      <c r="AD324" s="136"/>
      <c r="AE324" s="136"/>
      <c r="AF324" s="136"/>
      <c r="AG324" s="136"/>
      <c r="AH324" s="136"/>
      <c r="AI324" s="136"/>
      <c r="AJ324" s="136"/>
      <c r="AK324" s="136"/>
      <c r="AL324" s="136"/>
      <c r="AM324" s="136"/>
      <c r="AN324" s="136"/>
      <c r="AO324" s="136"/>
      <c r="AP324" s="136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136"/>
      <c r="BD324" s="136"/>
      <c r="BE324" s="136"/>
      <c r="BF324" s="136"/>
      <c r="BG324" s="136"/>
      <c r="BH324" s="136"/>
      <c r="BI324" s="136"/>
    </row>
    <row r="325" spans="1:61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6"/>
      <c r="AG325" s="136"/>
      <c r="AH325" s="136"/>
      <c r="AI325" s="136"/>
      <c r="AJ325" s="136"/>
      <c r="AK325" s="136"/>
      <c r="AL325" s="136"/>
      <c r="AM325" s="136"/>
      <c r="AN325" s="136"/>
      <c r="AO325" s="136"/>
      <c r="AP325" s="136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136"/>
      <c r="BD325" s="136"/>
      <c r="BE325" s="136"/>
      <c r="BF325" s="136"/>
      <c r="BG325" s="136"/>
      <c r="BH325" s="136"/>
      <c r="BI325" s="136"/>
    </row>
    <row r="326" spans="1:61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6"/>
      <c r="AG326" s="136"/>
      <c r="AH326" s="136"/>
      <c r="AI326" s="136"/>
      <c r="AJ326" s="136"/>
      <c r="AK326" s="136"/>
      <c r="AL326" s="136"/>
      <c r="AM326" s="136"/>
      <c r="AN326" s="136"/>
      <c r="AO326" s="136"/>
      <c r="AP326" s="136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136"/>
      <c r="BD326" s="136"/>
      <c r="BE326" s="136"/>
      <c r="BF326" s="136"/>
      <c r="BG326" s="136"/>
      <c r="BH326" s="136"/>
      <c r="BI326" s="136"/>
    </row>
    <row r="327" spans="1:61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6"/>
      <c r="AG327" s="136"/>
      <c r="AH327" s="136"/>
      <c r="AI327" s="136"/>
      <c r="AJ327" s="136"/>
      <c r="AK327" s="136"/>
      <c r="AL327" s="136"/>
      <c r="AM327" s="136"/>
      <c r="AN327" s="136"/>
      <c r="AO327" s="136"/>
      <c r="AP327" s="136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136"/>
      <c r="BD327" s="136"/>
      <c r="BE327" s="136"/>
      <c r="BF327" s="136"/>
      <c r="BG327" s="136"/>
      <c r="BH327" s="136"/>
      <c r="BI327" s="136"/>
    </row>
    <row r="328" spans="1:61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6"/>
      <c r="AG328" s="136"/>
      <c r="AH328" s="136"/>
      <c r="AI328" s="136"/>
      <c r="AJ328" s="136"/>
      <c r="AK328" s="136"/>
      <c r="AL328" s="136"/>
      <c r="AM328" s="136"/>
      <c r="AN328" s="136"/>
      <c r="AO328" s="136"/>
      <c r="AP328" s="136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136"/>
      <c r="BD328" s="136"/>
      <c r="BE328" s="136"/>
      <c r="BF328" s="136"/>
      <c r="BG328" s="136"/>
      <c r="BH328" s="136"/>
      <c r="BI328" s="136"/>
    </row>
    <row r="329" spans="1:61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6"/>
      <c r="AG329" s="136"/>
      <c r="AH329" s="136"/>
      <c r="AI329" s="136"/>
      <c r="AJ329" s="136"/>
      <c r="AK329" s="136"/>
      <c r="AL329" s="136"/>
      <c r="AM329" s="136"/>
      <c r="AN329" s="136"/>
      <c r="AO329" s="136"/>
      <c r="AP329" s="136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136"/>
      <c r="BD329" s="136"/>
      <c r="BE329" s="136"/>
      <c r="BF329" s="136"/>
      <c r="BG329" s="136"/>
      <c r="BH329" s="136"/>
      <c r="BI329" s="136"/>
    </row>
    <row r="330" spans="1:61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6"/>
      <c r="AG330" s="136"/>
      <c r="AH330" s="136"/>
      <c r="AI330" s="136"/>
      <c r="AJ330" s="136"/>
      <c r="AK330" s="136"/>
      <c r="AL330" s="136"/>
      <c r="AM330" s="136"/>
      <c r="AN330" s="136"/>
      <c r="AO330" s="136"/>
      <c r="AP330" s="136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136"/>
      <c r="BD330" s="136"/>
      <c r="BE330" s="136"/>
      <c r="BF330" s="136"/>
      <c r="BG330" s="136"/>
      <c r="BH330" s="136"/>
      <c r="BI330" s="136"/>
    </row>
    <row r="331" spans="1:61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6"/>
      <c r="AG331" s="136"/>
      <c r="AH331" s="136"/>
      <c r="AI331" s="136"/>
      <c r="AJ331" s="136"/>
      <c r="AK331" s="136"/>
      <c r="AL331" s="136"/>
      <c r="AM331" s="136"/>
      <c r="AN331" s="136"/>
      <c r="AO331" s="136"/>
      <c r="AP331" s="136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136"/>
      <c r="BD331" s="136"/>
      <c r="BE331" s="136"/>
      <c r="BF331" s="136"/>
      <c r="BG331" s="136"/>
      <c r="BH331" s="136"/>
      <c r="BI331" s="136"/>
    </row>
    <row r="332" spans="1:61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6"/>
      <c r="AG332" s="136"/>
      <c r="AH332" s="136"/>
      <c r="AI332" s="136"/>
      <c r="AJ332" s="136"/>
      <c r="AK332" s="136"/>
      <c r="AL332" s="136"/>
      <c r="AM332" s="136"/>
      <c r="AN332" s="136"/>
      <c r="AO332" s="136"/>
      <c r="AP332" s="136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136"/>
      <c r="BD332" s="136"/>
      <c r="BE332" s="136"/>
      <c r="BF332" s="136"/>
      <c r="BG332" s="136"/>
      <c r="BH332" s="136"/>
      <c r="BI332" s="136"/>
    </row>
    <row r="333" spans="1:61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6"/>
      <c r="AG333" s="136"/>
      <c r="AH333" s="136"/>
      <c r="AI333" s="136"/>
      <c r="AJ333" s="136"/>
      <c r="AK333" s="136"/>
      <c r="AL333" s="136"/>
      <c r="AM333" s="136"/>
      <c r="AN333" s="136"/>
      <c r="AO333" s="136"/>
      <c r="AP333" s="136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136"/>
      <c r="BD333" s="136"/>
      <c r="BE333" s="136"/>
      <c r="BF333" s="136"/>
      <c r="BG333" s="136"/>
      <c r="BH333" s="136"/>
      <c r="BI333" s="136"/>
    </row>
    <row r="334" spans="1:61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6"/>
      <c r="AD334" s="136"/>
      <c r="AE334" s="136"/>
      <c r="AF334" s="136"/>
      <c r="AG334" s="136"/>
      <c r="AH334" s="136"/>
      <c r="AI334" s="136"/>
      <c r="AJ334" s="136"/>
      <c r="AK334" s="136"/>
      <c r="AL334" s="136"/>
      <c r="AM334" s="136"/>
      <c r="AN334" s="136"/>
      <c r="AO334" s="136"/>
      <c r="AP334" s="136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136"/>
      <c r="BD334" s="136"/>
      <c r="BE334" s="136"/>
      <c r="BF334" s="136"/>
      <c r="BG334" s="136"/>
      <c r="BH334" s="136"/>
      <c r="BI334" s="136"/>
    </row>
    <row r="335" spans="1:61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  <c r="AA335" s="136"/>
      <c r="AB335" s="136"/>
      <c r="AC335" s="136"/>
      <c r="AD335" s="136"/>
      <c r="AE335" s="136"/>
      <c r="AF335" s="136"/>
      <c r="AG335" s="136"/>
      <c r="AH335" s="136"/>
      <c r="AI335" s="136"/>
      <c r="AJ335" s="136"/>
      <c r="AK335" s="136"/>
      <c r="AL335" s="136"/>
      <c r="AM335" s="136"/>
      <c r="AN335" s="136"/>
      <c r="AO335" s="136"/>
      <c r="AP335" s="136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136"/>
      <c r="BD335" s="136"/>
      <c r="BE335" s="136"/>
      <c r="BF335" s="136"/>
      <c r="BG335" s="136"/>
      <c r="BH335" s="136"/>
      <c r="BI335" s="136"/>
    </row>
    <row r="336" spans="1:61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  <c r="AA336" s="136"/>
      <c r="AB336" s="136"/>
      <c r="AC336" s="136"/>
      <c r="AD336" s="136"/>
      <c r="AE336" s="136"/>
      <c r="AF336" s="136"/>
      <c r="AG336" s="136"/>
      <c r="AH336" s="136"/>
      <c r="AI336" s="136"/>
      <c r="AJ336" s="136"/>
      <c r="AK336" s="136"/>
      <c r="AL336" s="136"/>
      <c r="AM336" s="136"/>
      <c r="AN336" s="136"/>
      <c r="AO336" s="136"/>
      <c r="AP336" s="136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136"/>
      <c r="BD336" s="136"/>
      <c r="BE336" s="136"/>
      <c r="BF336" s="136"/>
      <c r="BG336" s="136"/>
      <c r="BH336" s="136"/>
      <c r="BI336" s="136"/>
    </row>
    <row r="337" spans="1:61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  <c r="AA337" s="136"/>
      <c r="AB337" s="136"/>
      <c r="AC337" s="136"/>
      <c r="AD337" s="136"/>
      <c r="AE337" s="136"/>
      <c r="AF337" s="136"/>
      <c r="AG337" s="136"/>
      <c r="AH337" s="136"/>
      <c r="AI337" s="136"/>
      <c r="AJ337" s="136"/>
      <c r="AK337" s="136"/>
      <c r="AL337" s="136"/>
      <c r="AM337" s="136"/>
      <c r="AN337" s="136"/>
      <c r="AO337" s="136"/>
      <c r="AP337" s="136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136"/>
      <c r="BD337" s="136"/>
      <c r="BE337" s="136"/>
      <c r="BF337" s="136"/>
      <c r="BG337" s="136"/>
      <c r="BH337" s="136"/>
      <c r="BI337" s="136"/>
    </row>
    <row r="338" spans="1:61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  <c r="AA338" s="136"/>
      <c r="AB338" s="136"/>
      <c r="AC338" s="136"/>
      <c r="AD338" s="136"/>
      <c r="AE338" s="136"/>
      <c r="AF338" s="136"/>
      <c r="AG338" s="136"/>
      <c r="AH338" s="136"/>
      <c r="AI338" s="136"/>
      <c r="AJ338" s="136"/>
      <c r="AK338" s="136"/>
      <c r="AL338" s="136"/>
      <c r="AM338" s="136"/>
      <c r="AN338" s="136"/>
      <c r="AO338" s="136"/>
      <c r="AP338" s="136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136"/>
      <c r="BD338" s="136"/>
      <c r="BE338" s="136"/>
      <c r="BF338" s="136"/>
      <c r="BG338" s="136"/>
      <c r="BH338" s="136"/>
      <c r="BI338" s="136"/>
    </row>
    <row r="339" spans="1:61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  <c r="AA339" s="136"/>
      <c r="AB339" s="136"/>
      <c r="AC339" s="136"/>
      <c r="AD339" s="136"/>
      <c r="AE339" s="136"/>
      <c r="AF339" s="136"/>
      <c r="AG339" s="136"/>
      <c r="AH339" s="136"/>
      <c r="AI339" s="136"/>
      <c r="AJ339" s="136"/>
      <c r="AK339" s="136"/>
      <c r="AL339" s="136"/>
      <c r="AM339" s="136"/>
      <c r="AN339" s="136"/>
      <c r="AO339" s="136"/>
      <c r="AP339" s="136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136"/>
      <c r="BD339" s="136"/>
      <c r="BE339" s="136"/>
      <c r="BF339" s="136"/>
      <c r="BG339" s="136"/>
      <c r="BH339" s="136"/>
      <c r="BI339" s="136"/>
    </row>
    <row r="340" spans="1:61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  <c r="AA340" s="136"/>
      <c r="AB340" s="136"/>
      <c r="AC340" s="136"/>
      <c r="AD340" s="136"/>
      <c r="AE340" s="136"/>
      <c r="AF340" s="136"/>
      <c r="AG340" s="136"/>
      <c r="AH340" s="136"/>
      <c r="AI340" s="136"/>
      <c r="AJ340" s="136"/>
      <c r="AK340" s="136"/>
      <c r="AL340" s="136"/>
      <c r="AM340" s="136"/>
      <c r="AN340" s="136"/>
      <c r="AO340" s="136"/>
      <c r="AP340" s="136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136"/>
      <c r="BD340" s="136"/>
      <c r="BE340" s="136"/>
      <c r="BF340" s="136"/>
      <c r="BG340" s="136"/>
      <c r="BH340" s="136"/>
      <c r="BI340" s="136"/>
    </row>
    <row r="341" spans="1:61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  <c r="AA341" s="136"/>
      <c r="AB341" s="136"/>
      <c r="AC341" s="136"/>
      <c r="AD341" s="136"/>
      <c r="AE341" s="136"/>
      <c r="AF341" s="136"/>
      <c r="AG341" s="136"/>
      <c r="AH341" s="136"/>
      <c r="AI341" s="136"/>
      <c r="AJ341" s="136"/>
      <c r="AK341" s="136"/>
      <c r="AL341" s="136"/>
      <c r="AM341" s="136"/>
      <c r="AN341" s="136"/>
      <c r="AO341" s="136"/>
      <c r="AP341" s="136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136"/>
      <c r="BD341" s="136"/>
      <c r="BE341" s="136"/>
      <c r="BF341" s="136"/>
      <c r="BG341" s="136"/>
      <c r="BH341" s="136"/>
      <c r="BI341" s="136"/>
    </row>
    <row r="342" spans="1:61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  <c r="AA342" s="136"/>
      <c r="AB342" s="136"/>
      <c r="AC342" s="136"/>
      <c r="AD342" s="136"/>
      <c r="AE342" s="136"/>
      <c r="AF342" s="136"/>
      <c r="AG342" s="136"/>
      <c r="AH342" s="136"/>
      <c r="AI342" s="136"/>
      <c r="AJ342" s="136"/>
      <c r="AK342" s="136"/>
      <c r="AL342" s="136"/>
      <c r="AM342" s="136"/>
      <c r="AN342" s="136"/>
      <c r="AO342" s="136"/>
      <c r="AP342" s="136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136"/>
      <c r="BD342" s="136"/>
      <c r="BE342" s="136"/>
      <c r="BF342" s="136"/>
      <c r="BG342" s="136"/>
      <c r="BH342" s="136"/>
      <c r="BI342" s="136"/>
    </row>
    <row r="343" spans="1:61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  <c r="AA343" s="136"/>
      <c r="AB343" s="136"/>
      <c r="AC343" s="136"/>
      <c r="AD343" s="136"/>
      <c r="AE343" s="136"/>
      <c r="AF343" s="136"/>
      <c r="AG343" s="136"/>
      <c r="AH343" s="136"/>
      <c r="AI343" s="136"/>
      <c r="AJ343" s="136"/>
      <c r="AK343" s="136"/>
      <c r="AL343" s="136"/>
      <c r="AM343" s="136"/>
      <c r="AN343" s="136"/>
      <c r="AO343" s="136"/>
      <c r="AP343" s="136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136"/>
      <c r="BD343" s="136"/>
      <c r="BE343" s="136"/>
      <c r="BF343" s="136"/>
      <c r="BG343" s="136"/>
      <c r="BH343" s="136"/>
      <c r="BI343" s="136"/>
    </row>
    <row r="344" spans="1:61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  <c r="AA344" s="136"/>
      <c r="AB344" s="136"/>
      <c r="AC344" s="136"/>
      <c r="AD344" s="136"/>
      <c r="AE344" s="136"/>
      <c r="AF344" s="136"/>
      <c r="AG344" s="136"/>
      <c r="AH344" s="136"/>
      <c r="AI344" s="136"/>
      <c r="AJ344" s="136"/>
      <c r="AK344" s="136"/>
      <c r="AL344" s="136"/>
      <c r="AM344" s="136"/>
      <c r="AN344" s="136"/>
      <c r="AO344" s="136"/>
      <c r="AP344" s="136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136"/>
      <c r="BD344" s="136"/>
      <c r="BE344" s="136"/>
      <c r="BF344" s="136"/>
      <c r="BG344" s="136"/>
      <c r="BH344" s="136"/>
      <c r="BI344" s="136"/>
    </row>
    <row r="345" spans="1:61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  <c r="AA345" s="136"/>
      <c r="AB345" s="136"/>
      <c r="AC345" s="136"/>
      <c r="AD345" s="136"/>
      <c r="AE345" s="136"/>
      <c r="AF345" s="136"/>
      <c r="AG345" s="136"/>
      <c r="AH345" s="136"/>
      <c r="AI345" s="136"/>
      <c r="AJ345" s="136"/>
      <c r="AK345" s="136"/>
      <c r="AL345" s="136"/>
      <c r="AM345" s="136"/>
      <c r="AN345" s="136"/>
      <c r="AO345" s="136"/>
      <c r="AP345" s="136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136"/>
      <c r="BD345" s="136"/>
      <c r="BE345" s="136"/>
      <c r="BF345" s="136"/>
      <c r="BG345" s="136"/>
      <c r="BH345" s="136"/>
      <c r="BI345" s="136"/>
    </row>
    <row r="346" spans="1:61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  <c r="AA346" s="136"/>
      <c r="AB346" s="136"/>
      <c r="AC346" s="136"/>
      <c r="AD346" s="136"/>
      <c r="AE346" s="136"/>
      <c r="AF346" s="136"/>
      <c r="AG346" s="136"/>
      <c r="AH346" s="136"/>
      <c r="AI346" s="136"/>
      <c r="AJ346" s="136"/>
      <c r="AK346" s="136"/>
      <c r="AL346" s="136"/>
      <c r="AM346" s="136"/>
      <c r="AN346" s="136"/>
      <c r="AO346" s="136"/>
      <c r="AP346" s="136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136"/>
      <c r="BD346" s="136"/>
      <c r="BE346" s="136"/>
      <c r="BF346" s="136"/>
      <c r="BG346" s="136"/>
      <c r="BH346" s="136"/>
      <c r="BI346" s="136"/>
    </row>
    <row r="347" spans="1:61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  <c r="AA347" s="136"/>
      <c r="AB347" s="136"/>
      <c r="AC347" s="136"/>
      <c r="AD347" s="136"/>
      <c r="AE347" s="136"/>
      <c r="AF347" s="136"/>
      <c r="AG347" s="136"/>
      <c r="AH347" s="136"/>
      <c r="AI347" s="136"/>
      <c r="AJ347" s="136"/>
      <c r="AK347" s="136"/>
      <c r="AL347" s="136"/>
      <c r="AM347" s="136"/>
      <c r="AN347" s="136"/>
      <c r="AO347" s="136"/>
      <c r="AP347" s="136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136"/>
      <c r="BD347" s="136"/>
      <c r="BE347" s="136"/>
      <c r="BF347" s="136"/>
      <c r="BG347" s="136"/>
      <c r="BH347" s="136"/>
      <c r="BI347" s="136"/>
    </row>
    <row r="348" spans="1:61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  <c r="AA348" s="136"/>
      <c r="AB348" s="136"/>
      <c r="AC348" s="136"/>
      <c r="AD348" s="136"/>
      <c r="AE348" s="136"/>
      <c r="AF348" s="136"/>
      <c r="AG348" s="136"/>
      <c r="AH348" s="136"/>
      <c r="AI348" s="136"/>
      <c r="AJ348" s="136"/>
      <c r="AK348" s="136"/>
      <c r="AL348" s="136"/>
      <c r="AM348" s="136"/>
      <c r="AN348" s="136"/>
      <c r="AO348" s="136"/>
      <c r="AP348" s="136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136"/>
      <c r="BD348" s="136"/>
      <c r="BE348" s="136"/>
      <c r="BF348" s="136"/>
      <c r="BG348" s="136"/>
      <c r="BH348" s="136"/>
      <c r="BI348" s="136"/>
    </row>
    <row r="349" spans="1:61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  <c r="AA349" s="136"/>
      <c r="AB349" s="136"/>
      <c r="AC349" s="136"/>
      <c r="AD349" s="136"/>
      <c r="AE349" s="136"/>
      <c r="AF349" s="136"/>
      <c r="AG349" s="136"/>
      <c r="AH349" s="136"/>
      <c r="AI349" s="136"/>
      <c r="AJ349" s="136"/>
      <c r="AK349" s="136"/>
      <c r="AL349" s="136"/>
      <c r="AM349" s="136"/>
      <c r="AN349" s="136"/>
      <c r="AO349" s="136"/>
      <c r="AP349" s="136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136"/>
      <c r="BD349" s="136"/>
      <c r="BE349" s="136"/>
      <c r="BF349" s="136"/>
      <c r="BG349" s="136"/>
      <c r="BH349" s="136"/>
      <c r="BI349" s="136"/>
    </row>
    <row r="350" spans="1:61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  <c r="AA350" s="136"/>
      <c r="AB350" s="136"/>
      <c r="AC350" s="136"/>
      <c r="AD350" s="136"/>
      <c r="AE350" s="136"/>
      <c r="AF350" s="136"/>
      <c r="AG350" s="136"/>
      <c r="AH350" s="136"/>
      <c r="AI350" s="136"/>
      <c r="AJ350" s="136"/>
      <c r="AK350" s="136"/>
      <c r="AL350" s="136"/>
      <c r="AM350" s="136"/>
      <c r="AN350" s="136"/>
      <c r="AO350" s="136"/>
      <c r="AP350" s="136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136"/>
      <c r="BD350" s="136"/>
      <c r="BE350" s="136"/>
      <c r="BF350" s="136"/>
      <c r="BG350" s="136"/>
      <c r="BH350" s="136"/>
      <c r="BI350" s="136"/>
    </row>
    <row r="351" spans="1:61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  <c r="AA351" s="136"/>
      <c r="AB351" s="136"/>
      <c r="AC351" s="136"/>
      <c r="AD351" s="136"/>
      <c r="AE351" s="136"/>
      <c r="AF351" s="136"/>
      <c r="AG351" s="136"/>
      <c r="AH351" s="136"/>
      <c r="AI351" s="136"/>
      <c r="AJ351" s="136"/>
      <c r="AK351" s="136"/>
      <c r="AL351" s="136"/>
      <c r="AM351" s="136"/>
      <c r="AN351" s="136"/>
      <c r="AO351" s="136"/>
      <c r="AP351" s="136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136"/>
      <c r="BD351" s="136"/>
      <c r="BE351" s="136"/>
      <c r="BF351" s="136"/>
      <c r="BG351" s="136"/>
      <c r="BH351" s="136"/>
      <c r="BI351" s="136"/>
    </row>
    <row r="352" spans="1:61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  <c r="AA352" s="136"/>
      <c r="AB352" s="136"/>
      <c r="AC352" s="136"/>
      <c r="AD352" s="136"/>
      <c r="AE352" s="136"/>
      <c r="AF352" s="136"/>
      <c r="AG352" s="136"/>
      <c r="AH352" s="136"/>
      <c r="AI352" s="136"/>
      <c r="AJ352" s="136"/>
      <c r="AK352" s="136"/>
      <c r="AL352" s="136"/>
      <c r="AM352" s="136"/>
      <c r="AN352" s="136"/>
      <c r="AO352" s="136"/>
      <c r="AP352" s="136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136"/>
      <c r="BD352" s="136"/>
      <c r="BE352" s="136"/>
      <c r="BF352" s="136"/>
      <c r="BG352" s="136"/>
      <c r="BH352" s="136"/>
      <c r="BI352" s="136"/>
    </row>
    <row r="353" spans="1:61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  <c r="AA353" s="136"/>
      <c r="AB353" s="136"/>
      <c r="AC353" s="136"/>
      <c r="AD353" s="136"/>
      <c r="AE353" s="136"/>
      <c r="AF353" s="136"/>
      <c r="AG353" s="136"/>
      <c r="AH353" s="136"/>
      <c r="AI353" s="136"/>
      <c r="AJ353" s="136"/>
      <c r="AK353" s="136"/>
      <c r="AL353" s="136"/>
      <c r="AM353" s="136"/>
      <c r="AN353" s="136"/>
      <c r="AO353" s="136"/>
      <c r="AP353" s="136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136"/>
      <c r="BD353" s="136"/>
      <c r="BE353" s="136"/>
      <c r="BF353" s="136"/>
      <c r="BG353" s="136"/>
      <c r="BH353" s="136"/>
      <c r="BI353" s="136"/>
    </row>
    <row r="354" spans="1:61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  <c r="AA354" s="136"/>
      <c r="AB354" s="136"/>
      <c r="AC354" s="136"/>
      <c r="AD354" s="136"/>
      <c r="AE354" s="136"/>
      <c r="AF354" s="136"/>
      <c r="AG354" s="136"/>
      <c r="AH354" s="136"/>
      <c r="AI354" s="136"/>
      <c r="AJ354" s="136"/>
      <c r="AK354" s="136"/>
      <c r="AL354" s="136"/>
      <c r="AM354" s="136"/>
      <c r="AN354" s="136"/>
      <c r="AO354" s="136"/>
      <c r="AP354" s="136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136"/>
      <c r="BD354" s="136"/>
      <c r="BE354" s="136"/>
      <c r="BF354" s="136"/>
      <c r="BG354" s="136"/>
      <c r="BH354" s="136"/>
      <c r="BI354" s="136"/>
    </row>
    <row r="355" spans="1:61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  <c r="AA355" s="136"/>
      <c r="AB355" s="136"/>
      <c r="AC355" s="136"/>
      <c r="AD355" s="136"/>
      <c r="AE355" s="136"/>
      <c r="AF355" s="136"/>
      <c r="AG355" s="136"/>
      <c r="AH355" s="136"/>
      <c r="AI355" s="136"/>
      <c r="AJ355" s="136"/>
      <c r="AK355" s="136"/>
      <c r="AL355" s="136"/>
      <c r="AM355" s="136"/>
      <c r="AN355" s="136"/>
      <c r="AO355" s="136"/>
      <c r="AP355" s="136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136"/>
      <c r="BD355" s="136"/>
      <c r="BE355" s="136"/>
      <c r="BF355" s="136"/>
      <c r="BG355" s="136"/>
      <c r="BH355" s="136"/>
      <c r="BI355" s="136"/>
    </row>
    <row r="356" spans="1:61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  <c r="AA356" s="136"/>
      <c r="AB356" s="136"/>
      <c r="AC356" s="136"/>
      <c r="AD356" s="136"/>
      <c r="AE356" s="136"/>
      <c r="AF356" s="136"/>
      <c r="AG356" s="136"/>
      <c r="AH356" s="136"/>
      <c r="AI356" s="136"/>
      <c r="AJ356" s="136"/>
      <c r="AK356" s="136"/>
      <c r="AL356" s="136"/>
      <c r="AM356" s="136"/>
      <c r="AN356" s="136"/>
      <c r="AO356" s="136"/>
      <c r="AP356" s="136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136"/>
      <c r="BD356" s="136"/>
      <c r="BE356" s="136"/>
      <c r="BF356" s="136"/>
      <c r="BG356" s="136"/>
      <c r="BH356" s="136"/>
      <c r="BI356" s="136"/>
    </row>
    <row r="357" spans="1:61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  <c r="AA357" s="136"/>
      <c r="AB357" s="136"/>
      <c r="AC357" s="136"/>
      <c r="AD357" s="136"/>
      <c r="AE357" s="136"/>
      <c r="AF357" s="136"/>
      <c r="AG357" s="136"/>
      <c r="AH357" s="136"/>
      <c r="AI357" s="136"/>
      <c r="AJ357" s="136"/>
      <c r="AK357" s="136"/>
      <c r="AL357" s="136"/>
      <c r="AM357" s="136"/>
      <c r="AN357" s="136"/>
      <c r="AO357" s="136"/>
      <c r="AP357" s="136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136"/>
      <c r="BD357" s="136"/>
      <c r="BE357" s="136"/>
      <c r="BF357" s="136"/>
      <c r="BG357" s="136"/>
      <c r="BH357" s="136"/>
      <c r="BI357" s="136"/>
    </row>
    <row r="358" spans="1:61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  <c r="AA358" s="136"/>
      <c r="AB358" s="136"/>
      <c r="AC358" s="136"/>
      <c r="AD358" s="136"/>
      <c r="AE358" s="136"/>
      <c r="AF358" s="136"/>
      <c r="AG358" s="136"/>
      <c r="AH358" s="136"/>
      <c r="AI358" s="136"/>
      <c r="AJ358" s="136"/>
      <c r="AK358" s="136"/>
      <c r="AL358" s="136"/>
      <c r="AM358" s="136"/>
      <c r="AN358" s="136"/>
      <c r="AO358" s="136"/>
      <c r="AP358" s="136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136"/>
      <c r="BD358" s="136"/>
      <c r="BE358" s="136"/>
      <c r="BF358" s="136"/>
      <c r="BG358" s="136"/>
      <c r="BH358" s="136"/>
      <c r="BI358" s="136"/>
    </row>
    <row r="359" spans="1:61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136"/>
      <c r="BD359" s="136"/>
      <c r="BE359" s="136"/>
      <c r="BF359" s="136"/>
      <c r="BG359" s="136"/>
      <c r="BH359" s="136"/>
      <c r="BI359" s="136"/>
    </row>
    <row r="360" spans="1:61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  <c r="AA360" s="136"/>
      <c r="AB360" s="136"/>
      <c r="AC360" s="136"/>
      <c r="AD360" s="136"/>
      <c r="AE360" s="136"/>
      <c r="AF360" s="136"/>
      <c r="AG360" s="136"/>
      <c r="AH360" s="136"/>
      <c r="AI360" s="136"/>
      <c r="AJ360" s="136"/>
      <c r="AK360" s="136"/>
      <c r="AL360" s="136"/>
      <c r="AM360" s="136"/>
      <c r="AN360" s="136"/>
      <c r="AO360" s="136"/>
      <c r="AP360" s="136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136"/>
      <c r="BD360" s="136"/>
      <c r="BE360" s="136"/>
      <c r="BF360" s="136"/>
      <c r="BG360" s="136"/>
      <c r="BH360" s="136"/>
      <c r="BI360" s="136"/>
    </row>
    <row r="361" spans="1:61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  <c r="AA361" s="136"/>
      <c r="AB361" s="136"/>
      <c r="AC361" s="136"/>
      <c r="AD361" s="136"/>
      <c r="AE361" s="136"/>
      <c r="AF361" s="136"/>
      <c r="AG361" s="136"/>
      <c r="AH361" s="136"/>
      <c r="AI361" s="136"/>
      <c r="AJ361" s="136"/>
      <c r="AK361" s="136"/>
      <c r="AL361" s="136"/>
      <c r="AM361" s="136"/>
      <c r="AN361" s="136"/>
      <c r="AO361" s="136"/>
      <c r="AP361" s="136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136"/>
      <c r="BD361" s="136"/>
      <c r="BE361" s="136"/>
      <c r="BF361" s="136"/>
      <c r="BG361" s="136"/>
      <c r="BH361" s="136"/>
      <c r="BI361" s="136"/>
    </row>
    <row r="362" spans="1:61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  <c r="AA362" s="136"/>
      <c r="AB362" s="136"/>
      <c r="AC362" s="136"/>
      <c r="AD362" s="136"/>
      <c r="AE362" s="136"/>
      <c r="AF362" s="136"/>
      <c r="AG362" s="136"/>
      <c r="AH362" s="136"/>
      <c r="AI362" s="136"/>
      <c r="AJ362" s="136"/>
      <c r="AK362" s="136"/>
      <c r="AL362" s="136"/>
      <c r="AM362" s="136"/>
      <c r="AN362" s="136"/>
      <c r="AO362" s="136"/>
      <c r="AP362" s="136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136"/>
      <c r="BD362" s="136"/>
      <c r="BE362" s="136"/>
      <c r="BF362" s="136"/>
      <c r="BG362" s="136"/>
      <c r="BH362" s="136"/>
      <c r="BI362" s="136"/>
    </row>
    <row r="363" spans="1:61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136"/>
      <c r="BD363" s="136"/>
      <c r="BE363" s="136"/>
      <c r="BF363" s="136"/>
      <c r="BG363" s="136"/>
      <c r="BH363" s="136"/>
      <c r="BI363" s="136"/>
    </row>
    <row r="364" spans="1:61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  <c r="AA364" s="136"/>
      <c r="AB364" s="136"/>
      <c r="AC364" s="136"/>
      <c r="AD364" s="136"/>
      <c r="AE364" s="136"/>
      <c r="AF364" s="136"/>
      <c r="AG364" s="136"/>
      <c r="AH364" s="136"/>
      <c r="AI364" s="136"/>
      <c r="AJ364" s="136"/>
      <c r="AK364" s="136"/>
      <c r="AL364" s="136"/>
      <c r="AM364" s="136"/>
      <c r="AN364" s="136"/>
      <c r="AO364" s="136"/>
      <c r="AP364" s="136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136"/>
      <c r="BD364" s="136"/>
      <c r="BE364" s="136"/>
      <c r="BF364" s="136"/>
      <c r="BG364" s="136"/>
      <c r="BH364" s="136"/>
      <c r="BI364" s="136"/>
    </row>
    <row r="365" spans="1:61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136"/>
      <c r="BD365" s="136"/>
      <c r="BE365" s="136"/>
      <c r="BF365" s="136"/>
      <c r="BG365" s="136"/>
      <c r="BH365" s="136"/>
      <c r="BI365" s="136"/>
    </row>
    <row r="366" spans="1:61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  <c r="AA366" s="136"/>
      <c r="AB366" s="136"/>
      <c r="AC366" s="136"/>
      <c r="AD366" s="136"/>
      <c r="AE366" s="136"/>
      <c r="AF366" s="136"/>
      <c r="AG366" s="136"/>
      <c r="AH366" s="136"/>
      <c r="AI366" s="136"/>
      <c r="AJ366" s="136"/>
      <c r="AK366" s="136"/>
      <c r="AL366" s="136"/>
      <c r="AM366" s="136"/>
      <c r="AN366" s="136"/>
      <c r="AO366" s="136"/>
      <c r="AP366" s="136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136"/>
      <c r="BD366" s="136"/>
      <c r="BE366" s="136"/>
      <c r="BF366" s="136"/>
      <c r="BG366" s="136"/>
      <c r="BH366" s="136"/>
      <c r="BI366" s="136"/>
    </row>
    <row r="367" spans="1:61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  <c r="AA367" s="136"/>
      <c r="AB367" s="136"/>
      <c r="AC367" s="136"/>
      <c r="AD367" s="136"/>
      <c r="AE367" s="136"/>
      <c r="AF367" s="136"/>
      <c r="AG367" s="136"/>
      <c r="AH367" s="136"/>
      <c r="AI367" s="136"/>
      <c r="AJ367" s="136"/>
      <c r="AK367" s="136"/>
      <c r="AL367" s="136"/>
      <c r="AM367" s="136"/>
      <c r="AN367" s="136"/>
      <c r="AO367" s="136"/>
      <c r="AP367" s="136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136"/>
      <c r="BD367" s="136"/>
      <c r="BE367" s="136"/>
      <c r="BF367" s="136"/>
      <c r="BG367" s="136"/>
      <c r="BH367" s="136"/>
      <c r="BI367" s="136"/>
    </row>
    <row r="368" spans="1:61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  <c r="AA368" s="136"/>
      <c r="AB368" s="136"/>
      <c r="AC368" s="136"/>
      <c r="AD368" s="136"/>
      <c r="AE368" s="136"/>
      <c r="AF368" s="136"/>
      <c r="AG368" s="136"/>
      <c r="AH368" s="136"/>
      <c r="AI368" s="136"/>
      <c r="AJ368" s="136"/>
      <c r="AK368" s="136"/>
      <c r="AL368" s="136"/>
      <c r="AM368" s="136"/>
      <c r="AN368" s="136"/>
      <c r="AO368" s="136"/>
      <c r="AP368" s="136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136"/>
      <c r="BD368" s="136"/>
      <c r="BE368" s="136"/>
      <c r="BF368" s="136"/>
      <c r="BG368" s="136"/>
      <c r="BH368" s="136"/>
      <c r="BI368" s="136"/>
    </row>
    <row r="369" spans="1:61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  <c r="AA369" s="136"/>
      <c r="AB369" s="136"/>
      <c r="AC369" s="136"/>
      <c r="AD369" s="136"/>
      <c r="AE369" s="136"/>
      <c r="AF369" s="136"/>
      <c r="AG369" s="136"/>
      <c r="AH369" s="136"/>
      <c r="AI369" s="136"/>
      <c r="AJ369" s="136"/>
      <c r="AK369" s="136"/>
      <c r="AL369" s="136"/>
      <c r="AM369" s="136"/>
      <c r="AN369" s="136"/>
      <c r="AO369" s="136"/>
      <c r="AP369" s="136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136"/>
      <c r="BD369" s="136"/>
      <c r="BE369" s="136"/>
      <c r="BF369" s="136"/>
      <c r="BG369" s="136"/>
      <c r="BH369" s="136"/>
      <c r="BI369" s="136"/>
    </row>
    <row r="370" spans="1:61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  <c r="AA370" s="136"/>
      <c r="AB370" s="136"/>
      <c r="AC370" s="136"/>
      <c r="AD370" s="136"/>
      <c r="AE370" s="136"/>
      <c r="AF370" s="136"/>
      <c r="AG370" s="136"/>
      <c r="AH370" s="136"/>
      <c r="AI370" s="136"/>
      <c r="AJ370" s="136"/>
      <c r="AK370" s="136"/>
      <c r="AL370" s="136"/>
      <c r="AM370" s="136"/>
      <c r="AN370" s="136"/>
      <c r="AO370" s="136"/>
      <c r="AP370" s="136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136"/>
      <c r="BD370" s="136"/>
      <c r="BE370" s="136"/>
      <c r="BF370" s="136"/>
      <c r="BG370" s="136"/>
      <c r="BH370" s="136"/>
      <c r="BI370" s="136"/>
    </row>
    <row r="371" spans="1:61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  <c r="AA371" s="136"/>
      <c r="AB371" s="136"/>
      <c r="AC371" s="136"/>
      <c r="AD371" s="136"/>
      <c r="AE371" s="136"/>
      <c r="AF371" s="136"/>
      <c r="AG371" s="136"/>
      <c r="AH371" s="136"/>
      <c r="AI371" s="136"/>
      <c r="AJ371" s="136"/>
      <c r="AK371" s="136"/>
      <c r="AL371" s="136"/>
      <c r="AM371" s="136"/>
      <c r="AN371" s="136"/>
      <c r="AO371" s="136"/>
      <c r="AP371" s="136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136"/>
      <c r="BD371" s="136"/>
      <c r="BE371" s="136"/>
      <c r="BF371" s="136"/>
      <c r="BG371" s="136"/>
      <c r="BH371" s="136"/>
      <c r="BI371" s="136"/>
    </row>
    <row r="372" spans="1:61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  <c r="AA372" s="136"/>
      <c r="AB372" s="136"/>
      <c r="AC372" s="136"/>
      <c r="AD372" s="136"/>
      <c r="AE372" s="136"/>
      <c r="AF372" s="136"/>
      <c r="AG372" s="136"/>
      <c r="AH372" s="136"/>
      <c r="AI372" s="136"/>
      <c r="AJ372" s="136"/>
      <c r="AK372" s="136"/>
      <c r="AL372" s="136"/>
      <c r="AM372" s="136"/>
      <c r="AN372" s="136"/>
      <c r="AO372" s="136"/>
      <c r="AP372" s="136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136"/>
      <c r="BD372" s="136"/>
      <c r="BE372" s="136"/>
      <c r="BF372" s="136"/>
      <c r="BG372" s="136"/>
      <c r="BH372" s="136"/>
      <c r="BI372" s="136"/>
    </row>
    <row r="373" spans="1:61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  <c r="AA373" s="136"/>
      <c r="AB373" s="136"/>
      <c r="AC373" s="136"/>
      <c r="AD373" s="136"/>
      <c r="AE373" s="136"/>
      <c r="AF373" s="136"/>
      <c r="AG373" s="136"/>
      <c r="AH373" s="136"/>
      <c r="AI373" s="136"/>
      <c r="AJ373" s="136"/>
      <c r="AK373" s="136"/>
      <c r="AL373" s="136"/>
      <c r="AM373" s="136"/>
      <c r="AN373" s="136"/>
      <c r="AO373" s="136"/>
      <c r="AP373" s="136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136"/>
      <c r="BD373" s="136"/>
      <c r="BE373" s="136"/>
      <c r="BF373" s="136"/>
      <c r="BG373" s="136"/>
      <c r="BH373" s="136"/>
      <c r="BI373" s="136"/>
    </row>
    <row r="374" spans="1:61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  <c r="AA374" s="136"/>
      <c r="AB374" s="136"/>
      <c r="AC374" s="136"/>
      <c r="AD374" s="136"/>
      <c r="AE374" s="136"/>
      <c r="AF374" s="136"/>
      <c r="AG374" s="136"/>
      <c r="AH374" s="136"/>
      <c r="AI374" s="136"/>
      <c r="AJ374" s="136"/>
      <c r="AK374" s="136"/>
      <c r="AL374" s="136"/>
      <c r="AM374" s="136"/>
      <c r="AN374" s="136"/>
      <c r="AO374" s="136"/>
      <c r="AP374" s="136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136"/>
      <c r="BD374" s="136"/>
      <c r="BE374" s="136"/>
      <c r="BF374" s="136"/>
      <c r="BG374" s="136"/>
      <c r="BH374" s="136"/>
      <c r="BI374" s="136"/>
    </row>
    <row r="375" spans="1:61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  <c r="AA375" s="136"/>
      <c r="AB375" s="136"/>
      <c r="AC375" s="136"/>
      <c r="AD375" s="136"/>
      <c r="AE375" s="136"/>
      <c r="AF375" s="136"/>
      <c r="AG375" s="136"/>
      <c r="AH375" s="136"/>
      <c r="AI375" s="136"/>
      <c r="AJ375" s="136"/>
      <c r="AK375" s="136"/>
      <c r="AL375" s="136"/>
      <c r="AM375" s="136"/>
      <c r="AN375" s="136"/>
      <c r="AO375" s="136"/>
      <c r="AP375" s="136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136"/>
      <c r="BD375" s="136"/>
      <c r="BE375" s="136"/>
      <c r="BF375" s="136"/>
      <c r="BG375" s="136"/>
      <c r="BH375" s="136"/>
      <c r="BI375" s="136"/>
    </row>
    <row r="376" spans="1:61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  <c r="AA376" s="136"/>
      <c r="AB376" s="136"/>
      <c r="AC376" s="136"/>
      <c r="AD376" s="136"/>
      <c r="AE376" s="136"/>
      <c r="AF376" s="136"/>
      <c r="AG376" s="136"/>
      <c r="AH376" s="136"/>
      <c r="AI376" s="136"/>
      <c r="AJ376" s="136"/>
      <c r="AK376" s="136"/>
      <c r="AL376" s="136"/>
      <c r="AM376" s="136"/>
      <c r="AN376" s="136"/>
      <c r="AO376" s="136"/>
      <c r="AP376" s="136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136"/>
      <c r="BD376" s="136"/>
      <c r="BE376" s="136"/>
      <c r="BF376" s="136"/>
      <c r="BG376" s="136"/>
      <c r="BH376" s="136"/>
      <c r="BI376" s="136"/>
    </row>
    <row r="377" spans="1:61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  <c r="AA377" s="136"/>
      <c r="AB377" s="136"/>
      <c r="AC377" s="136"/>
      <c r="AD377" s="136"/>
      <c r="AE377" s="136"/>
      <c r="AF377" s="136"/>
      <c r="AG377" s="136"/>
      <c r="AH377" s="136"/>
      <c r="AI377" s="136"/>
      <c r="AJ377" s="136"/>
      <c r="AK377" s="136"/>
      <c r="AL377" s="136"/>
      <c r="AM377" s="136"/>
      <c r="AN377" s="136"/>
      <c r="AO377" s="136"/>
      <c r="AP377" s="136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136"/>
      <c r="BD377" s="136"/>
      <c r="BE377" s="136"/>
      <c r="BF377" s="136"/>
      <c r="BG377" s="136"/>
      <c r="BH377" s="136"/>
      <c r="BI377" s="136"/>
    </row>
    <row r="378" spans="1:61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  <c r="AA378" s="136"/>
      <c r="AB378" s="136"/>
      <c r="AC378" s="136"/>
      <c r="AD378" s="136"/>
      <c r="AE378" s="136"/>
      <c r="AF378" s="136"/>
      <c r="AG378" s="136"/>
      <c r="AH378" s="136"/>
      <c r="AI378" s="136"/>
      <c r="AJ378" s="136"/>
      <c r="AK378" s="136"/>
      <c r="AL378" s="136"/>
      <c r="AM378" s="136"/>
      <c r="AN378" s="136"/>
      <c r="AO378" s="136"/>
      <c r="AP378" s="136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136"/>
      <c r="BD378" s="136"/>
      <c r="BE378" s="136"/>
      <c r="BF378" s="136"/>
      <c r="BG378" s="136"/>
      <c r="BH378" s="136"/>
      <c r="BI378" s="136"/>
    </row>
    <row r="379" spans="1:61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  <c r="AA379" s="136"/>
      <c r="AB379" s="136"/>
      <c r="AC379" s="136"/>
      <c r="AD379" s="136"/>
      <c r="AE379" s="136"/>
      <c r="AF379" s="136"/>
      <c r="AG379" s="136"/>
      <c r="AH379" s="136"/>
      <c r="AI379" s="136"/>
      <c r="AJ379" s="136"/>
      <c r="AK379" s="136"/>
      <c r="AL379" s="136"/>
      <c r="AM379" s="136"/>
      <c r="AN379" s="136"/>
      <c r="AO379" s="136"/>
      <c r="AP379" s="136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136"/>
      <c r="BD379" s="136"/>
      <c r="BE379" s="136"/>
      <c r="BF379" s="136"/>
      <c r="BG379" s="136"/>
      <c r="BH379" s="136"/>
      <c r="BI379" s="136"/>
    </row>
    <row r="380" spans="1:61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  <c r="AA380" s="136"/>
      <c r="AB380" s="136"/>
      <c r="AC380" s="136"/>
      <c r="AD380" s="136"/>
      <c r="AE380" s="136"/>
      <c r="AF380" s="136"/>
      <c r="AG380" s="136"/>
      <c r="AH380" s="136"/>
      <c r="AI380" s="136"/>
      <c r="AJ380" s="136"/>
      <c r="AK380" s="136"/>
      <c r="AL380" s="136"/>
      <c r="AM380" s="136"/>
      <c r="AN380" s="136"/>
      <c r="AO380" s="136"/>
      <c r="AP380" s="136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136"/>
      <c r="BD380" s="136"/>
      <c r="BE380" s="136"/>
      <c r="BF380" s="136"/>
      <c r="BG380" s="136"/>
      <c r="BH380" s="136"/>
      <c r="BI380" s="136"/>
    </row>
    <row r="381" spans="1:61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  <c r="AA381" s="136"/>
      <c r="AB381" s="136"/>
      <c r="AC381" s="136"/>
      <c r="AD381" s="136"/>
      <c r="AE381" s="136"/>
      <c r="AF381" s="136"/>
      <c r="AG381" s="136"/>
      <c r="AH381" s="136"/>
      <c r="AI381" s="136"/>
      <c r="AJ381" s="136"/>
      <c r="AK381" s="136"/>
      <c r="AL381" s="136"/>
      <c r="AM381" s="136"/>
      <c r="AN381" s="136"/>
      <c r="AO381" s="136"/>
      <c r="AP381" s="136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136"/>
      <c r="BD381" s="136"/>
      <c r="BE381" s="136"/>
      <c r="BF381" s="136"/>
      <c r="BG381" s="136"/>
      <c r="BH381" s="136"/>
      <c r="BI381" s="136"/>
    </row>
    <row r="382" spans="1:61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  <c r="AA382" s="136"/>
      <c r="AB382" s="136"/>
      <c r="AC382" s="136"/>
      <c r="AD382" s="136"/>
      <c r="AE382" s="136"/>
      <c r="AF382" s="136"/>
      <c r="AG382" s="136"/>
      <c r="AH382" s="136"/>
      <c r="AI382" s="136"/>
      <c r="AJ382" s="136"/>
      <c r="AK382" s="136"/>
      <c r="AL382" s="136"/>
      <c r="AM382" s="136"/>
      <c r="AN382" s="136"/>
      <c r="AO382" s="136"/>
      <c r="AP382" s="136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136"/>
      <c r="BD382" s="136"/>
      <c r="BE382" s="136"/>
      <c r="BF382" s="136"/>
      <c r="BG382" s="136"/>
      <c r="BH382" s="136"/>
      <c r="BI382" s="136"/>
    </row>
    <row r="383" spans="1:61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  <c r="AA383" s="136"/>
      <c r="AB383" s="136"/>
      <c r="AC383" s="136"/>
      <c r="AD383" s="136"/>
      <c r="AE383" s="136"/>
      <c r="AF383" s="136"/>
      <c r="AG383" s="136"/>
      <c r="AH383" s="136"/>
      <c r="AI383" s="136"/>
      <c r="AJ383" s="136"/>
      <c r="AK383" s="136"/>
      <c r="AL383" s="136"/>
      <c r="AM383" s="136"/>
      <c r="AN383" s="136"/>
      <c r="AO383" s="136"/>
      <c r="AP383" s="136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136"/>
      <c r="BD383" s="136"/>
      <c r="BE383" s="136"/>
      <c r="BF383" s="136"/>
      <c r="BG383" s="136"/>
      <c r="BH383" s="136"/>
      <c r="BI383" s="136"/>
    </row>
    <row r="384" spans="1:61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  <c r="AA384" s="136"/>
      <c r="AB384" s="136"/>
      <c r="AC384" s="136"/>
      <c r="AD384" s="136"/>
      <c r="AE384" s="136"/>
      <c r="AF384" s="136"/>
      <c r="AG384" s="136"/>
      <c r="AH384" s="136"/>
      <c r="AI384" s="136"/>
      <c r="AJ384" s="136"/>
      <c r="AK384" s="136"/>
      <c r="AL384" s="136"/>
      <c r="AM384" s="136"/>
      <c r="AN384" s="136"/>
      <c r="AO384" s="136"/>
      <c r="AP384" s="136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136"/>
      <c r="BD384" s="136"/>
      <c r="BE384" s="136"/>
      <c r="BF384" s="136"/>
      <c r="BG384" s="136"/>
      <c r="BH384" s="136"/>
      <c r="BI384" s="136"/>
    </row>
    <row r="385" spans="1:61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  <c r="AA385" s="136"/>
      <c r="AB385" s="136"/>
      <c r="AC385" s="136"/>
      <c r="AD385" s="136"/>
      <c r="AE385" s="136"/>
      <c r="AF385" s="136"/>
      <c r="AG385" s="136"/>
      <c r="AH385" s="136"/>
      <c r="AI385" s="136"/>
      <c r="AJ385" s="136"/>
      <c r="AK385" s="136"/>
      <c r="AL385" s="136"/>
      <c r="AM385" s="136"/>
      <c r="AN385" s="136"/>
      <c r="AO385" s="136"/>
      <c r="AP385" s="136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136"/>
      <c r="BD385" s="136"/>
      <c r="BE385" s="136"/>
      <c r="BF385" s="136"/>
      <c r="BG385" s="136"/>
      <c r="BH385" s="136"/>
      <c r="BI385" s="136"/>
    </row>
    <row r="386" spans="1:61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  <c r="AA386" s="136"/>
      <c r="AB386" s="136"/>
      <c r="AC386" s="136"/>
      <c r="AD386" s="136"/>
      <c r="AE386" s="136"/>
      <c r="AF386" s="136"/>
      <c r="AG386" s="136"/>
      <c r="AH386" s="136"/>
      <c r="AI386" s="136"/>
      <c r="AJ386" s="136"/>
      <c r="AK386" s="136"/>
      <c r="AL386" s="136"/>
      <c r="AM386" s="136"/>
      <c r="AN386" s="136"/>
      <c r="AO386" s="136"/>
      <c r="AP386" s="136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136"/>
      <c r="BD386" s="136"/>
      <c r="BE386" s="136"/>
      <c r="BF386" s="136"/>
      <c r="BG386" s="136"/>
      <c r="BH386" s="136"/>
      <c r="BI386" s="136"/>
    </row>
    <row r="387" spans="1:61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  <c r="AA387" s="136"/>
      <c r="AB387" s="136"/>
      <c r="AC387" s="136"/>
      <c r="AD387" s="136"/>
      <c r="AE387" s="136"/>
      <c r="AF387" s="136"/>
      <c r="AG387" s="136"/>
      <c r="AH387" s="136"/>
      <c r="AI387" s="136"/>
      <c r="AJ387" s="136"/>
      <c r="AK387" s="136"/>
      <c r="AL387" s="136"/>
      <c r="AM387" s="136"/>
      <c r="AN387" s="136"/>
      <c r="AO387" s="136"/>
      <c r="AP387" s="136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136"/>
      <c r="BD387" s="136"/>
      <c r="BE387" s="136"/>
      <c r="BF387" s="136"/>
      <c r="BG387" s="136"/>
      <c r="BH387" s="136"/>
      <c r="BI387" s="136"/>
    </row>
    <row r="388" spans="1:61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  <c r="AA388" s="136"/>
      <c r="AB388" s="136"/>
      <c r="AC388" s="136"/>
      <c r="AD388" s="136"/>
      <c r="AE388" s="136"/>
      <c r="AF388" s="136"/>
      <c r="AG388" s="136"/>
      <c r="AH388" s="136"/>
      <c r="AI388" s="136"/>
      <c r="AJ388" s="136"/>
      <c r="AK388" s="136"/>
      <c r="AL388" s="136"/>
      <c r="AM388" s="136"/>
      <c r="AN388" s="136"/>
      <c r="AO388" s="136"/>
      <c r="AP388" s="136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136"/>
      <c r="BD388" s="136"/>
      <c r="BE388" s="136"/>
      <c r="BF388" s="136"/>
      <c r="BG388" s="136"/>
      <c r="BH388" s="136"/>
      <c r="BI388" s="136"/>
    </row>
    <row r="389" spans="1:61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  <c r="AA389" s="136"/>
      <c r="AB389" s="136"/>
      <c r="AC389" s="136"/>
      <c r="AD389" s="136"/>
      <c r="AE389" s="136"/>
      <c r="AF389" s="136"/>
      <c r="AG389" s="136"/>
      <c r="AH389" s="136"/>
      <c r="AI389" s="136"/>
      <c r="AJ389" s="136"/>
      <c r="AK389" s="136"/>
      <c r="AL389" s="136"/>
      <c r="AM389" s="136"/>
      <c r="AN389" s="136"/>
      <c r="AO389" s="136"/>
      <c r="AP389" s="136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136"/>
      <c r="BD389" s="136"/>
      <c r="BE389" s="136"/>
      <c r="BF389" s="136"/>
      <c r="BG389" s="136"/>
      <c r="BH389" s="136"/>
      <c r="BI389" s="136"/>
    </row>
    <row r="390" spans="1:61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  <c r="AA390" s="136"/>
      <c r="AB390" s="136"/>
      <c r="AC390" s="136"/>
      <c r="AD390" s="136"/>
      <c r="AE390" s="136"/>
      <c r="AF390" s="136"/>
      <c r="AG390" s="136"/>
      <c r="AH390" s="136"/>
      <c r="AI390" s="136"/>
      <c r="AJ390" s="136"/>
      <c r="AK390" s="136"/>
      <c r="AL390" s="136"/>
      <c r="AM390" s="136"/>
      <c r="AN390" s="136"/>
      <c r="AO390" s="136"/>
      <c r="AP390" s="136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136"/>
      <c r="BD390" s="136"/>
      <c r="BE390" s="136"/>
      <c r="BF390" s="136"/>
      <c r="BG390" s="136"/>
      <c r="BH390" s="136"/>
      <c r="BI390" s="136"/>
    </row>
    <row r="391" spans="1:61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  <c r="AA391" s="136"/>
      <c r="AB391" s="136"/>
      <c r="AC391" s="136"/>
      <c r="AD391" s="136"/>
      <c r="AE391" s="136"/>
      <c r="AF391" s="136"/>
      <c r="AG391" s="136"/>
      <c r="AH391" s="136"/>
      <c r="AI391" s="136"/>
      <c r="AJ391" s="136"/>
      <c r="AK391" s="136"/>
      <c r="AL391" s="136"/>
      <c r="AM391" s="136"/>
      <c r="AN391" s="136"/>
      <c r="AO391" s="136"/>
      <c r="AP391" s="136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136"/>
      <c r="BD391" s="136"/>
      <c r="BE391" s="136"/>
      <c r="BF391" s="136"/>
      <c r="BG391" s="136"/>
      <c r="BH391" s="136"/>
      <c r="BI391" s="136"/>
    </row>
    <row r="392" spans="1:61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  <c r="AA392" s="136"/>
      <c r="AB392" s="136"/>
      <c r="AC392" s="136"/>
      <c r="AD392" s="136"/>
      <c r="AE392" s="136"/>
      <c r="AF392" s="136"/>
      <c r="AG392" s="136"/>
      <c r="AH392" s="136"/>
      <c r="AI392" s="136"/>
      <c r="AJ392" s="136"/>
      <c r="AK392" s="136"/>
      <c r="AL392" s="136"/>
      <c r="AM392" s="136"/>
      <c r="AN392" s="136"/>
      <c r="AO392" s="136"/>
      <c r="AP392" s="136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136"/>
      <c r="BD392" s="136"/>
      <c r="BE392" s="136"/>
      <c r="BF392" s="136"/>
      <c r="BG392" s="136"/>
      <c r="BH392" s="136"/>
      <c r="BI392" s="136"/>
    </row>
    <row r="393" spans="1:61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  <c r="AA393" s="136"/>
      <c r="AB393" s="136"/>
      <c r="AC393" s="136"/>
      <c r="AD393" s="136"/>
      <c r="AE393" s="136"/>
      <c r="AF393" s="136"/>
      <c r="AG393" s="136"/>
      <c r="AH393" s="136"/>
      <c r="AI393" s="136"/>
      <c r="AJ393" s="136"/>
      <c r="AK393" s="136"/>
      <c r="AL393" s="136"/>
      <c r="AM393" s="136"/>
      <c r="AN393" s="136"/>
      <c r="AO393" s="136"/>
      <c r="AP393" s="136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136"/>
      <c r="BD393" s="136"/>
      <c r="BE393" s="136"/>
      <c r="BF393" s="136"/>
      <c r="BG393" s="136"/>
      <c r="BH393" s="136"/>
      <c r="BI393" s="136"/>
    </row>
    <row r="394" spans="1:61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  <c r="AA394" s="136"/>
      <c r="AB394" s="136"/>
      <c r="AC394" s="136"/>
      <c r="AD394" s="136"/>
      <c r="AE394" s="136"/>
      <c r="AF394" s="136"/>
      <c r="AG394" s="136"/>
      <c r="AH394" s="136"/>
      <c r="AI394" s="136"/>
      <c r="AJ394" s="136"/>
      <c r="AK394" s="136"/>
      <c r="AL394" s="136"/>
      <c r="AM394" s="136"/>
      <c r="AN394" s="136"/>
      <c r="AO394" s="136"/>
      <c r="AP394" s="136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136"/>
      <c r="BD394" s="136"/>
      <c r="BE394" s="136"/>
      <c r="BF394" s="136"/>
      <c r="BG394" s="136"/>
      <c r="BH394" s="136"/>
      <c r="BI394" s="136"/>
    </row>
    <row r="395" spans="1:61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  <c r="AA395" s="136"/>
      <c r="AB395" s="136"/>
      <c r="AC395" s="136"/>
      <c r="AD395" s="136"/>
      <c r="AE395" s="136"/>
      <c r="AF395" s="136"/>
      <c r="AG395" s="136"/>
      <c r="AH395" s="136"/>
      <c r="AI395" s="136"/>
      <c r="AJ395" s="136"/>
      <c r="AK395" s="136"/>
      <c r="AL395" s="136"/>
      <c r="AM395" s="136"/>
      <c r="AN395" s="136"/>
      <c r="AO395" s="136"/>
      <c r="AP395" s="136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136"/>
      <c r="BD395" s="136"/>
      <c r="BE395" s="136"/>
      <c r="BF395" s="136"/>
      <c r="BG395" s="136"/>
      <c r="BH395" s="136"/>
      <c r="BI395" s="136"/>
    </row>
    <row r="396" spans="1:61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  <c r="AA396" s="136"/>
      <c r="AB396" s="136"/>
      <c r="AC396" s="136"/>
      <c r="AD396" s="136"/>
      <c r="AE396" s="136"/>
      <c r="AF396" s="136"/>
      <c r="AG396" s="136"/>
      <c r="AH396" s="136"/>
      <c r="AI396" s="136"/>
      <c r="AJ396" s="136"/>
      <c r="AK396" s="136"/>
      <c r="AL396" s="136"/>
      <c r="AM396" s="136"/>
      <c r="AN396" s="136"/>
      <c r="AO396" s="136"/>
      <c r="AP396" s="136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136"/>
      <c r="BD396" s="136"/>
      <c r="BE396" s="136"/>
      <c r="BF396" s="136"/>
      <c r="BG396" s="136"/>
      <c r="BH396" s="136"/>
      <c r="BI396" s="136"/>
    </row>
    <row r="397" spans="1:61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  <c r="AA397" s="136"/>
      <c r="AB397" s="136"/>
      <c r="AC397" s="136"/>
      <c r="AD397" s="136"/>
      <c r="AE397" s="136"/>
      <c r="AF397" s="136"/>
      <c r="AG397" s="136"/>
      <c r="AH397" s="136"/>
      <c r="AI397" s="136"/>
      <c r="AJ397" s="136"/>
      <c r="AK397" s="136"/>
      <c r="AL397" s="136"/>
      <c r="AM397" s="136"/>
      <c r="AN397" s="136"/>
      <c r="AO397" s="136"/>
      <c r="AP397" s="136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136"/>
      <c r="BD397" s="136"/>
      <c r="BE397" s="136"/>
      <c r="BF397" s="136"/>
      <c r="BG397" s="136"/>
      <c r="BH397" s="136"/>
      <c r="BI397" s="136"/>
    </row>
    <row r="398" spans="1:61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  <c r="AA398" s="136"/>
      <c r="AB398" s="136"/>
      <c r="AC398" s="136"/>
      <c r="AD398" s="136"/>
      <c r="AE398" s="136"/>
      <c r="AF398" s="136"/>
      <c r="AG398" s="136"/>
      <c r="AH398" s="136"/>
      <c r="AI398" s="136"/>
      <c r="AJ398" s="136"/>
      <c r="AK398" s="136"/>
      <c r="AL398" s="136"/>
      <c r="AM398" s="136"/>
      <c r="AN398" s="136"/>
      <c r="AO398" s="136"/>
      <c r="AP398" s="136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136"/>
      <c r="BD398" s="136"/>
      <c r="BE398" s="136"/>
      <c r="BF398" s="136"/>
      <c r="BG398" s="136"/>
      <c r="BH398" s="136"/>
      <c r="BI398" s="136"/>
    </row>
    <row r="399" spans="1:61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  <c r="AA399" s="136"/>
      <c r="AB399" s="136"/>
      <c r="AC399" s="136"/>
      <c r="AD399" s="136"/>
      <c r="AE399" s="136"/>
      <c r="AF399" s="136"/>
      <c r="AG399" s="136"/>
      <c r="AH399" s="136"/>
      <c r="AI399" s="136"/>
      <c r="AJ399" s="136"/>
      <c r="AK399" s="136"/>
      <c r="AL399" s="136"/>
      <c r="AM399" s="136"/>
      <c r="AN399" s="136"/>
      <c r="AO399" s="136"/>
      <c r="AP399" s="136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136"/>
      <c r="BD399" s="136"/>
      <c r="BE399" s="136"/>
      <c r="BF399" s="136"/>
      <c r="BG399" s="136"/>
      <c r="BH399" s="136"/>
      <c r="BI399" s="136"/>
    </row>
    <row r="400" spans="1:61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  <c r="AA400" s="136"/>
      <c r="AB400" s="136"/>
      <c r="AC400" s="136"/>
      <c r="AD400" s="136"/>
      <c r="AE400" s="136"/>
      <c r="AF400" s="136"/>
      <c r="AG400" s="136"/>
      <c r="AH400" s="136"/>
      <c r="AI400" s="136"/>
      <c r="AJ400" s="136"/>
      <c r="AK400" s="136"/>
      <c r="AL400" s="136"/>
      <c r="AM400" s="136"/>
      <c r="AN400" s="136"/>
      <c r="AO400" s="136"/>
      <c r="AP400" s="136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136"/>
      <c r="BD400" s="136"/>
      <c r="BE400" s="136"/>
      <c r="BF400" s="136"/>
      <c r="BG400" s="136"/>
      <c r="BH400" s="136"/>
      <c r="BI400" s="136"/>
    </row>
    <row r="401" spans="1:61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  <c r="AA401" s="136"/>
      <c r="AB401" s="136"/>
      <c r="AC401" s="136"/>
      <c r="AD401" s="136"/>
      <c r="AE401" s="136"/>
      <c r="AF401" s="136"/>
      <c r="AG401" s="136"/>
      <c r="AH401" s="136"/>
      <c r="AI401" s="136"/>
      <c r="AJ401" s="136"/>
      <c r="AK401" s="136"/>
      <c r="AL401" s="136"/>
      <c r="AM401" s="136"/>
      <c r="AN401" s="136"/>
      <c r="AO401" s="136"/>
      <c r="AP401" s="136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136"/>
      <c r="BD401" s="136"/>
      <c r="BE401" s="136"/>
      <c r="BF401" s="136"/>
      <c r="BG401" s="136"/>
      <c r="BH401" s="136"/>
      <c r="BI401" s="136"/>
    </row>
    <row r="402" spans="1:61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  <c r="AA402" s="136"/>
      <c r="AB402" s="136"/>
      <c r="AC402" s="136"/>
      <c r="AD402" s="136"/>
      <c r="AE402" s="136"/>
      <c r="AF402" s="136"/>
      <c r="AG402" s="136"/>
      <c r="AH402" s="136"/>
      <c r="AI402" s="136"/>
      <c r="AJ402" s="136"/>
      <c r="AK402" s="136"/>
      <c r="AL402" s="136"/>
      <c r="AM402" s="136"/>
      <c r="AN402" s="136"/>
      <c r="AO402" s="136"/>
      <c r="AP402" s="136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136"/>
      <c r="BD402" s="136"/>
      <c r="BE402" s="136"/>
      <c r="BF402" s="136"/>
      <c r="BG402" s="136"/>
      <c r="BH402" s="136"/>
      <c r="BI402" s="136"/>
    </row>
    <row r="403" spans="1:61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  <c r="AA403" s="136"/>
      <c r="AB403" s="136"/>
      <c r="AC403" s="136"/>
      <c r="AD403" s="136"/>
      <c r="AE403" s="136"/>
      <c r="AF403" s="136"/>
      <c r="AG403" s="136"/>
      <c r="AH403" s="136"/>
      <c r="AI403" s="136"/>
      <c r="AJ403" s="136"/>
      <c r="AK403" s="136"/>
      <c r="AL403" s="136"/>
      <c r="AM403" s="136"/>
      <c r="AN403" s="136"/>
      <c r="AO403" s="136"/>
      <c r="AP403" s="136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136"/>
      <c r="BD403" s="136"/>
      <c r="BE403" s="136"/>
      <c r="BF403" s="136"/>
      <c r="BG403" s="136"/>
      <c r="BH403" s="136"/>
      <c r="BI403" s="136"/>
    </row>
    <row r="404" spans="1:61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  <c r="AA404" s="136"/>
      <c r="AB404" s="136"/>
      <c r="AC404" s="136"/>
      <c r="AD404" s="136"/>
      <c r="AE404" s="136"/>
      <c r="AF404" s="136"/>
      <c r="AG404" s="136"/>
      <c r="AH404" s="136"/>
      <c r="AI404" s="136"/>
      <c r="AJ404" s="136"/>
      <c r="AK404" s="136"/>
      <c r="AL404" s="136"/>
      <c r="AM404" s="136"/>
      <c r="AN404" s="136"/>
      <c r="AO404" s="136"/>
      <c r="AP404" s="136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136"/>
      <c r="BD404" s="136"/>
      <c r="BE404" s="136"/>
      <c r="BF404" s="136"/>
      <c r="BG404" s="136"/>
      <c r="BH404" s="136"/>
      <c r="BI404" s="136"/>
    </row>
    <row r="405" spans="1:61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  <c r="AA405" s="136"/>
      <c r="AB405" s="136"/>
      <c r="AC405" s="136"/>
      <c r="AD405" s="136"/>
      <c r="AE405" s="136"/>
      <c r="AF405" s="136"/>
      <c r="AG405" s="136"/>
      <c r="AH405" s="136"/>
      <c r="AI405" s="136"/>
      <c r="AJ405" s="136"/>
      <c r="AK405" s="136"/>
      <c r="AL405" s="136"/>
      <c r="AM405" s="136"/>
      <c r="AN405" s="136"/>
      <c r="AO405" s="136"/>
      <c r="AP405" s="136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136"/>
      <c r="BD405" s="136"/>
      <c r="BE405" s="136"/>
      <c r="BF405" s="136"/>
      <c r="BG405" s="136"/>
      <c r="BH405" s="136"/>
      <c r="BI405" s="136"/>
    </row>
    <row r="406" spans="1:61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136"/>
      <c r="BD406" s="136"/>
      <c r="BE406" s="136"/>
      <c r="BF406" s="136"/>
      <c r="BG406" s="136"/>
      <c r="BH406" s="136"/>
      <c r="BI406" s="136"/>
    </row>
    <row r="407" spans="1:61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136"/>
      <c r="BD407" s="136"/>
      <c r="BE407" s="136"/>
      <c r="BF407" s="136"/>
      <c r="BG407" s="136"/>
      <c r="BH407" s="136"/>
      <c r="BI407" s="136"/>
    </row>
    <row r="408" spans="1:61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  <c r="AA408" s="136"/>
      <c r="AB408" s="136"/>
      <c r="AC408" s="136"/>
      <c r="AD408" s="136"/>
      <c r="AE408" s="136"/>
      <c r="AF408" s="136"/>
      <c r="AG408" s="136"/>
      <c r="AH408" s="136"/>
      <c r="AI408" s="136"/>
      <c r="AJ408" s="136"/>
      <c r="AK408" s="136"/>
      <c r="AL408" s="136"/>
      <c r="AM408" s="136"/>
      <c r="AN408" s="136"/>
      <c r="AO408" s="136"/>
      <c r="AP408" s="136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136"/>
      <c r="BD408" s="136"/>
      <c r="BE408" s="136"/>
      <c r="BF408" s="136"/>
      <c r="BG408" s="136"/>
      <c r="BH408" s="136"/>
      <c r="BI408" s="136"/>
    </row>
    <row r="409" spans="1:61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  <c r="AA409" s="136"/>
      <c r="AB409" s="136"/>
      <c r="AC409" s="136"/>
      <c r="AD409" s="136"/>
      <c r="AE409" s="136"/>
      <c r="AF409" s="136"/>
      <c r="AG409" s="136"/>
      <c r="AH409" s="136"/>
      <c r="AI409" s="136"/>
      <c r="AJ409" s="136"/>
      <c r="AK409" s="136"/>
      <c r="AL409" s="136"/>
      <c r="AM409" s="136"/>
      <c r="AN409" s="136"/>
      <c r="AO409" s="136"/>
      <c r="AP409" s="136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136"/>
      <c r="BD409" s="136"/>
      <c r="BE409" s="136"/>
      <c r="BF409" s="136"/>
      <c r="BG409" s="136"/>
      <c r="BH409" s="136"/>
      <c r="BI409" s="136"/>
    </row>
    <row r="410" spans="1:61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  <c r="AA410" s="136"/>
      <c r="AB410" s="136"/>
      <c r="AC410" s="136"/>
      <c r="AD410" s="136"/>
      <c r="AE410" s="136"/>
      <c r="AF410" s="136"/>
      <c r="AG410" s="136"/>
      <c r="AH410" s="136"/>
      <c r="AI410" s="136"/>
      <c r="AJ410" s="136"/>
      <c r="AK410" s="136"/>
      <c r="AL410" s="136"/>
      <c r="AM410" s="136"/>
      <c r="AN410" s="136"/>
      <c r="AO410" s="136"/>
      <c r="AP410" s="136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136"/>
      <c r="BD410" s="136"/>
      <c r="BE410" s="136"/>
      <c r="BF410" s="136"/>
      <c r="BG410" s="136"/>
      <c r="BH410" s="136"/>
      <c r="BI410" s="136"/>
    </row>
    <row r="411" spans="1:61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  <c r="AA411" s="136"/>
      <c r="AB411" s="136"/>
      <c r="AC411" s="136"/>
      <c r="AD411" s="136"/>
      <c r="AE411" s="136"/>
      <c r="AF411" s="136"/>
      <c r="AG411" s="136"/>
      <c r="AH411" s="136"/>
      <c r="AI411" s="136"/>
      <c r="AJ411" s="136"/>
      <c r="AK411" s="136"/>
      <c r="AL411" s="136"/>
      <c r="AM411" s="136"/>
      <c r="AN411" s="136"/>
      <c r="AO411" s="136"/>
      <c r="AP411" s="136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136"/>
      <c r="BD411" s="136"/>
      <c r="BE411" s="136"/>
      <c r="BF411" s="136"/>
      <c r="BG411" s="136"/>
      <c r="BH411" s="136"/>
      <c r="BI411" s="136"/>
    </row>
    <row r="412" spans="1:61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  <c r="AA412" s="136"/>
      <c r="AB412" s="136"/>
      <c r="AC412" s="136"/>
      <c r="AD412" s="136"/>
      <c r="AE412" s="136"/>
      <c r="AF412" s="136"/>
      <c r="AG412" s="136"/>
      <c r="AH412" s="136"/>
      <c r="AI412" s="136"/>
      <c r="AJ412" s="136"/>
      <c r="AK412" s="136"/>
      <c r="AL412" s="136"/>
      <c r="AM412" s="136"/>
      <c r="AN412" s="136"/>
      <c r="AO412" s="136"/>
      <c r="AP412" s="136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136"/>
      <c r="BD412" s="136"/>
      <c r="BE412" s="136"/>
      <c r="BF412" s="136"/>
      <c r="BG412" s="136"/>
      <c r="BH412" s="136"/>
      <c r="BI412" s="136"/>
    </row>
    <row r="413" spans="1:61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  <c r="AA413" s="136"/>
      <c r="AB413" s="136"/>
      <c r="AC413" s="136"/>
      <c r="AD413" s="136"/>
      <c r="AE413" s="136"/>
      <c r="AF413" s="136"/>
      <c r="AG413" s="136"/>
      <c r="AH413" s="136"/>
      <c r="AI413" s="136"/>
      <c r="AJ413" s="136"/>
      <c r="AK413" s="136"/>
      <c r="AL413" s="136"/>
      <c r="AM413" s="136"/>
      <c r="AN413" s="136"/>
      <c r="AO413" s="136"/>
      <c r="AP413" s="136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136"/>
      <c r="BD413" s="136"/>
      <c r="BE413" s="136"/>
      <c r="BF413" s="136"/>
      <c r="BG413" s="136"/>
      <c r="BH413" s="136"/>
      <c r="BI413" s="136"/>
    </row>
    <row r="414" spans="1:61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  <c r="AA414" s="136"/>
      <c r="AB414" s="136"/>
      <c r="AC414" s="136"/>
      <c r="AD414" s="136"/>
      <c r="AE414" s="136"/>
      <c r="AF414" s="136"/>
      <c r="AG414" s="136"/>
      <c r="AH414" s="136"/>
      <c r="AI414" s="136"/>
      <c r="AJ414" s="136"/>
      <c r="AK414" s="136"/>
      <c r="AL414" s="136"/>
      <c r="AM414" s="136"/>
      <c r="AN414" s="136"/>
      <c r="AO414" s="136"/>
      <c r="AP414" s="136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136"/>
      <c r="BD414" s="136"/>
      <c r="BE414" s="136"/>
      <c r="BF414" s="136"/>
      <c r="BG414" s="136"/>
      <c r="BH414" s="136"/>
      <c r="BI414" s="136"/>
    </row>
    <row r="415" spans="1:61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  <c r="AA415" s="136"/>
      <c r="AB415" s="136"/>
      <c r="AC415" s="136"/>
      <c r="AD415" s="136"/>
      <c r="AE415" s="136"/>
      <c r="AF415" s="136"/>
      <c r="AG415" s="136"/>
      <c r="AH415" s="136"/>
      <c r="AI415" s="136"/>
      <c r="AJ415" s="136"/>
      <c r="AK415" s="136"/>
      <c r="AL415" s="136"/>
      <c r="AM415" s="136"/>
      <c r="AN415" s="136"/>
      <c r="AO415" s="136"/>
      <c r="AP415" s="136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136"/>
      <c r="BD415" s="136"/>
      <c r="BE415" s="136"/>
      <c r="BF415" s="136"/>
      <c r="BG415" s="136"/>
      <c r="BH415" s="136"/>
      <c r="BI415" s="136"/>
    </row>
    <row r="416" spans="1:61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  <c r="AA416" s="136"/>
      <c r="AB416" s="136"/>
      <c r="AC416" s="136"/>
      <c r="AD416" s="136"/>
      <c r="AE416" s="136"/>
      <c r="AF416" s="136"/>
      <c r="AG416" s="136"/>
      <c r="AH416" s="136"/>
      <c r="AI416" s="136"/>
      <c r="AJ416" s="136"/>
      <c r="AK416" s="136"/>
      <c r="AL416" s="136"/>
      <c r="AM416" s="136"/>
      <c r="AN416" s="136"/>
      <c r="AO416" s="136"/>
      <c r="AP416" s="136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136"/>
      <c r="BD416" s="136"/>
      <c r="BE416" s="136"/>
      <c r="BF416" s="136"/>
      <c r="BG416" s="136"/>
      <c r="BH416" s="136"/>
      <c r="BI416" s="136"/>
    </row>
    <row r="417" spans="1:61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  <c r="AA417" s="136"/>
      <c r="AB417" s="136"/>
      <c r="AC417" s="136"/>
      <c r="AD417" s="136"/>
      <c r="AE417" s="136"/>
      <c r="AF417" s="136"/>
      <c r="AG417" s="136"/>
      <c r="AH417" s="136"/>
      <c r="AI417" s="136"/>
      <c r="AJ417" s="136"/>
      <c r="AK417" s="136"/>
      <c r="AL417" s="136"/>
      <c r="AM417" s="136"/>
      <c r="AN417" s="136"/>
      <c r="AO417" s="136"/>
      <c r="AP417" s="136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136"/>
      <c r="BD417" s="136"/>
      <c r="BE417" s="136"/>
      <c r="BF417" s="136"/>
      <c r="BG417" s="136"/>
      <c r="BH417" s="136"/>
      <c r="BI417" s="136"/>
    </row>
    <row r="418" spans="1:61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  <c r="AA418" s="136"/>
      <c r="AB418" s="136"/>
      <c r="AC418" s="136"/>
      <c r="AD418" s="136"/>
      <c r="AE418" s="136"/>
      <c r="AF418" s="136"/>
      <c r="AG418" s="136"/>
      <c r="AH418" s="136"/>
      <c r="AI418" s="136"/>
      <c r="AJ418" s="136"/>
      <c r="AK418" s="136"/>
      <c r="AL418" s="136"/>
      <c r="AM418" s="136"/>
      <c r="AN418" s="136"/>
      <c r="AO418" s="136"/>
      <c r="AP418" s="136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136"/>
      <c r="BD418" s="136"/>
      <c r="BE418" s="136"/>
      <c r="BF418" s="136"/>
      <c r="BG418" s="136"/>
      <c r="BH418" s="136"/>
      <c r="BI418" s="136"/>
    </row>
    <row r="419" spans="1:61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  <c r="AA419" s="136"/>
      <c r="AB419" s="136"/>
      <c r="AC419" s="136"/>
      <c r="AD419" s="136"/>
      <c r="AE419" s="136"/>
      <c r="AF419" s="136"/>
      <c r="AG419" s="136"/>
      <c r="AH419" s="136"/>
      <c r="AI419" s="136"/>
      <c r="AJ419" s="136"/>
      <c r="AK419" s="136"/>
      <c r="AL419" s="136"/>
      <c r="AM419" s="136"/>
      <c r="AN419" s="136"/>
      <c r="AO419" s="136"/>
      <c r="AP419" s="136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136"/>
      <c r="BD419" s="136"/>
      <c r="BE419" s="136"/>
      <c r="BF419" s="136"/>
      <c r="BG419" s="136"/>
      <c r="BH419" s="136"/>
      <c r="BI419" s="136"/>
    </row>
    <row r="420" spans="1:61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  <c r="AA420" s="136"/>
      <c r="AB420" s="136"/>
      <c r="AC420" s="136"/>
      <c r="AD420" s="136"/>
      <c r="AE420" s="136"/>
      <c r="AF420" s="136"/>
      <c r="AG420" s="136"/>
      <c r="AH420" s="136"/>
      <c r="AI420" s="136"/>
      <c r="AJ420" s="136"/>
      <c r="AK420" s="136"/>
      <c r="AL420" s="136"/>
      <c r="AM420" s="136"/>
      <c r="AN420" s="136"/>
      <c r="AO420" s="136"/>
      <c r="AP420" s="136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136"/>
      <c r="BD420" s="136"/>
      <c r="BE420" s="136"/>
      <c r="BF420" s="136"/>
      <c r="BG420" s="136"/>
      <c r="BH420" s="136"/>
      <c r="BI420" s="136"/>
    </row>
    <row r="421" spans="1:61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  <c r="AA421" s="136"/>
      <c r="AB421" s="136"/>
      <c r="AC421" s="136"/>
      <c r="AD421" s="136"/>
      <c r="AE421" s="136"/>
      <c r="AF421" s="136"/>
      <c r="AG421" s="136"/>
      <c r="AH421" s="136"/>
      <c r="AI421" s="136"/>
      <c r="AJ421" s="136"/>
      <c r="AK421" s="136"/>
      <c r="AL421" s="136"/>
      <c r="AM421" s="136"/>
      <c r="AN421" s="136"/>
      <c r="AO421" s="136"/>
      <c r="AP421" s="136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136"/>
      <c r="BD421" s="136"/>
      <c r="BE421" s="136"/>
      <c r="BF421" s="136"/>
      <c r="BG421" s="136"/>
      <c r="BH421" s="136"/>
      <c r="BI421" s="136"/>
    </row>
    <row r="422" spans="1:61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  <c r="AA422" s="136"/>
      <c r="AB422" s="136"/>
      <c r="AC422" s="136"/>
      <c r="AD422" s="136"/>
      <c r="AE422" s="136"/>
      <c r="AF422" s="136"/>
      <c r="AG422" s="136"/>
      <c r="AH422" s="136"/>
      <c r="AI422" s="136"/>
      <c r="AJ422" s="136"/>
      <c r="AK422" s="136"/>
      <c r="AL422" s="136"/>
      <c r="AM422" s="136"/>
      <c r="AN422" s="136"/>
      <c r="AO422" s="136"/>
      <c r="AP422" s="136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136"/>
      <c r="BD422" s="136"/>
      <c r="BE422" s="136"/>
      <c r="BF422" s="136"/>
      <c r="BG422" s="136"/>
      <c r="BH422" s="136"/>
      <c r="BI422" s="136"/>
    </row>
    <row r="423" spans="1:61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  <c r="AA423" s="136"/>
      <c r="AB423" s="136"/>
      <c r="AC423" s="136"/>
      <c r="AD423" s="136"/>
      <c r="AE423" s="136"/>
      <c r="AF423" s="136"/>
      <c r="AG423" s="136"/>
      <c r="AH423" s="136"/>
      <c r="AI423" s="136"/>
      <c r="AJ423" s="136"/>
      <c r="AK423" s="136"/>
      <c r="AL423" s="136"/>
      <c r="AM423" s="136"/>
      <c r="AN423" s="136"/>
      <c r="AO423" s="136"/>
      <c r="AP423" s="136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136"/>
      <c r="BD423" s="136"/>
      <c r="BE423" s="136"/>
      <c r="BF423" s="136"/>
      <c r="BG423" s="136"/>
      <c r="BH423" s="136"/>
      <c r="BI423" s="136"/>
    </row>
    <row r="424" spans="1:61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  <c r="AA424" s="136"/>
      <c r="AB424" s="136"/>
      <c r="AC424" s="136"/>
      <c r="AD424" s="136"/>
      <c r="AE424" s="136"/>
      <c r="AF424" s="136"/>
      <c r="AG424" s="136"/>
      <c r="AH424" s="136"/>
      <c r="AI424" s="136"/>
      <c r="AJ424" s="136"/>
      <c r="AK424" s="136"/>
      <c r="AL424" s="136"/>
      <c r="AM424" s="136"/>
      <c r="AN424" s="136"/>
      <c r="AO424" s="136"/>
      <c r="AP424" s="136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136"/>
      <c r="BD424" s="136"/>
      <c r="BE424" s="136"/>
      <c r="BF424" s="136"/>
      <c r="BG424" s="136"/>
      <c r="BH424" s="136"/>
      <c r="BI424" s="136"/>
    </row>
    <row r="425" spans="1:61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  <c r="AA425" s="136"/>
      <c r="AB425" s="136"/>
      <c r="AC425" s="136"/>
      <c r="AD425" s="136"/>
      <c r="AE425" s="136"/>
      <c r="AF425" s="136"/>
      <c r="AG425" s="136"/>
      <c r="AH425" s="136"/>
      <c r="AI425" s="136"/>
      <c r="AJ425" s="136"/>
      <c r="AK425" s="136"/>
      <c r="AL425" s="136"/>
      <c r="AM425" s="136"/>
      <c r="AN425" s="136"/>
      <c r="AO425" s="136"/>
      <c r="AP425" s="136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136"/>
      <c r="BD425" s="136"/>
      <c r="BE425" s="136"/>
      <c r="BF425" s="136"/>
      <c r="BG425" s="136"/>
      <c r="BH425" s="136"/>
      <c r="BI425" s="136"/>
    </row>
    <row r="426" spans="1:61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  <c r="AA426" s="136"/>
      <c r="AB426" s="136"/>
      <c r="AC426" s="136"/>
      <c r="AD426" s="136"/>
      <c r="AE426" s="136"/>
      <c r="AF426" s="136"/>
      <c r="AG426" s="136"/>
      <c r="AH426" s="136"/>
      <c r="AI426" s="136"/>
      <c r="AJ426" s="136"/>
      <c r="AK426" s="136"/>
      <c r="AL426" s="136"/>
      <c r="AM426" s="136"/>
      <c r="AN426" s="136"/>
      <c r="AO426" s="136"/>
      <c r="AP426" s="136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136"/>
      <c r="BD426" s="136"/>
      <c r="BE426" s="136"/>
      <c r="BF426" s="136"/>
      <c r="BG426" s="136"/>
      <c r="BH426" s="136"/>
      <c r="BI426" s="136"/>
    </row>
    <row r="427" spans="1:61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  <c r="AA427" s="136"/>
      <c r="AB427" s="136"/>
      <c r="AC427" s="136"/>
      <c r="AD427" s="136"/>
      <c r="AE427" s="136"/>
      <c r="AF427" s="136"/>
      <c r="AG427" s="136"/>
      <c r="AH427" s="136"/>
      <c r="AI427" s="136"/>
      <c r="AJ427" s="136"/>
      <c r="AK427" s="136"/>
      <c r="AL427" s="136"/>
      <c r="AM427" s="136"/>
      <c r="AN427" s="136"/>
      <c r="AO427" s="136"/>
      <c r="AP427" s="136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136"/>
      <c r="BD427" s="136"/>
      <c r="BE427" s="136"/>
      <c r="BF427" s="136"/>
      <c r="BG427" s="136"/>
      <c r="BH427" s="136"/>
      <c r="BI427" s="136"/>
    </row>
    <row r="428" spans="1:61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  <c r="AA428" s="136"/>
      <c r="AB428" s="136"/>
      <c r="AC428" s="136"/>
      <c r="AD428" s="136"/>
      <c r="AE428" s="136"/>
      <c r="AF428" s="136"/>
      <c r="AG428" s="136"/>
      <c r="AH428" s="136"/>
      <c r="AI428" s="136"/>
      <c r="AJ428" s="136"/>
      <c r="AK428" s="136"/>
      <c r="AL428" s="136"/>
      <c r="AM428" s="136"/>
      <c r="AN428" s="136"/>
      <c r="AO428" s="136"/>
      <c r="AP428" s="136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136"/>
      <c r="BD428" s="136"/>
      <c r="BE428" s="136"/>
      <c r="BF428" s="136"/>
      <c r="BG428" s="136"/>
      <c r="BH428" s="136"/>
      <c r="BI428" s="136"/>
    </row>
    <row r="429" spans="1:61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  <c r="AA429" s="136"/>
      <c r="AB429" s="136"/>
      <c r="AC429" s="136"/>
      <c r="AD429" s="136"/>
      <c r="AE429" s="136"/>
      <c r="AF429" s="136"/>
      <c r="AG429" s="136"/>
      <c r="AH429" s="136"/>
      <c r="AI429" s="136"/>
      <c r="AJ429" s="136"/>
      <c r="AK429" s="136"/>
      <c r="AL429" s="136"/>
      <c r="AM429" s="136"/>
      <c r="AN429" s="136"/>
      <c r="AO429" s="136"/>
      <c r="AP429" s="136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136"/>
      <c r="BD429" s="136"/>
      <c r="BE429" s="136"/>
      <c r="BF429" s="136"/>
      <c r="BG429" s="136"/>
      <c r="BH429" s="136"/>
      <c r="BI429" s="136"/>
    </row>
    <row r="430" spans="1:61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  <c r="AA430" s="136"/>
      <c r="AB430" s="136"/>
      <c r="AC430" s="136"/>
      <c r="AD430" s="136"/>
      <c r="AE430" s="136"/>
      <c r="AF430" s="136"/>
      <c r="AG430" s="136"/>
      <c r="AH430" s="136"/>
      <c r="AI430" s="136"/>
      <c r="AJ430" s="136"/>
      <c r="AK430" s="136"/>
      <c r="AL430" s="136"/>
      <c r="AM430" s="136"/>
      <c r="AN430" s="136"/>
      <c r="AO430" s="136"/>
      <c r="AP430" s="136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136"/>
      <c r="BD430" s="136"/>
      <c r="BE430" s="136"/>
      <c r="BF430" s="136"/>
      <c r="BG430" s="136"/>
      <c r="BH430" s="136"/>
      <c r="BI430" s="136"/>
    </row>
    <row r="431" spans="1:61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  <c r="AA431" s="136"/>
      <c r="AB431" s="136"/>
      <c r="AC431" s="136"/>
      <c r="AD431" s="136"/>
      <c r="AE431" s="136"/>
      <c r="AF431" s="136"/>
      <c r="AG431" s="136"/>
      <c r="AH431" s="136"/>
      <c r="AI431" s="136"/>
      <c r="AJ431" s="136"/>
      <c r="AK431" s="136"/>
      <c r="AL431" s="136"/>
      <c r="AM431" s="136"/>
      <c r="AN431" s="136"/>
      <c r="AO431" s="136"/>
      <c r="AP431" s="136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136"/>
      <c r="BD431" s="136"/>
      <c r="BE431" s="136"/>
      <c r="BF431" s="136"/>
      <c r="BG431" s="136"/>
      <c r="BH431" s="136"/>
      <c r="BI431" s="136"/>
    </row>
    <row r="432" spans="1:61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  <c r="AA432" s="136"/>
      <c r="AB432" s="136"/>
      <c r="AC432" s="136"/>
      <c r="AD432" s="136"/>
      <c r="AE432" s="136"/>
      <c r="AF432" s="136"/>
      <c r="AG432" s="136"/>
      <c r="AH432" s="136"/>
      <c r="AI432" s="136"/>
      <c r="AJ432" s="136"/>
      <c r="AK432" s="136"/>
      <c r="AL432" s="136"/>
      <c r="AM432" s="136"/>
      <c r="AN432" s="136"/>
      <c r="AO432" s="136"/>
      <c r="AP432" s="136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136"/>
      <c r="BD432" s="136"/>
      <c r="BE432" s="136"/>
      <c r="BF432" s="136"/>
      <c r="BG432" s="136"/>
      <c r="BH432" s="136"/>
      <c r="BI432" s="136"/>
    </row>
    <row r="433" spans="1:61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  <c r="AA433" s="136"/>
      <c r="AB433" s="136"/>
      <c r="AC433" s="136"/>
      <c r="AD433" s="136"/>
      <c r="AE433" s="136"/>
      <c r="AF433" s="136"/>
      <c r="AG433" s="136"/>
      <c r="AH433" s="136"/>
      <c r="AI433" s="136"/>
      <c r="AJ433" s="136"/>
      <c r="AK433" s="136"/>
      <c r="AL433" s="136"/>
      <c r="AM433" s="136"/>
      <c r="AN433" s="136"/>
      <c r="AO433" s="136"/>
      <c r="AP433" s="136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136"/>
      <c r="BD433" s="136"/>
      <c r="BE433" s="136"/>
      <c r="BF433" s="136"/>
      <c r="BG433" s="136"/>
      <c r="BH433" s="136"/>
      <c r="BI433" s="136"/>
    </row>
    <row r="434" spans="1:61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  <c r="AA434" s="136"/>
      <c r="AB434" s="136"/>
      <c r="AC434" s="136"/>
      <c r="AD434" s="136"/>
      <c r="AE434" s="136"/>
      <c r="AF434" s="136"/>
      <c r="AG434" s="136"/>
      <c r="AH434" s="136"/>
      <c r="AI434" s="136"/>
      <c r="AJ434" s="136"/>
      <c r="AK434" s="136"/>
      <c r="AL434" s="136"/>
      <c r="AM434" s="136"/>
      <c r="AN434" s="136"/>
      <c r="AO434" s="136"/>
      <c r="AP434" s="136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136"/>
      <c r="BD434" s="136"/>
      <c r="BE434" s="136"/>
      <c r="BF434" s="136"/>
      <c r="BG434" s="136"/>
      <c r="BH434" s="136"/>
      <c r="BI434" s="136"/>
    </row>
    <row r="435" spans="1:61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  <c r="AA435" s="136"/>
      <c r="AB435" s="136"/>
      <c r="AC435" s="136"/>
      <c r="AD435" s="136"/>
      <c r="AE435" s="136"/>
      <c r="AF435" s="136"/>
      <c r="AG435" s="136"/>
      <c r="AH435" s="136"/>
      <c r="AI435" s="136"/>
      <c r="AJ435" s="136"/>
      <c r="AK435" s="136"/>
      <c r="AL435" s="136"/>
      <c r="AM435" s="136"/>
      <c r="AN435" s="136"/>
      <c r="AO435" s="136"/>
      <c r="AP435" s="136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136"/>
      <c r="BD435" s="136"/>
      <c r="BE435" s="136"/>
      <c r="BF435" s="136"/>
      <c r="BG435" s="136"/>
      <c r="BH435" s="136"/>
      <c r="BI435" s="136"/>
    </row>
    <row r="436" spans="1:61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  <c r="AA436" s="136"/>
      <c r="AB436" s="136"/>
      <c r="AC436" s="136"/>
      <c r="AD436" s="136"/>
      <c r="AE436" s="136"/>
      <c r="AF436" s="136"/>
      <c r="AG436" s="136"/>
      <c r="AH436" s="136"/>
      <c r="AI436" s="136"/>
      <c r="AJ436" s="136"/>
      <c r="AK436" s="136"/>
      <c r="AL436" s="136"/>
      <c r="AM436" s="136"/>
      <c r="AN436" s="136"/>
      <c r="AO436" s="136"/>
      <c r="AP436" s="136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136"/>
      <c r="BD436" s="136"/>
      <c r="BE436" s="136"/>
      <c r="BF436" s="136"/>
      <c r="BG436" s="136"/>
      <c r="BH436" s="136"/>
      <c r="BI436" s="136"/>
    </row>
    <row r="437" spans="1:61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  <c r="AA437" s="136"/>
      <c r="AB437" s="136"/>
      <c r="AC437" s="136"/>
      <c r="AD437" s="136"/>
      <c r="AE437" s="136"/>
      <c r="AF437" s="136"/>
      <c r="AG437" s="136"/>
      <c r="AH437" s="136"/>
      <c r="AI437" s="136"/>
      <c r="AJ437" s="136"/>
      <c r="AK437" s="136"/>
      <c r="AL437" s="136"/>
      <c r="AM437" s="136"/>
      <c r="AN437" s="136"/>
      <c r="AO437" s="136"/>
      <c r="AP437" s="136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136"/>
      <c r="BD437" s="136"/>
      <c r="BE437" s="136"/>
      <c r="BF437" s="136"/>
      <c r="BG437" s="136"/>
      <c r="BH437" s="136"/>
      <c r="BI437" s="136"/>
    </row>
    <row r="438" spans="1:61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  <c r="AA438" s="136"/>
      <c r="AB438" s="136"/>
      <c r="AC438" s="136"/>
      <c r="AD438" s="136"/>
      <c r="AE438" s="136"/>
      <c r="AF438" s="136"/>
      <c r="AG438" s="136"/>
      <c r="AH438" s="136"/>
      <c r="AI438" s="136"/>
      <c r="AJ438" s="136"/>
      <c r="AK438" s="136"/>
      <c r="AL438" s="136"/>
      <c r="AM438" s="136"/>
      <c r="AN438" s="136"/>
      <c r="AO438" s="136"/>
      <c r="AP438" s="136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136"/>
      <c r="BD438" s="136"/>
      <c r="BE438" s="136"/>
      <c r="BF438" s="136"/>
      <c r="BG438" s="136"/>
      <c r="BH438" s="136"/>
      <c r="BI438" s="136"/>
    </row>
    <row r="439" spans="1:61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  <c r="AA439" s="136"/>
      <c r="AB439" s="136"/>
      <c r="AC439" s="136"/>
      <c r="AD439" s="136"/>
      <c r="AE439" s="136"/>
      <c r="AF439" s="136"/>
      <c r="AG439" s="136"/>
      <c r="AH439" s="136"/>
      <c r="AI439" s="136"/>
      <c r="AJ439" s="136"/>
      <c r="AK439" s="136"/>
      <c r="AL439" s="136"/>
      <c r="AM439" s="136"/>
      <c r="AN439" s="136"/>
      <c r="AO439" s="136"/>
      <c r="AP439" s="136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136"/>
      <c r="BD439" s="136"/>
      <c r="BE439" s="136"/>
      <c r="BF439" s="136"/>
      <c r="BG439" s="136"/>
      <c r="BH439" s="136"/>
      <c r="BI439" s="136"/>
    </row>
    <row r="440" spans="1:61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  <c r="AA440" s="136"/>
      <c r="AB440" s="136"/>
      <c r="AC440" s="136"/>
      <c r="AD440" s="136"/>
      <c r="AE440" s="136"/>
      <c r="AF440" s="136"/>
      <c r="AG440" s="136"/>
      <c r="AH440" s="136"/>
      <c r="AI440" s="136"/>
      <c r="AJ440" s="136"/>
      <c r="AK440" s="136"/>
      <c r="AL440" s="136"/>
      <c r="AM440" s="136"/>
      <c r="AN440" s="136"/>
      <c r="AO440" s="136"/>
      <c r="AP440" s="136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136"/>
      <c r="BD440" s="136"/>
      <c r="BE440" s="136"/>
      <c r="BF440" s="136"/>
      <c r="BG440" s="136"/>
      <c r="BH440" s="136"/>
      <c r="BI440" s="136"/>
    </row>
    <row r="441" spans="1:61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  <c r="AA441" s="136"/>
      <c r="AB441" s="136"/>
      <c r="AC441" s="136"/>
      <c r="AD441" s="136"/>
      <c r="AE441" s="136"/>
      <c r="AF441" s="136"/>
      <c r="AG441" s="136"/>
      <c r="AH441" s="136"/>
      <c r="AI441" s="136"/>
      <c r="AJ441" s="136"/>
      <c r="AK441" s="136"/>
      <c r="AL441" s="136"/>
      <c r="AM441" s="136"/>
      <c r="AN441" s="136"/>
      <c r="AO441" s="136"/>
      <c r="AP441" s="136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136"/>
      <c r="BD441" s="136"/>
      <c r="BE441" s="136"/>
      <c r="BF441" s="136"/>
      <c r="BG441" s="136"/>
      <c r="BH441" s="136"/>
      <c r="BI441" s="136"/>
    </row>
    <row r="442" spans="1:61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  <c r="AA442" s="136"/>
      <c r="AB442" s="136"/>
      <c r="AC442" s="136"/>
      <c r="AD442" s="136"/>
      <c r="AE442" s="136"/>
      <c r="AF442" s="136"/>
      <c r="AG442" s="136"/>
      <c r="AH442" s="136"/>
      <c r="AI442" s="136"/>
      <c r="AJ442" s="136"/>
      <c r="AK442" s="136"/>
      <c r="AL442" s="136"/>
      <c r="AM442" s="136"/>
      <c r="AN442" s="136"/>
      <c r="AO442" s="136"/>
      <c r="AP442" s="136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136"/>
      <c r="BD442" s="136"/>
      <c r="BE442" s="136"/>
      <c r="BF442" s="136"/>
      <c r="BG442" s="136"/>
      <c r="BH442" s="136"/>
      <c r="BI442" s="136"/>
    </row>
    <row r="443" spans="1:61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  <c r="AA443" s="136"/>
      <c r="AB443" s="136"/>
      <c r="AC443" s="136"/>
      <c r="AD443" s="136"/>
      <c r="AE443" s="136"/>
      <c r="AF443" s="136"/>
      <c r="AG443" s="136"/>
      <c r="AH443" s="136"/>
      <c r="AI443" s="136"/>
      <c r="AJ443" s="136"/>
      <c r="AK443" s="136"/>
      <c r="AL443" s="136"/>
      <c r="AM443" s="136"/>
      <c r="AN443" s="136"/>
      <c r="AO443" s="136"/>
      <c r="AP443" s="136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136"/>
      <c r="BD443" s="136"/>
      <c r="BE443" s="136"/>
      <c r="BF443" s="136"/>
      <c r="BG443" s="136"/>
      <c r="BH443" s="136"/>
      <c r="BI443" s="136"/>
    </row>
    <row r="444" spans="1:61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  <c r="AA444" s="136"/>
      <c r="AB444" s="136"/>
      <c r="AC444" s="136"/>
      <c r="AD444" s="136"/>
      <c r="AE444" s="136"/>
      <c r="AF444" s="136"/>
      <c r="AG444" s="136"/>
      <c r="AH444" s="136"/>
      <c r="AI444" s="136"/>
      <c r="AJ444" s="136"/>
      <c r="AK444" s="136"/>
      <c r="AL444" s="136"/>
      <c r="AM444" s="136"/>
      <c r="AN444" s="136"/>
      <c r="AO444" s="136"/>
      <c r="AP444" s="136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136"/>
      <c r="BD444" s="136"/>
      <c r="BE444" s="136"/>
      <c r="BF444" s="136"/>
      <c r="BG444" s="136"/>
      <c r="BH444" s="136"/>
      <c r="BI444" s="136"/>
    </row>
    <row r="445" spans="1:61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  <c r="AA445" s="136"/>
      <c r="AB445" s="136"/>
      <c r="AC445" s="136"/>
      <c r="AD445" s="136"/>
      <c r="AE445" s="136"/>
      <c r="AF445" s="136"/>
      <c r="AG445" s="136"/>
      <c r="AH445" s="136"/>
      <c r="AI445" s="136"/>
      <c r="AJ445" s="136"/>
      <c r="AK445" s="136"/>
      <c r="AL445" s="136"/>
      <c r="AM445" s="136"/>
      <c r="AN445" s="136"/>
      <c r="AO445" s="136"/>
      <c r="AP445" s="136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136"/>
      <c r="BD445" s="136"/>
      <c r="BE445" s="136"/>
      <c r="BF445" s="136"/>
      <c r="BG445" s="136"/>
      <c r="BH445" s="136"/>
      <c r="BI445" s="136"/>
    </row>
    <row r="446" spans="1:61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  <c r="AA446" s="136"/>
      <c r="AB446" s="136"/>
      <c r="AC446" s="136"/>
      <c r="AD446" s="136"/>
      <c r="AE446" s="136"/>
      <c r="AF446" s="136"/>
      <c r="AG446" s="136"/>
      <c r="AH446" s="136"/>
      <c r="AI446" s="136"/>
      <c r="AJ446" s="136"/>
      <c r="AK446" s="136"/>
      <c r="AL446" s="136"/>
      <c r="AM446" s="136"/>
      <c r="AN446" s="136"/>
      <c r="AO446" s="136"/>
      <c r="AP446" s="136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136"/>
      <c r="BD446" s="136"/>
      <c r="BE446" s="136"/>
      <c r="BF446" s="136"/>
      <c r="BG446" s="136"/>
      <c r="BH446" s="136"/>
      <c r="BI446" s="136"/>
    </row>
    <row r="447" spans="1:61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  <c r="AA447" s="136"/>
      <c r="AB447" s="136"/>
      <c r="AC447" s="136"/>
      <c r="AD447" s="136"/>
      <c r="AE447" s="136"/>
      <c r="AF447" s="136"/>
      <c r="AG447" s="136"/>
      <c r="AH447" s="136"/>
      <c r="AI447" s="136"/>
      <c r="AJ447" s="136"/>
      <c r="AK447" s="136"/>
      <c r="AL447" s="136"/>
      <c r="AM447" s="136"/>
      <c r="AN447" s="136"/>
      <c r="AO447" s="136"/>
      <c r="AP447" s="136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136"/>
      <c r="BD447" s="136"/>
      <c r="BE447" s="136"/>
      <c r="BF447" s="136"/>
      <c r="BG447" s="136"/>
      <c r="BH447" s="136"/>
      <c r="BI447" s="136"/>
    </row>
    <row r="448" spans="1:61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  <c r="AA448" s="136"/>
      <c r="AB448" s="136"/>
      <c r="AC448" s="136"/>
      <c r="AD448" s="136"/>
      <c r="AE448" s="136"/>
      <c r="AF448" s="136"/>
      <c r="AG448" s="136"/>
      <c r="AH448" s="136"/>
      <c r="AI448" s="136"/>
      <c r="AJ448" s="136"/>
      <c r="AK448" s="136"/>
      <c r="AL448" s="136"/>
      <c r="AM448" s="136"/>
      <c r="AN448" s="136"/>
      <c r="AO448" s="136"/>
      <c r="AP448" s="136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136"/>
      <c r="BD448" s="136"/>
      <c r="BE448" s="136"/>
      <c r="BF448" s="136"/>
      <c r="BG448" s="136"/>
      <c r="BH448" s="136"/>
      <c r="BI448" s="136"/>
    </row>
    <row r="449" spans="1:61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136"/>
      <c r="BD449" s="136"/>
      <c r="BE449" s="136"/>
      <c r="BF449" s="136"/>
      <c r="BG449" s="136"/>
      <c r="BH449" s="136"/>
      <c r="BI449" s="136"/>
    </row>
    <row r="450" spans="1:61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  <c r="AA450" s="136"/>
      <c r="AB450" s="136"/>
      <c r="AC450" s="136"/>
      <c r="AD450" s="136"/>
      <c r="AE450" s="136"/>
      <c r="AF450" s="136"/>
      <c r="AG450" s="136"/>
      <c r="AH450" s="136"/>
      <c r="AI450" s="136"/>
      <c r="AJ450" s="136"/>
      <c r="AK450" s="136"/>
      <c r="AL450" s="136"/>
      <c r="AM450" s="136"/>
      <c r="AN450" s="136"/>
      <c r="AO450" s="136"/>
      <c r="AP450" s="136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136"/>
      <c r="BD450" s="136"/>
      <c r="BE450" s="136"/>
      <c r="BF450" s="136"/>
      <c r="BG450" s="136"/>
      <c r="BH450" s="136"/>
      <c r="BI450" s="136"/>
    </row>
    <row r="451" spans="1:61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  <c r="AA451" s="136"/>
      <c r="AB451" s="136"/>
      <c r="AC451" s="136"/>
      <c r="AD451" s="136"/>
      <c r="AE451" s="136"/>
      <c r="AF451" s="136"/>
      <c r="AG451" s="136"/>
      <c r="AH451" s="136"/>
      <c r="AI451" s="136"/>
      <c r="AJ451" s="136"/>
      <c r="AK451" s="136"/>
      <c r="AL451" s="136"/>
      <c r="AM451" s="136"/>
      <c r="AN451" s="136"/>
      <c r="AO451" s="136"/>
      <c r="AP451" s="136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136"/>
      <c r="BD451" s="136"/>
      <c r="BE451" s="136"/>
      <c r="BF451" s="136"/>
      <c r="BG451" s="136"/>
      <c r="BH451" s="136"/>
      <c r="BI451" s="136"/>
    </row>
    <row r="452" spans="1:61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  <c r="AA452" s="136"/>
      <c r="AB452" s="136"/>
      <c r="AC452" s="136"/>
      <c r="AD452" s="136"/>
      <c r="AE452" s="136"/>
      <c r="AF452" s="136"/>
      <c r="AG452" s="136"/>
      <c r="AH452" s="136"/>
      <c r="AI452" s="136"/>
      <c r="AJ452" s="136"/>
      <c r="AK452" s="136"/>
      <c r="AL452" s="136"/>
      <c r="AM452" s="136"/>
      <c r="AN452" s="136"/>
      <c r="AO452" s="136"/>
      <c r="AP452" s="136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136"/>
      <c r="BD452" s="136"/>
      <c r="BE452" s="136"/>
      <c r="BF452" s="136"/>
      <c r="BG452" s="136"/>
      <c r="BH452" s="136"/>
      <c r="BI452" s="136"/>
    </row>
    <row r="453" spans="1:61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  <c r="AA453" s="136"/>
      <c r="AB453" s="136"/>
      <c r="AC453" s="136"/>
      <c r="AD453" s="136"/>
      <c r="AE453" s="136"/>
      <c r="AF453" s="136"/>
      <c r="AG453" s="136"/>
      <c r="AH453" s="136"/>
      <c r="AI453" s="136"/>
      <c r="AJ453" s="136"/>
      <c r="AK453" s="136"/>
      <c r="AL453" s="136"/>
      <c r="AM453" s="136"/>
      <c r="AN453" s="136"/>
      <c r="AO453" s="136"/>
      <c r="AP453" s="136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136"/>
      <c r="BD453" s="136"/>
      <c r="BE453" s="136"/>
      <c r="BF453" s="136"/>
      <c r="BG453" s="136"/>
      <c r="BH453" s="136"/>
      <c r="BI453" s="136"/>
    </row>
    <row r="454" spans="1:61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  <c r="AA454" s="136"/>
      <c r="AB454" s="136"/>
      <c r="AC454" s="136"/>
      <c r="AD454" s="136"/>
      <c r="AE454" s="136"/>
      <c r="AF454" s="136"/>
      <c r="AG454" s="136"/>
      <c r="AH454" s="136"/>
      <c r="AI454" s="136"/>
      <c r="AJ454" s="136"/>
      <c r="AK454" s="136"/>
      <c r="AL454" s="136"/>
      <c r="AM454" s="136"/>
      <c r="AN454" s="136"/>
      <c r="AO454" s="136"/>
      <c r="AP454" s="136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136"/>
      <c r="BD454" s="136"/>
      <c r="BE454" s="136"/>
      <c r="BF454" s="136"/>
      <c r="BG454" s="136"/>
      <c r="BH454" s="136"/>
      <c r="BI454" s="136"/>
    </row>
    <row r="455" spans="1:61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  <c r="AA455" s="136"/>
      <c r="AB455" s="136"/>
      <c r="AC455" s="136"/>
      <c r="AD455" s="136"/>
      <c r="AE455" s="136"/>
      <c r="AF455" s="136"/>
      <c r="AG455" s="136"/>
      <c r="AH455" s="136"/>
      <c r="AI455" s="136"/>
      <c r="AJ455" s="136"/>
      <c r="AK455" s="136"/>
      <c r="AL455" s="136"/>
      <c r="AM455" s="136"/>
      <c r="AN455" s="136"/>
      <c r="AO455" s="136"/>
      <c r="AP455" s="136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136"/>
      <c r="BD455" s="136"/>
      <c r="BE455" s="136"/>
      <c r="BF455" s="136"/>
      <c r="BG455" s="136"/>
      <c r="BH455" s="136"/>
      <c r="BI455" s="136"/>
    </row>
    <row r="456" spans="1:61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  <c r="AA456" s="136"/>
      <c r="AB456" s="136"/>
      <c r="AC456" s="136"/>
      <c r="AD456" s="136"/>
      <c r="AE456" s="136"/>
      <c r="AF456" s="136"/>
      <c r="AG456" s="136"/>
      <c r="AH456" s="136"/>
      <c r="AI456" s="136"/>
      <c r="AJ456" s="136"/>
      <c r="AK456" s="136"/>
      <c r="AL456" s="136"/>
      <c r="AM456" s="136"/>
      <c r="AN456" s="136"/>
      <c r="AO456" s="136"/>
      <c r="AP456" s="136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136"/>
      <c r="BD456" s="136"/>
      <c r="BE456" s="136"/>
      <c r="BF456" s="136"/>
      <c r="BG456" s="136"/>
      <c r="BH456" s="136"/>
      <c r="BI456" s="136"/>
    </row>
    <row r="457" spans="1:61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  <c r="AA457" s="136"/>
      <c r="AB457" s="136"/>
      <c r="AC457" s="136"/>
      <c r="AD457" s="136"/>
      <c r="AE457" s="136"/>
      <c r="AF457" s="136"/>
      <c r="AG457" s="136"/>
      <c r="AH457" s="136"/>
      <c r="AI457" s="136"/>
      <c r="AJ457" s="136"/>
      <c r="AK457" s="136"/>
      <c r="AL457" s="136"/>
      <c r="AM457" s="136"/>
      <c r="AN457" s="136"/>
      <c r="AO457" s="136"/>
      <c r="AP457" s="136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136"/>
      <c r="BD457" s="136"/>
      <c r="BE457" s="136"/>
      <c r="BF457" s="136"/>
      <c r="BG457" s="136"/>
      <c r="BH457" s="136"/>
      <c r="BI457" s="136"/>
    </row>
    <row r="458" spans="1:61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  <c r="AA458" s="136"/>
      <c r="AB458" s="136"/>
      <c r="AC458" s="136"/>
      <c r="AD458" s="136"/>
      <c r="AE458" s="136"/>
      <c r="AF458" s="136"/>
      <c r="AG458" s="136"/>
      <c r="AH458" s="136"/>
      <c r="AI458" s="136"/>
      <c r="AJ458" s="136"/>
      <c r="AK458" s="136"/>
      <c r="AL458" s="136"/>
      <c r="AM458" s="136"/>
      <c r="AN458" s="136"/>
      <c r="AO458" s="136"/>
      <c r="AP458" s="136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136"/>
      <c r="BD458" s="136"/>
      <c r="BE458" s="136"/>
      <c r="BF458" s="136"/>
      <c r="BG458" s="136"/>
      <c r="BH458" s="136"/>
      <c r="BI458" s="136"/>
    </row>
    <row r="459" spans="1:61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  <c r="AA459" s="136"/>
      <c r="AB459" s="136"/>
      <c r="AC459" s="136"/>
      <c r="AD459" s="136"/>
      <c r="AE459" s="136"/>
      <c r="AF459" s="136"/>
      <c r="AG459" s="136"/>
      <c r="AH459" s="136"/>
      <c r="AI459" s="136"/>
      <c r="AJ459" s="136"/>
      <c r="AK459" s="136"/>
      <c r="AL459" s="136"/>
      <c r="AM459" s="136"/>
      <c r="AN459" s="136"/>
      <c r="AO459" s="136"/>
      <c r="AP459" s="136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136"/>
      <c r="BD459" s="136"/>
      <c r="BE459" s="136"/>
      <c r="BF459" s="136"/>
      <c r="BG459" s="136"/>
      <c r="BH459" s="136"/>
      <c r="BI459" s="136"/>
    </row>
    <row r="460" spans="1:61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  <c r="AA460" s="136"/>
      <c r="AB460" s="136"/>
      <c r="AC460" s="136"/>
      <c r="AD460" s="136"/>
      <c r="AE460" s="136"/>
      <c r="AF460" s="136"/>
      <c r="AG460" s="136"/>
      <c r="AH460" s="136"/>
      <c r="AI460" s="136"/>
      <c r="AJ460" s="136"/>
      <c r="AK460" s="136"/>
      <c r="AL460" s="136"/>
      <c r="AM460" s="136"/>
      <c r="AN460" s="136"/>
      <c r="AO460" s="136"/>
      <c r="AP460" s="136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136"/>
      <c r="BD460" s="136"/>
      <c r="BE460" s="136"/>
      <c r="BF460" s="136"/>
      <c r="BG460" s="136"/>
      <c r="BH460" s="136"/>
      <c r="BI460" s="136"/>
    </row>
    <row r="461" spans="1:61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  <c r="AA461" s="136"/>
      <c r="AB461" s="136"/>
      <c r="AC461" s="136"/>
      <c r="AD461" s="136"/>
      <c r="AE461" s="136"/>
      <c r="AF461" s="136"/>
      <c r="AG461" s="136"/>
      <c r="AH461" s="136"/>
      <c r="AI461" s="136"/>
      <c r="AJ461" s="136"/>
      <c r="AK461" s="136"/>
      <c r="AL461" s="136"/>
      <c r="AM461" s="136"/>
      <c r="AN461" s="136"/>
      <c r="AO461" s="136"/>
      <c r="AP461" s="136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136"/>
      <c r="BD461" s="136"/>
      <c r="BE461" s="136"/>
      <c r="BF461" s="136"/>
      <c r="BG461" s="136"/>
      <c r="BH461" s="136"/>
      <c r="BI461" s="136"/>
    </row>
    <row r="462" spans="1:61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  <c r="AA462" s="136"/>
      <c r="AB462" s="136"/>
      <c r="AC462" s="136"/>
      <c r="AD462" s="136"/>
      <c r="AE462" s="136"/>
      <c r="AF462" s="136"/>
      <c r="AG462" s="136"/>
      <c r="AH462" s="136"/>
      <c r="AI462" s="136"/>
      <c r="AJ462" s="136"/>
      <c r="AK462" s="136"/>
      <c r="AL462" s="136"/>
      <c r="AM462" s="136"/>
      <c r="AN462" s="136"/>
      <c r="AO462" s="136"/>
      <c r="AP462" s="136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136"/>
      <c r="BD462" s="136"/>
      <c r="BE462" s="136"/>
      <c r="BF462" s="136"/>
      <c r="BG462" s="136"/>
      <c r="BH462" s="136"/>
      <c r="BI462" s="136"/>
    </row>
    <row r="463" spans="1:61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  <c r="AA463" s="136"/>
      <c r="AB463" s="136"/>
      <c r="AC463" s="136"/>
      <c r="AD463" s="136"/>
      <c r="AE463" s="136"/>
      <c r="AF463" s="136"/>
      <c r="AG463" s="136"/>
      <c r="AH463" s="136"/>
      <c r="AI463" s="136"/>
      <c r="AJ463" s="136"/>
      <c r="AK463" s="136"/>
      <c r="AL463" s="136"/>
      <c r="AM463" s="136"/>
      <c r="AN463" s="136"/>
      <c r="AO463" s="136"/>
      <c r="AP463" s="136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136"/>
      <c r="BD463" s="136"/>
      <c r="BE463" s="136"/>
      <c r="BF463" s="136"/>
      <c r="BG463" s="136"/>
      <c r="BH463" s="136"/>
      <c r="BI463" s="136"/>
    </row>
    <row r="464" spans="1:61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  <c r="AA464" s="136"/>
      <c r="AB464" s="136"/>
      <c r="AC464" s="136"/>
      <c r="AD464" s="136"/>
      <c r="AE464" s="136"/>
      <c r="AF464" s="136"/>
      <c r="AG464" s="136"/>
      <c r="AH464" s="136"/>
      <c r="AI464" s="136"/>
      <c r="AJ464" s="136"/>
      <c r="AK464" s="136"/>
      <c r="AL464" s="136"/>
      <c r="AM464" s="136"/>
      <c r="AN464" s="136"/>
      <c r="AO464" s="136"/>
      <c r="AP464" s="136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136"/>
      <c r="BD464" s="136"/>
      <c r="BE464" s="136"/>
      <c r="BF464" s="136"/>
      <c r="BG464" s="136"/>
      <c r="BH464" s="136"/>
      <c r="BI464" s="136"/>
    </row>
    <row r="465" spans="1:61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  <c r="AA465" s="136"/>
      <c r="AB465" s="136"/>
      <c r="AC465" s="136"/>
      <c r="AD465" s="136"/>
      <c r="AE465" s="136"/>
      <c r="AF465" s="136"/>
      <c r="AG465" s="136"/>
      <c r="AH465" s="136"/>
      <c r="AI465" s="136"/>
      <c r="AJ465" s="136"/>
      <c r="AK465" s="136"/>
      <c r="AL465" s="136"/>
      <c r="AM465" s="136"/>
      <c r="AN465" s="136"/>
      <c r="AO465" s="136"/>
      <c r="AP465" s="136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136"/>
      <c r="BD465" s="136"/>
      <c r="BE465" s="136"/>
      <c r="BF465" s="136"/>
      <c r="BG465" s="136"/>
      <c r="BH465" s="136"/>
      <c r="BI465" s="136"/>
    </row>
    <row r="466" spans="1:61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  <c r="AA466" s="136"/>
      <c r="AB466" s="136"/>
      <c r="AC466" s="136"/>
      <c r="AD466" s="136"/>
      <c r="AE466" s="136"/>
      <c r="AF466" s="136"/>
      <c r="AG466" s="136"/>
      <c r="AH466" s="136"/>
      <c r="AI466" s="136"/>
      <c r="AJ466" s="136"/>
      <c r="AK466" s="136"/>
      <c r="AL466" s="136"/>
      <c r="AM466" s="136"/>
      <c r="AN466" s="136"/>
      <c r="AO466" s="136"/>
      <c r="AP466" s="136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136"/>
      <c r="BD466" s="136"/>
      <c r="BE466" s="136"/>
      <c r="BF466" s="136"/>
      <c r="BG466" s="136"/>
      <c r="BH466" s="136"/>
      <c r="BI466" s="136"/>
    </row>
    <row r="467" spans="1:61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  <c r="AA467" s="136"/>
      <c r="AB467" s="136"/>
      <c r="AC467" s="136"/>
      <c r="AD467" s="136"/>
      <c r="AE467" s="136"/>
      <c r="AF467" s="136"/>
      <c r="AG467" s="136"/>
      <c r="AH467" s="136"/>
      <c r="AI467" s="136"/>
      <c r="AJ467" s="136"/>
      <c r="AK467" s="136"/>
      <c r="AL467" s="136"/>
      <c r="AM467" s="136"/>
      <c r="AN467" s="136"/>
      <c r="AO467" s="136"/>
      <c r="AP467" s="136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136"/>
      <c r="BD467" s="136"/>
      <c r="BE467" s="136"/>
      <c r="BF467" s="136"/>
      <c r="BG467" s="136"/>
      <c r="BH467" s="136"/>
      <c r="BI467" s="136"/>
    </row>
    <row r="468" spans="1:61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  <c r="AA468" s="136"/>
      <c r="AB468" s="136"/>
      <c r="AC468" s="136"/>
      <c r="AD468" s="136"/>
      <c r="AE468" s="136"/>
      <c r="AF468" s="136"/>
      <c r="AG468" s="136"/>
      <c r="AH468" s="136"/>
      <c r="AI468" s="136"/>
      <c r="AJ468" s="136"/>
      <c r="AK468" s="136"/>
      <c r="AL468" s="136"/>
      <c r="AM468" s="136"/>
      <c r="AN468" s="136"/>
      <c r="AO468" s="136"/>
      <c r="AP468" s="136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136"/>
      <c r="BD468" s="136"/>
      <c r="BE468" s="136"/>
      <c r="BF468" s="136"/>
      <c r="BG468" s="136"/>
      <c r="BH468" s="136"/>
      <c r="BI468" s="136"/>
    </row>
    <row r="469" spans="1:61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  <c r="AA469" s="136"/>
      <c r="AB469" s="136"/>
      <c r="AC469" s="136"/>
      <c r="AD469" s="136"/>
      <c r="AE469" s="136"/>
      <c r="AF469" s="136"/>
      <c r="AG469" s="136"/>
      <c r="AH469" s="136"/>
      <c r="AI469" s="136"/>
      <c r="AJ469" s="136"/>
      <c r="AK469" s="136"/>
      <c r="AL469" s="136"/>
      <c r="AM469" s="136"/>
      <c r="AN469" s="136"/>
      <c r="AO469" s="136"/>
      <c r="AP469" s="136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136"/>
      <c r="BD469" s="136"/>
      <c r="BE469" s="136"/>
      <c r="BF469" s="136"/>
      <c r="BG469" s="136"/>
      <c r="BH469" s="136"/>
      <c r="BI469" s="136"/>
    </row>
    <row r="470" spans="1:61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  <c r="AA470" s="136"/>
      <c r="AB470" s="136"/>
      <c r="AC470" s="136"/>
      <c r="AD470" s="136"/>
      <c r="AE470" s="136"/>
      <c r="AF470" s="136"/>
      <c r="AG470" s="136"/>
      <c r="AH470" s="136"/>
      <c r="AI470" s="136"/>
      <c r="AJ470" s="136"/>
      <c r="AK470" s="136"/>
      <c r="AL470" s="136"/>
      <c r="AM470" s="136"/>
      <c r="AN470" s="136"/>
      <c r="AO470" s="136"/>
      <c r="AP470" s="136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136"/>
      <c r="BD470" s="136"/>
      <c r="BE470" s="136"/>
      <c r="BF470" s="136"/>
      <c r="BG470" s="136"/>
      <c r="BH470" s="136"/>
      <c r="BI470" s="136"/>
    </row>
    <row r="471" spans="1:61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136"/>
      <c r="BD471" s="136"/>
      <c r="BE471" s="136"/>
      <c r="BF471" s="136"/>
      <c r="BG471" s="136"/>
      <c r="BH471" s="136"/>
      <c r="BI471" s="136"/>
    </row>
    <row r="472" spans="1:61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36"/>
      <c r="AE472" s="136"/>
      <c r="AF472" s="136"/>
      <c r="AG472" s="136"/>
      <c r="AH472" s="136"/>
      <c r="AI472" s="136"/>
      <c r="AJ472" s="136"/>
      <c r="AK472" s="136"/>
      <c r="AL472" s="136"/>
      <c r="AM472" s="136"/>
      <c r="AN472" s="136"/>
      <c r="AO472" s="136"/>
      <c r="AP472" s="136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136"/>
      <c r="BD472" s="136"/>
      <c r="BE472" s="136"/>
      <c r="BF472" s="136"/>
      <c r="BG472" s="136"/>
      <c r="BH472" s="136"/>
      <c r="BI472" s="136"/>
    </row>
    <row r="473" spans="1:61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136"/>
      <c r="BD473" s="136"/>
      <c r="BE473" s="136"/>
      <c r="BF473" s="136"/>
      <c r="BG473" s="136"/>
      <c r="BH473" s="136"/>
      <c r="BI473" s="136"/>
    </row>
    <row r="474" spans="1:61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36"/>
      <c r="AE474" s="136"/>
      <c r="AF474" s="136"/>
      <c r="AG474" s="136"/>
      <c r="AH474" s="136"/>
      <c r="AI474" s="136"/>
      <c r="AJ474" s="136"/>
      <c r="AK474" s="136"/>
      <c r="AL474" s="136"/>
      <c r="AM474" s="136"/>
      <c r="AN474" s="136"/>
      <c r="AO474" s="136"/>
      <c r="AP474" s="136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136"/>
      <c r="BD474" s="136"/>
      <c r="BE474" s="136"/>
      <c r="BF474" s="136"/>
      <c r="BG474" s="136"/>
      <c r="BH474" s="136"/>
      <c r="BI474" s="136"/>
    </row>
    <row r="475" spans="1:61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136"/>
      <c r="BD475" s="136"/>
      <c r="BE475" s="136"/>
      <c r="BF475" s="136"/>
      <c r="BG475" s="136"/>
      <c r="BH475" s="136"/>
      <c r="BI475" s="136"/>
    </row>
    <row r="476" spans="1:61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  <c r="AA476" s="136"/>
      <c r="AB476" s="136"/>
      <c r="AC476" s="136"/>
      <c r="AD476" s="136"/>
      <c r="AE476" s="136"/>
      <c r="AF476" s="136"/>
      <c r="AG476" s="136"/>
      <c r="AH476" s="136"/>
      <c r="AI476" s="136"/>
      <c r="AJ476" s="136"/>
      <c r="AK476" s="136"/>
      <c r="AL476" s="136"/>
      <c r="AM476" s="136"/>
      <c r="AN476" s="136"/>
      <c r="AO476" s="136"/>
      <c r="AP476" s="136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136"/>
      <c r="BD476" s="136"/>
      <c r="BE476" s="136"/>
      <c r="BF476" s="136"/>
      <c r="BG476" s="136"/>
      <c r="BH476" s="136"/>
      <c r="BI476" s="136"/>
    </row>
    <row r="477" spans="1:61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36"/>
      <c r="AE477" s="136"/>
      <c r="AF477" s="136"/>
      <c r="AG477" s="136"/>
      <c r="AH477" s="136"/>
      <c r="AI477" s="136"/>
      <c r="AJ477" s="136"/>
      <c r="AK477" s="136"/>
      <c r="AL477" s="136"/>
      <c r="AM477" s="136"/>
      <c r="AN477" s="136"/>
      <c r="AO477" s="136"/>
      <c r="AP477" s="136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136"/>
      <c r="BD477" s="136"/>
      <c r="BE477" s="136"/>
      <c r="BF477" s="136"/>
      <c r="BG477" s="136"/>
      <c r="BH477" s="136"/>
      <c r="BI477" s="136"/>
    </row>
    <row r="478" spans="1:61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36"/>
      <c r="AE478" s="136"/>
      <c r="AF478" s="136"/>
      <c r="AG478" s="136"/>
      <c r="AH478" s="136"/>
      <c r="AI478" s="136"/>
      <c r="AJ478" s="136"/>
      <c r="AK478" s="136"/>
      <c r="AL478" s="136"/>
      <c r="AM478" s="136"/>
      <c r="AN478" s="136"/>
      <c r="AO478" s="136"/>
      <c r="AP478" s="136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136"/>
      <c r="BD478" s="136"/>
      <c r="BE478" s="136"/>
      <c r="BF478" s="136"/>
      <c r="BG478" s="136"/>
      <c r="BH478" s="136"/>
      <c r="BI478" s="136"/>
    </row>
    <row r="479" spans="1:61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136"/>
      <c r="BD479" s="136"/>
      <c r="BE479" s="136"/>
      <c r="BF479" s="136"/>
      <c r="BG479" s="136"/>
      <c r="BH479" s="136"/>
      <c r="BI479" s="136"/>
    </row>
    <row r="480" spans="1:61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36"/>
      <c r="AE480" s="136"/>
      <c r="AF480" s="136"/>
      <c r="AG480" s="136"/>
      <c r="AH480" s="136"/>
      <c r="AI480" s="136"/>
      <c r="AJ480" s="136"/>
      <c r="AK480" s="136"/>
      <c r="AL480" s="136"/>
      <c r="AM480" s="136"/>
      <c r="AN480" s="136"/>
      <c r="AO480" s="136"/>
      <c r="AP480" s="136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136"/>
      <c r="BD480" s="136"/>
      <c r="BE480" s="136"/>
      <c r="BF480" s="136"/>
      <c r="BG480" s="136"/>
      <c r="BH480" s="136"/>
      <c r="BI480" s="136"/>
    </row>
    <row r="481" spans="1:61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36"/>
      <c r="AE481" s="136"/>
      <c r="AF481" s="136"/>
      <c r="AG481" s="136"/>
      <c r="AH481" s="136"/>
      <c r="AI481" s="136"/>
      <c r="AJ481" s="136"/>
      <c r="AK481" s="136"/>
      <c r="AL481" s="136"/>
      <c r="AM481" s="136"/>
      <c r="AN481" s="136"/>
      <c r="AO481" s="136"/>
      <c r="AP481" s="136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136"/>
      <c r="BD481" s="136"/>
      <c r="BE481" s="136"/>
      <c r="BF481" s="136"/>
      <c r="BG481" s="136"/>
      <c r="BH481" s="136"/>
      <c r="BI481" s="136"/>
    </row>
    <row r="482" spans="1:61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36"/>
      <c r="AE482" s="136"/>
      <c r="AF482" s="136"/>
      <c r="AG482" s="136"/>
      <c r="AH482" s="136"/>
      <c r="AI482" s="136"/>
      <c r="AJ482" s="136"/>
      <c r="AK482" s="136"/>
      <c r="AL482" s="136"/>
      <c r="AM482" s="136"/>
      <c r="AN482" s="136"/>
      <c r="AO482" s="136"/>
      <c r="AP482" s="136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136"/>
      <c r="BD482" s="136"/>
      <c r="BE482" s="136"/>
      <c r="BF482" s="136"/>
      <c r="BG482" s="136"/>
      <c r="BH482" s="136"/>
      <c r="BI482" s="136"/>
    </row>
    <row r="483" spans="1:61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136"/>
      <c r="BD483" s="136"/>
      <c r="BE483" s="136"/>
      <c r="BF483" s="136"/>
      <c r="BG483" s="136"/>
      <c r="BH483" s="136"/>
      <c r="BI483" s="136"/>
    </row>
    <row r="484" spans="1:61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136"/>
      <c r="AE484" s="136"/>
      <c r="AF484" s="136"/>
      <c r="AG484" s="136"/>
      <c r="AH484" s="136"/>
      <c r="AI484" s="136"/>
      <c r="AJ484" s="136"/>
      <c r="AK484" s="136"/>
      <c r="AL484" s="136"/>
      <c r="AM484" s="136"/>
      <c r="AN484" s="136"/>
      <c r="AO484" s="136"/>
      <c r="AP484" s="136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136"/>
      <c r="BD484" s="136"/>
      <c r="BE484" s="136"/>
      <c r="BF484" s="136"/>
      <c r="BG484" s="136"/>
      <c r="BH484" s="136"/>
      <c r="BI484" s="136"/>
    </row>
    <row r="485" spans="1:61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136"/>
      <c r="BD485" s="136"/>
      <c r="BE485" s="136"/>
      <c r="BF485" s="136"/>
      <c r="BG485" s="136"/>
      <c r="BH485" s="136"/>
      <c r="BI485" s="136"/>
    </row>
    <row r="486" spans="1:61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36"/>
      <c r="AE486" s="136"/>
      <c r="AF486" s="136"/>
      <c r="AG486" s="136"/>
      <c r="AH486" s="136"/>
      <c r="AI486" s="136"/>
      <c r="AJ486" s="136"/>
      <c r="AK486" s="136"/>
      <c r="AL486" s="136"/>
      <c r="AM486" s="136"/>
      <c r="AN486" s="136"/>
      <c r="AO486" s="136"/>
      <c r="AP486" s="136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136"/>
      <c r="BD486" s="136"/>
      <c r="BE486" s="136"/>
      <c r="BF486" s="136"/>
      <c r="BG486" s="136"/>
      <c r="BH486" s="136"/>
      <c r="BI486" s="136"/>
    </row>
    <row r="487" spans="1:61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36"/>
      <c r="AE487" s="136"/>
      <c r="AF487" s="136"/>
      <c r="AG487" s="136"/>
      <c r="AH487" s="136"/>
      <c r="AI487" s="136"/>
      <c r="AJ487" s="136"/>
      <c r="AK487" s="136"/>
      <c r="AL487" s="136"/>
      <c r="AM487" s="136"/>
      <c r="AN487" s="136"/>
      <c r="AO487" s="136"/>
      <c r="AP487" s="136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136"/>
      <c r="BD487" s="136"/>
      <c r="BE487" s="136"/>
      <c r="BF487" s="136"/>
      <c r="BG487" s="136"/>
      <c r="BH487" s="136"/>
      <c r="BI487" s="136"/>
    </row>
    <row r="488" spans="1:61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36"/>
      <c r="AE488" s="136"/>
      <c r="AF488" s="136"/>
      <c r="AG488" s="136"/>
      <c r="AH488" s="136"/>
      <c r="AI488" s="136"/>
      <c r="AJ488" s="136"/>
      <c r="AK488" s="136"/>
      <c r="AL488" s="136"/>
      <c r="AM488" s="136"/>
      <c r="AN488" s="136"/>
      <c r="AO488" s="136"/>
      <c r="AP488" s="136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136"/>
      <c r="BD488" s="136"/>
      <c r="BE488" s="136"/>
      <c r="BF488" s="136"/>
      <c r="BG488" s="136"/>
      <c r="BH488" s="136"/>
      <c r="BI488" s="136"/>
    </row>
    <row r="489" spans="1:61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136"/>
      <c r="BD489" s="136"/>
      <c r="BE489" s="136"/>
      <c r="BF489" s="136"/>
      <c r="BG489" s="136"/>
      <c r="BH489" s="136"/>
      <c r="BI489" s="136"/>
    </row>
    <row r="490" spans="1:61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136"/>
      <c r="BD490" s="136"/>
      <c r="BE490" s="136"/>
      <c r="BF490" s="136"/>
      <c r="BG490" s="136"/>
      <c r="BH490" s="136"/>
      <c r="BI490" s="136"/>
    </row>
    <row r="491" spans="1:61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136"/>
      <c r="BD491" s="136"/>
      <c r="BE491" s="136"/>
      <c r="BF491" s="136"/>
      <c r="BG491" s="136"/>
      <c r="BH491" s="136"/>
      <c r="BI491" s="136"/>
    </row>
    <row r="492" spans="1:61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136"/>
      <c r="BD492" s="136"/>
      <c r="BE492" s="136"/>
      <c r="BF492" s="136"/>
      <c r="BG492" s="136"/>
      <c r="BH492" s="136"/>
      <c r="BI492" s="136"/>
    </row>
    <row r="493" spans="1:61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136"/>
      <c r="BD493" s="136"/>
      <c r="BE493" s="136"/>
      <c r="BF493" s="136"/>
      <c r="BG493" s="136"/>
      <c r="BH493" s="136"/>
      <c r="BI493" s="136"/>
    </row>
    <row r="494" spans="1:61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136"/>
      <c r="BD494" s="136"/>
      <c r="BE494" s="136"/>
      <c r="BF494" s="136"/>
      <c r="BG494" s="136"/>
      <c r="BH494" s="136"/>
      <c r="BI494" s="136"/>
    </row>
    <row r="495" spans="1:61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136"/>
      <c r="BD495" s="136"/>
      <c r="BE495" s="136"/>
      <c r="BF495" s="136"/>
      <c r="BG495" s="136"/>
      <c r="BH495" s="136"/>
      <c r="BI495" s="136"/>
    </row>
    <row r="496" spans="1:61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136"/>
      <c r="BD496" s="136"/>
      <c r="BE496" s="136"/>
      <c r="BF496" s="136"/>
      <c r="BG496" s="136"/>
      <c r="BH496" s="136"/>
      <c r="BI496" s="136"/>
    </row>
    <row r="497" spans="1:61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36"/>
      <c r="AE497" s="136"/>
      <c r="AF497" s="136"/>
      <c r="AG497" s="136"/>
      <c r="AH497" s="136"/>
      <c r="AI497" s="136"/>
      <c r="AJ497" s="136"/>
      <c r="AK497" s="136"/>
      <c r="AL497" s="136"/>
      <c r="AM497" s="136"/>
      <c r="AN497" s="136"/>
      <c r="AO497" s="136"/>
      <c r="AP497" s="136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136"/>
      <c r="BD497" s="136"/>
      <c r="BE497" s="136"/>
      <c r="BF497" s="136"/>
      <c r="BG497" s="136"/>
      <c r="BH497" s="136"/>
      <c r="BI497" s="136"/>
    </row>
    <row r="498" spans="1:61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36"/>
      <c r="AE498" s="136"/>
      <c r="AF498" s="136"/>
      <c r="AG498" s="136"/>
      <c r="AH498" s="136"/>
      <c r="AI498" s="136"/>
      <c r="AJ498" s="136"/>
      <c r="AK498" s="136"/>
      <c r="AL498" s="136"/>
      <c r="AM498" s="136"/>
      <c r="AN498" s="136"/>
      <c r="AO498" s="136"/>
      <c r="AP498" s="136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136"/>
      <c r="BD498" s="136"/>
      <c r="BE498" s="136"/>
      <c r="BF498" s="136"/>
      <c r="BG498" s="136"/>
      <c r="BH498" s="136"/>
      <c r="BI498" s="136"/>
    </row>
    <row r="499" spans="1:61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36"/>
      <c r="AE499" s="136"/>
      <c r="AF499" s="136"/>
      <c r="AG499" s="136"/>
      <c r="AH499" s="136"/>
      <c r="AI499" s="136"/>
      <c r="AJ499" s="136"/>
      <c r="AK499" s="136"/>
      <c r="AL499" s="136"/>
      <c r="AM499" s="136"/>
      <c r="AN499" s="136"/>
      <c r="AO499" s="136"/>
      <c r="AP499" s="136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136"/>
      <c r="BD499" s="136"/>
      <c r="BE499" s="136"/>
      <c r="BF499" s="136"/>
      <c r="BG499" s="136"/>
      <c r="BH499" s="136"/>
      <c r="BI499" s="136"/>
    </row>
    <row r="500" spans="1:61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136"/>
      <c r="BD500" s="136"/>
      <c r="BE500" s="136"/>
      <c r="BF500" s="136"/>
      <c r="BG500" s="136"/>
      <c r="BH500" s="136"/>
      <c r="BI500" s="136"/>
    </row>
    <row r="501" spans="1:61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136"/>
      <c r="BD501" s="136"/>
      <c r="BE501" s="136"/>
      <c r="BF501" s="136"/>
      <c r="BG501" s="136"/>
      <c r="BH501" s="136"/>
      <c r="BI501" s="136"/>
    </row>
    <row r="502" spans="1:61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  <c r="AA502" s="136"/>
      <c r="AB502" s="136"/>
      <c r="AC502" s="136"/>
      <c r="AD502" s="136"/>
      <c r="AE502" s="136"/>
      <c r="AF502" s="136"/>
      <c r="AG502" s="136"/>
      <c r="AH502" s="136"/>
      <c r="AI502" s="136"/>
      <c r="AJ502" s="136"/>
      <c r="AK502" s="136"/>
      <c r="AL502" s="136"/>
      <c r="AM502" s="136"/>
      <c r="AN502" s="136"/>
      <c r="AO502" s="136"/>
      <c r="AP502" s="136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136"/>
      <c r="BD502" s="136"/>
      <c r="BE502" s="136"/>
      <c r="BF502" s="136"/>
      <c r="BG502" s="136"/>
      <c r="BH502" s="136"/>
      <c r="BI502" s="136"/>
    </row>
    <row r="503" spans="1:61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136"/>
      <c r="BD503" s="136"/>
      <c r="BE503" s="136"/>
      <c r="BF503" s="136"/>
      <c r="BG503" s="136"/>
      <c r="BH503" s="136"/>
      <c r="BI503" s="136"/>
    </row>
    <row r="504" spans="1:61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  <c r="BI504" s="136"/>
    </row>
    <row r="505" spans="1:61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36"/>
      <c r="AE505" s="136"/>
      <c r="AF505" s="136"/>
      <c r="AG505" s="136"/>
      <c r="AH505" s="136"/>
      <c r="AI505" s="136"/>
      <c r="AJ505" s="136"/>
      <c r="AK505" s="136"/>
      <c r="AL505" s="136"/>
      <c r="AM505" s="136"/>
      <c r="AN505" s="136"/>
      <c r="AO505" s="136"/>
      <c r="AP505" s="136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136"/>
      <c r="BD505" s="136"/>
      <c r="BE505" s="136"/>
      <c r="BF505" s="136"/>
      <c r="BG505" s="136"/>
      <c r="BH505" s="136"/>
      <c r="BI505" s="136"/>
    </row>
    <row r="506" spans="1:61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36"/>
      <c r="AE506" s="136"/>
      <c r="AF506" s="136"/>
      <c r="AG506" s="136"/>
      <c r="AH506" s="136"/>
      <c r="AI506" s="136"/>
      <c r="AJ506" s="136"/>
      <c r="AK506" s="136"/>
      <c r="AL506" s="136"/>
      <c r="AM506" s="136"/>
      <c r="AN506" s="136"/>
      <c r="AO506" s="136"/>
      <c r="AP506" s="136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136"/>
      <c r="BD506" s="136"/>
      <c r="BE506" s="136"/>
      <c r="BF506" s="136"/>
      <c r="BG506" s="136"/>
      <c r="BH506" s="136"/>
      <c r="BI506" s="136"/>
    </row>
    <row r="507" spans="1:61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136"/>
      <c r="BD507" s="136"/>
      <c r="BE507" s="136"/>
      <c r="BF507" s="136"/>
      <c r="BG507" s="136"/>
      <c r="BH507" s="136"/>
      <c r="BI507" s="136"/>
    </row>
    <row r="508" spans="1:61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36"/>
      <c r="AE508" s="136"/>
      <c r="AF508" s="136"/>
      <c r="AG508" s="136"/>
      <c r="AH508" s="136"/>
      <c r="AI508" s="136"/>
      <c r="AJ508" s="136"/>
      <c r="AK508" s="136"/>
      <c r="AL508" s="136"/>
      <c r="AM508" s="136"/>
      <c r="AN508" s="136"/>
      <c r="AO508" s="136"/>
      <c r="AP508" s="136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136"/>
      <c r="BD508" s="136"/>
      <c r="BE508" s="136"/>
      <c r="BF508" s="136"/>
      <c r="BG508" s="136"/>
      <c r="BH508" s="136"/>
      <c r="BI508" s="136"/>
    </row>
    <row r="509" spans="1:61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136"/>
      <c r="AE509" s="136"/>
      <c r="AF509" s="136"/>
      <c r="AG509" s="136"/>
      <c r="AH509" s="136"/>
      <c r="AI509" s="136"/>
      <c r="AJ509" s="136"/>
      <c r="AK509" s="136"/>
      <c r="AL509" s="136"/>
      <c r="AM509" s="136"/>
      <c r="AN509" s="136"/>
      <c r="AO509" s="136"/>
      <c r="AP509" s="136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136"/>
      <c r="BD509" s="136"/>
      <c r="BE509" s="136"/>
      <c r="BF509" s="136"/>
      <c r="BG509" s="136"/>
      <c r="BH509" s="136"/>
      <c r="BI509" s="136"/>
    </row>
    <row r="510" spans="1:61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36"/>
      <c r="AE510" s="136"/>
      <c r="AF510" s="136"/>
      <c r="AG510" s="136"/>
      <c r="AH510" s="136"/>
      <c r="AI510" s="136"/>
      <c r="AJ510" s="136"/>
      <c r="AK510" s="136"/>
      <c r="AL510" s="136"/>
      <c r="AM510" s="136"/>
      <c r="AN510" s="136"/>
      <c r="AO510" s="136"/>
      <c r="AP510" s="136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136"/>
      <c r="BD510" s="136"/>
      <c r="BE510" s="136"/>
      <c r="BF510" s="136"/>
      <c r="BG510" s="136"/>
      <c r="BH510" s="136"/>
      <c r="BI510" s="136"/>
    </row>
    <row r="511" spans="1:61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  <c r="AA511" s="136"/>
      <c r="AB511" s="136"/>
      <c r="AC511" s="136"/>
      <c r="AD511" s="136"/>
      <c r="AE511" s="136"/>
      <c r="AF511" s="136"/>
      <c r="AG511" s="136"/>
      <c r="AH511" s="136"/>
      <c r="AI511" s="136"/>
      <c r="AJ511" s="136"/>
      <c r="AK511" s="136"/>
      <c r="AL511" s="136"/>
      <c r="AM511" s="136"/>
      <c r="AN511" s="136"/>
      <c r="AO511" s="136"/>
      <c r="AP511" s="136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136"/>
      <c r="BD511" s="136"/>
      <c r="BE511" s="136"/>
      <c r="BF511" s="136"/>
      <c r="BG511" s="136"/>
      <c r="BH511" s="136"/>
      <c r="BI511" s="136"/>
    </row>
    <row r="512" spans="1:61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  <c r="AA512" s="136"/>
      <c r="AB512" s="136"/>
      <c r="AC512" s="136"/>
      <c r="AD512" s="136"/>
      <c r="AE512" s="136"/>
      <c r="AF512" s="136"/>
      <c r="AG512" s="136"/>
      <c r="AH512" s="136"/>
      <c r="AI512" s="136"/>
      <c r="AJ512" s="136"/>
      <c r="AK512" s="136"/>
      <c r="AL512" s="136"/>
      <c r="AM512" s="136"/>
      <c r="AN512" s="136"/>
      <c r="AO512" s="136"/>
      <c r="AP512" s="136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136"/>
      <c r="BD512" s="136"/>
      <c r="BE512" s="136"/>
      <c r="BF512" s="136"/>
      <c r="BG512" s="136"/>
      <c r="BH512" s="136"/>
      <c r="BI512" s="136"/>
    </row>
    <row r="513" spans="1:61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  <c r="AA513" s="136"/>
      <c r="AB513" s="136"/>
      <c r="AC513" s="136"/>
      <c r="AD513" s="136"/>
      <c r="AE513" s="136"/>
      <c r="AF513" s="136"/>
      <c r="AG513" s="136"/>
      <c r="AH513" s="136"/>
      <c r="AI513" s="136"/>
      <c r="AJ513" s="136"/>
      <c r="AK513" s="136"/>
      <c r="AL513" s="136"/>
      <c r="AM513" s="136"/>
      <c r="AN513" s="136"/>
      <c r="AO513" s="136"/>
      <c r="AP513" s="136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136"/>
      <c r="BD513" s="136"/>
      <c r="BE513" s="136"/>
      <c r="BF513" s="136"/>
      <c r="BG513" s="136"/>
      <c r="BH513" s="136"/>
      <c r="BI513" s="136"/>
    </row>
    <row r="514" spans="1:61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  <c r="AA514" s="136"/>
      <c r="AB514" s="136"/>
      <c r="AC514" s="136"/>
      <c r="AD514" s="136"/>
      <c r="AE514" s="136"/>
      <c r="AF514" s="136"/>
      <c r="AG514" s="136"/>
      <c r="AH514" s="136"/>
      <c r="AI514" s="136"/>
      <c r="AJ514" s="136"/>
      <c r="AK514" s="136"/>
      <c r="AL514" s="136"/>
      <c r="AM514" s="136"/>
      <c r="AN514" s="136"/>
      <c r="AO514" s="136"/>
      <c r="AP514" s="136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136"/>
      <c r="BD514" s="136"/>
      <c r="BE514" s="136"/>
      <c r="BF514" s="136"/>
      <c r="BG514" s="136"/>
      <c r="BH514" s="136"/>
      <c r="BI514" s="136"/>
    </row>
    <row r="515" spans="1:61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  <c r="AA515" s="136"/>
      <c r="AB515" s="136"/>
      <c r="AC515" s="136"/>
      <c r="AD515" s="136"/>
      <c r="AE515" s="136"/>
      <c r="AF515" s="136"/>
      <c r="AG515" s="136"/>
      <c r="AH515" s="136"/>
      <c r="AI515" s="136"/>
      <c r="AJ515" s="136"/>
      <c r="AK515" s="136"/>
      <c r="AL515" s="136"/>
      <c r="AM515" s="136"/>
      <c r="AN515" s="136"/>
      <c r="AO515" s="136"/>
      <c r="AP515" s="136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136"/>
      <c r="BD515" s="136"/>
      <c r="BE515" s="136"/>
      <c r="BF515" s="136"/>
      <c r="BG515" s="136"/>
      <c r="BH515" s="136"/>
      <c r="BI515" s="136"/>
    </row>
    <row r="516" spans="1:61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  <c r="AA516" s="136"/>
      <c r="AB516" s="136"/>
      <c r="AC516" s="136"/>
      <c r="AD516" s="136"/>
      <c r="AE516" s="136"/>
      <c r="AF516" s="136"/>
      <c r="AG516" s="136"/>
      <c r="AH516" s="136"/>
      <c r="AI516" s="136"/>
      <c r="AJ516" s="136"/>
      <c r="AK516" s="136"/>
      <c r="AL516" s="136"/>
      <c r="AM516" s="136"/>
      <c r="AN516" s="136"/>
      <c r="AO516" s="136"/>
      <c r="AP516" s="136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136"/>
      <c r="BD516" s="136"/>
      <c r="BE516" s="136"/>
      <c r="BF516" s="136"/>
      <c r="BG516" s="136"/>
      <c r="BH516" s="136"/>
      <c r="BI516" s="136"/>
    </row>
    <row r="517" spans="1:61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  <c r="AA517" s="136"/>
      <c r="AB517" s="136"/>
      <c r="AC517" s="136"/>
      <c r="AD517" s="136"/>
      <c r="AE517" s="136"/>
      <c r="AF517" s="136"/>
      <c r="AG517" s="136"/>
      <c r="AH517" s="136"/>
      <c r="AI517" s="136"/>
      <c r="AJ517" s="136"/>
      <c r="AK517" s="136"/>
      <c r="AL517" s="136"/>
      <c r="AM517" s="136"/>
      <c r="AN517" s="136"/>
      <c r="AO517" s="136"/>
      <c r="AP517" s="136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136"/>
      <c r="BD517" s="136"/>
      <c r="BE517" s="136"/>
      <c r="BF517" s="136"/>
      <c r="BG517" s="136"/>
      <c r="BH517" s="136"/>
      <c r="BI517" s="136"/>
    </row>
    <row r="518" spans="1:61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  <c r="AA518" s="136"/>
      <c r="AB518" s="136"/>
      <c r="AC518" s="136"/>
      <c r="AD518" s="136"/>
      <c r="AE518" s="136"/>
      <c r="AF518" s="136"/>
      <c r="AG518" s="136"/>
      <c r="AH518" s="136"/>
      <c r="AI518" s="136"/>
      <c r="AJ518" s="136"/>
      <c r="AK518" s="136"/>
      <c r="AL518" s="136"/>
      <c r="AM518" s="136"/>
      <c r="AN518" s="136"/>
      <c r="AO518" s="136"/>
      <c r="AP518" s="136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136"/>
      <c r="BD518" s="136"/>
      <c r="BE518" s="136"/>
      <c r="BF518" s="136"/>
      <c r="BG518" s="136"/>
      <c r="BH518" s="136"/>
      <c r="BI518" s="136"/>
    </row>
    <row r="519" spans="1:61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  <c r="AA519" s="136"/>
      <c r="AB519" s="136"/>
      <c r="AC519" s="136"/>
      <c r="AD519" s="136"/>
      <c r="AE519" s="136"/>
      <c r="AF519" s="136"/>
      <c r="AG519" s="136"/>
      <c r="AH519" s="136"/>
      <c r="AI519" s="136"/>
      <c r="AJ519" s="136"/>
      <c r="AK519" s="136"/>
      <c r="AL519" s="136"/>
      <c r="AM519" s="136"/>
      <c r="AN519" s="136"/>
      <c r="AO519" s="136"/>
      <c r="AP519" s="136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136"/>
      <c r="BD519" s="136"/>
      <c r="BE519" s="136"/>
      <c r="BF519" s="136"/>
      <c r="BG519" s="136"/>
      <c r="BH519" s="136"/>
      <c r="BI519" s="136"/>
    </row>
    <row r="520" spans="1:61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  <c r="AA520" s="136"/>
      <c r="AB520" s="136"/>
      <c r="AC520" s="136"/>
      <c r="AD520" s="136"/>
      <c r="AE520" s="136"/>
      <c r="AF520" s="136"/>
      <c r="AG520" s="136"/>
      <c r="AH520" s="136"/>
      <c r="AI520" s="136"/>
      <c r="AJ520" s="136"/>
      <c r="AK520" s="136"/>
      <c r="AL520" s="136"/>
      <c r="AM520" s="136"/>
      <c r="AN520" s="136"/>
      <c r="AO520" s="136"/>
      <c r="AP520" s="136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136"/>
      <c r="BD520" s="136"/>
      <c r="BE520" s="136"/>
      <c r="BF520" s="136"/>
      <c r="BG520" s="136"/>
      <c r="BH520" s="136"/>
      <c r="BI520" s="136"/>
    </row>
    <row r="521" spans="1:61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  <c r="AA521" s="136"/>
      <c r="AB521" s="136"/>
      <c r="AC521" s="136"/>
      <c r="AD521" s="136"/>
      <c r="AE521" s="136"/>
      <c r="AF521" s="136"/>
      <c r="AG521" s="136"/>
      <c r="AH521" s="136"/>
      <c r="AI521" s="136"/>
      <c r="AJ521" s="136"/>
      <c r="AK521" s="136"/>
      <c r="AL521" s="136"/>
      <c r="AM521" s="136"/>
      <c r="AN521" s="136"/>
      <c r="AO521" s="136"/>
      <c r="AP521" s="136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136"/>
      <c r="BD521" s="136"/>
      <c r="BE521" s="136"/>
      <c r="BF521" s="136"/>
      <c r="BG521" s="136"/>
      <c r="BH521" s="136"/>
      <c r="BI521" s="136"/>
    </row>
    <row r="522" spans="1:61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  <c r="AA522" s="136"/>
      <c r="AB522" s="136"/>
      <c r="AC522" s="136"/>
      <c r="AD522" s="136"/>
      <c r="AE522" s="136"/>
      <c r="AF522" s="136"/>
      <c r="AG522" s="136"/>
      <c r="AH522" s="136"/>
      <c r="AI522" s="136"/>
      <c r="AJ522" s="136"/>
      <c r="AK522" s="136"/>
      <c r="AL522" s="136"/>
      <c r="AM522" s="136"/>
      <c r="AN522" s="136"/>
      <c r="AO522" s="136"/>
      <c r="AP522" s="136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136"/>
      <c r="BD522" s="136"/>
      <c r="BE522" s="136"/>
      <c r="BF522" s="136"/>
      <c r="BG522" s="136"/>
      <c r="BH522" s="136"/>
      <c r="BI522" s="136"/>
    </row>
    <row r="523" spans="1:61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  <c r="AA523" s="136"/>
      <c r="AB523" s="136"/>
      <c r="AC523" s="136"/>
      <c r="AD523" s="136"/>
      <c r="AE523" s="136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  <c r="AP523" s="136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136"/>
      <c r="BD523" s="136"/>
      <c r="BE523" s="136"/>
      <c r="BF523" s="136"/>
      <c r="BG523" s="136"/>
      <c r="BH523" s="136"/>
      <c r="BI523" s="136"/>
    </row>
    <row r="524" spans="1:61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  <c r="AA524" s="136"/>
      <c r="AB524" s="136"/>
      <c r="AC524" s="136"/>
      <c r="AD524" s="136"/>
      <c r="AE524" s="136"/>
      <c r="AF524" s="136"/>
      <c r="AG524" s="136"/>
      <c r="AH524" s="136"/>
      <c r="AI524" s="136"/>
      <c r="AJ524" s="136"/>
      <c r="AK524" s="136"/>
      <c r="AL524" s="136"/>
      <c r="AM524" s="136"/>
      <c r="AN524" s="136"/>
      <c r="AO524" s="136"/>
      <c r="AP524" s="136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136"/>
      <c r="BD524" s="136"/>
      <c r="BE524" s="136"/>
      <c r="BF524" s="136"/>
      <c r="BG524" s="136"/>
      <c r="BH524" s="136"/>
      <c r="BI524" s="136"/>
    </row>
    <row r="525" spans="1:61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  <c r="AA525" s="136"/>
      <c r="AB525" s="136"/>
      <c r="AC525" s="136"/>
      <c r="AD525" s="136"/>
      <c r="AE525" s="136"/>
      <c r="AF525" s="136"/>
      <c r="AG525" s="136"/>
      <c r="AH525" s="136"/>
      <c r="AI525" s="136"/>
      <c r="AJ525" s="136"/>
      <c r="AK525" s="136"/>
      <c r="AL525" s="136"/>
      <c r="AM525" s="136"/>
      <c r="AN525" s="136"/>
      <c r="AO525" s="136"/>
      <c r="AP525" s="136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136"/>
      <c r="BD525" s="136"/>
      <c r="BE525" s="136"/>
      <c r="BF525" s="136"/>
      <c r="BG525" s="136"/>
      <c r="BH525" s="136"/>
      <c r="BI525" s="136"/>
    </row>
    <row r="526" spans="1:61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  <c r="AA526" s="136"/>
      <c r="AB526" s="136"/>
      <c r="AC526" s="136"/>
      <c r="AD526" s="136"/>
      <c r="AE526" s="136"/>
      <c r="AF526" s="136"/>
      <c r="AG526" s="136"/>
      <c r="AH526" s="136"/>
      <c r="AI526" s="136"/>
      <c r="AJ526" s="136"/>
      <c r="AK526" s="136"/>
      <c r="AL526" s="136"/>
      <c r="AM526" s="136"/>
      <c r="AN526" s="136"/>
      <c r="AO526" s="136"/>
      <c r="AP526" s="136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136"/>
      <c r="BD526" s="136"/>
      <c r="BE526" s="136"/>
      <c r="BF526" s="136"/>
      <c r="BG526" s="136"/>
      <c r="BH526" s="136"/>
      <c r="BI526" s="136"/>
    </row>
    <row r="527" spans="1:61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136"/>
      <c r="BD527" s="136"/>
      <c r="BE527" s="136"/>
      <c r="BF527" s="136"/>
      <c r="BG527" s="136"/>
      <c r="BH527" s="136"/>
      <c r="BI527" s="136"/>
    </row>
    <row r="528" spans="1:61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  <c r="AA528" s="136"/>
      <c r="AB528" s="136"/>
      <c r="AC528" s="136"/>
      <c r="AD528" s="136"/>
      <c r="AE528" s="136"/>
      <c r="AF528" s="136"/>
      <c r="AG528" s="136"/>
      <c r="AH528" s="136"/>
      <c r="AI528" s="136"/>
      <c r="AJ528" s="136"/>
      <c r="AK528" s="136"/>
      <c r="AL528" s="136"/>
      <c r="AM528" s="136"/>
      <c r="AN528" s="136"/>
      <c r="AO528" s="136"/>
      <c r="AP528" s="136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136"/>
      <c r="BD528" s="136"/>
      <c r="BE528" s="136"/>
      <c r="BF528" s="136"/>
      <c r="BG528" s="136"/>
      <c r="BH528" s="136"/>
      <c r="BI528" s="136"/>
    </row>
    <row r="529" spans="1:61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  <c r="AA529" s="136"/>
      <c r="AB529" s="136"/>
      <c r="AC529" s="136"/>
      <c r="AD529" s="136"/>
      <c r="AE529" s="136"/>
      <c r="AF529" s="136"/>
      <c r="AG529" s="136"/>
      <c r="AH529" s="136"/>
      <c r="AI529" s="136"/>
      <c r="AJ529" s="136"/>
      <c r="AK529" s="136"/>
      <c r="AL529" s="136"/>
      <c r="AM529" s="136"/>
      <c r="AN529" s="136"/>
      <c r="AO529" s="136"/>
      <c r="AP529" s="136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136"/>
      <c r="BD529" s="136"/>
      <c r="BE529" s="136"/>
      <c r="BF529" s="136"/>
      <c r="BG529" s="136"/>
      <c r="BH529" s="136"/>
      <c r="BI529" s="136"/>
    </row>
    <row r="530" spans="1:61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136"/>
      <c r="BD530" s="136"/>
      <c r="BE530" s="136"/>
      <c r="BF530" s="136"/>
      <c r="BG530" s="136"/>
      <c r="BH530" s="136"/>
      <c r="BI530" s="136"/>
    </row>
    <row r="531" spans="1:61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  <c r="AA531" s="136"/>
      <c r="AB531" s="136"/>
      <c r="AC531" s="136"/>
      <c r="AD531" s="136"/>
      <c r="AE531" s="136"/>
      <c r="AF531" s="136"/>
      <c r="AG531" s="136"/>
      <c r="AH531" s="136"/>
      <c r="AI531" s="136"/>
      <c r="AJ531" s="136"/>
      <c r="AK531" s="136"/>
      <c r="AL531" s="136"/>
      <c r="AM531" s="136"/>
      <c r="AN531" s="136"/>
      <c r="AO531" s="136"/>
      <c r="AP531" s="136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136"/>
      <c r="BD531" s="136"/>
      <c r="BE531" s="136"/>
      <c r="BF531" s="136"/>
      <c r="BG531" s="136"/>
      <c r="BH531" s="136"/>
      <c r="BI531" s="136"/>
    </row>
    <row r="532" spans="1:61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  <c r="AA532" s="136"/>
      <c r="AB532" s="136"/>
      <c r="AC532" s="136"/>
      <c r="AD532" s="136"/>
      <c r="AE532" s="136"/>
      <c r="AF532" s="136"/>
      <c r="AG532" s="136"/>
      <c r="AH532" s="136"/>
      <c r="AI532" s="136"/>
      <c r="AJ532" s="136"/>
      <c r="AK532" s="136"/>
      <c r="AL532" s="136"/>
      <c r="AM532" s="136"/>
      <c r="AN532" s="136"/>
      <c r="AO532" s="136"/>
      <c r="AP532" s="136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136"/>
      <c r="BD532" s="136"/>
      <c r="BE532" s="136"/>
      <c r="BF532" s="136"/>
      <c r="BG532" s="136"/>
      <c r="BH532" s="136"/>
      <c r="BI532" s="136"/>
    </row>
    <row r="533" spans="1:61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136"/>
      <c r="BD533" s="136"/>
      <c r="BE533" s="136"/>
      <c r="BF533" s="136"/>
      <c r="BG533" s="136"/>
      <c r="BH533" s="136"/>
      <c r="BI533" s="136"/>
    </row>
    <row r="534" spans="1:61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  <c r="AA534" s="136"/>
      <c r="AB534" s="136"/>
      <c r="AC534" s="136"/>
      <c r="AD534" s="136"/>
      <c r="AE534" s="136"/>
      <c r="AF534" s="136"/>
      <c r="AG534" s="136"/>
      <c r="AH534" s="136"/>
      <c r="AI534" s="136"/>
      <c r="AJ534" s="136"/>
      <c r="AK534" s="136"/>
      <c r="AL534" s="136"/>
      <c r="AM534" s="136"/>
      <c r="AN534" s="136"/>
      <c r="AO534" s="136"/>
      <c r="AP534" s="136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136"/>
      <c r="BD534" s="136"/>
      <c r="BE534" s="136"/>
      <c r="BF534" s="136"/>
      <c r="BG534" s="136"/>
      <c r="BH534" s="136"/>
      <c r="BI534" s="136"/>
    </row>
    <row r="535" spans="1:61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  <c r="AA535" s="136"/>
      <c r="AB535" s="136"/>
      <c r="AC535" s="136"/>
      <c r="AD535" s="136"/>
      <c r="AE535" s="136"/>
      <c r="AF535" s="136"/>
      <c r="AG535" s="136"/>
      <c r="AH535" s="136"/>
      <c r="AI535" s="136"/>
      <c r="AJ535" s="136"/>
      <c r="AK535" s="136"/>
      <c r="AL535" s="136"/>
      <c r="AM535" s="136"/>
      <c r="AN535" s="136"/>
      <c r="AO535" s="136"/>
      <c r="AP535" s="136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136"/>
      <c r="BD535" s="136"/>
      <c r="BE535" s="136"/>
      <c r="BF535" s="136"/>
      <c r="BG535" s="136"/>
      <c r="BH535" s="136"/>
      <c r="BI535" s="136"/>
    </row>
    <row r="536" spans="1:61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136"/>
      <c r="BD536" s="136"/>
      <c r="BE536" s="136"/>
      <c r="BF536" s="136"/>
      <c r="BG536" s="136"/>
      <c r="BH536" s="136"/>
      <c r="BI536" s="136"/>
    </row>
    <row r="537" spans="1:61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  <c r="AA537" s="136"/>
      <c r="AB537" s="136"/>
      <c r="AC537" s="136"/>
      <c r="AD537" s="136"/>
      <c r="AE537" s="136"/>
      <c r="AF537" s="136"/>
      <c r="AG537" s="136"/>
      <c r="AH537" s="136"/>
      <c r="AI537" s="136"/>
      <c r="AJ537" s="136"/>
      <c r="AK537" s="136"/>
      <c r="AL537" s="136"/>
      <c r="AM537" s="136"/>
      <c r="AN537" s="136"/>
      <c r="AO537" s="136"/>
      <c r="AP537" s="136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136"/>
      <c r="BD537" s="136"/>
      <c r="BE537" s="136"/>
      <c r="BF537" s="136"/>
      <c r="BG537" s="136"/>
      <c r="BH537" s="136"/>
      <c r="BI537" s="136"/>
    </row>
    <row r="538" spans="1:61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  <c r="AA538" s="136"/>
      <c r="AB538" s="136"/>
      <c r="AC538" s="136"/>
      <c r="AD538" s="136"/>
      <c r="AE538" s="136"/>
      <c r="AF538" s="136"/>
      <c r="AG538" s="136"/>
      <c r="AH538" s="136"/>
      <c r="AI538" s="136"/>
      <c r="AJ538" s="136"/>
      <c r="AK538" s="136"/>
      <c r="AL538" s="136"/>
      <c r="AM538" s="136"/>
      <c r="AN538" s="136"/>
      <c r="AO538" s="136"/>
      <c r="AP538" s="136"/>
      <c r="AQ538" s="136"/>
      <c r="AR538" s="136"/>
      <c r="AS538" s="136"/>
      <c r="AT538" s="136"/>
      <c r="AU538" s="136"/>
      <c r="AV538" s="136"/>
      <c r="AW538" s="136"/>
      <c r="AX538" s="136"/>
      <c r="AY538" s="136"/>
      <c r="AZ538" s="136"/>
      <c r="BA538" s="136"/>
      <c r="BB538" s="136"/>
      <c r="BC538" s="136"/>
      <c r="BD538" s="136"/>
      <c r="BE538" s="136"/>
      <c r="BF538" s="136"/>
      <c r="BG538" s="136"/>
      <c r="BH538" s="136"/>
      <c r="BI538" s="136"/>
    </row>
    <row r="539" spans="1:61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  <c r="AA539" s="136"/>
      <c r="AB539" s="136"/>
      <c r="AC539" s="136"/>
      <c r="AD539" s="136"/>
      <c r="AE539" s="136"/>
      <c r="AF539" s="136"/>
      <c r="AG539" s="136"/>
      <c r="AH539" s="136"/>
      <c r="AI539" s="136"/>
      <c r="AJ539" s="136"/>
      <c r="AK539" s="136"/>
      <c r="AL539" s="136"/>
      <c r="AM539" s="136"/>
      <c r="AN539" s="136"/>
      <c r="AO539" s="136"/>
      <c r="AP539" s="136"/>
      <c r="AQ539" s="136"/>
      <c r="AR539" s="136"/>
      <c r="AS539" s="136"/>
      <c r="AT539" s="136"/>
      <c r="AU539" s="136"/>
      <c r="AV539" s="136"/>
      <c r="AW539" s="136"/>
      <c r="AX539" s="136"/>
      <c r="AY539" s="136"/>
      <c r="AZ539" s="136"/>
      <c r="BA539" s="136"/>
      <c r="BB539" s="136"/>
      <c r="BC539" s="136"/>
      <c r="BD539" s="136"/>
      <c r="BE539" s="136"/>
      <c r="BF539" s="136"/>
      <c r="BG539" s="136"/>
      <c r="BH539" s="136"/>
      <c r="BI539" s="136"/>
    </row>
    <row r="540" spans="1:61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  <c r="AA540" s="136"/>
      <c r="AB540" s="136"/>
      <c r="AC540" s="136"/>
      <c r="AD540" s="136"/>
      <c r="AE540" s="136"/>
      <c r="AF540" s="136"/>
      <c r="AG540" s="136"/>
      <c r="AH540" s="136"/>
      <c r="AI540" s="136"/>
      <c r="AJ540" s="136"/>
      <c r="AK540" s="136"/>
      <c r="AL540" s="136"/>
      <c r="AM540" s="136"/>
      <c r="AN540" s="136"/>
      <c r="AO540" s="136"/>
      <c r="AP540" s="136"/>
      <c r="AQ540" s="136"/>
      <c r="AR540" s="136"/>
      <c r="AS540" s="136"/>
      <c r="AT540" s="136"/>
      <c r="AU540" s="136"/>
      <c r="AV540" s="136"/>
      <c r="AW540" s="136"/>
      <c r="AX540" s="136"/>
      <c r="AY540" s="136"/>
      <c r="AZ540" s="136"/>
      <c r="BA540" s="136"/>
      <c r="BB540" s="136"/>
      <c r="BC540" s="136"/>
      <c r="BD540" s="136"/>
      <c r="BE540" s="136"/>
      <c r="BF540" s="136"/>
      <c r="BG540" s="136"/>
      <c r="BH540" s="136"/>
      <c r="BI540" s="136"/>
    </row>
    <row r="541" spans="1:61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  <c r="AA541" s="136"/>
      <c r="AB541" s="136"/>
      <c r="AC541" s="136"/>
      <c r="AD541" s="136"/>
      <c r="AE541" s="136"/>
      <c r="AF541" s="136"/>
      <c r="AG541" s="136"/>
      <c r="AH541" s="136"/>
      <c r="AI541" s="136"/>
      <c r="AJ541" s="136"/>
      <c r="AK541" s="136"/>
      <c r="AL541" s="136"/>
      <c r="AM541" s="136"/>
      <c r="AN541" s="136"/>
      <c r="AO541" s="136"/>
      <c r="AP541" s="136"/>
      <c r="AQ541" s="136"/>
      <c r="AR541" s="136"/>
      <c r="AS541" s="136"/>
      <c r="AT541" s="136"/>
      <c r="AU541" s="136"/>
      <c r="AV541" s="136"/>
      <c r="AW541" s="136"/>
      <c r="AX541" s="136"/>
      <c r="AY541" s="136"/>
      <c r="AZ541" s="136"/>
      <c r="BA541" s="136"/>
      <c r="BB541" s="136"/>
      <c r="BC541" s="136"/>
      <c r="BD541" s="136"/>
      <c r="BE541" s="136"/>
      <c r="BF541" s="136"/>
      <c r="BG541" s="136"/>
      <c r="BH541" s="136"/>
      <c r="BI541" s="136"/>
    </row>
    <row r="542" spans="1:61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  <c r="AA542" s="136"/>
      <c r="AB542" s="136"/>
      <c r="AC542" s="136"/>
      <c r="AD542" s="136"/>
      <c r="AE542" s="136"/>
      <c r="AF542" s="136"/>
      <c r="AG542" s="136"/>
      <c r="AH542" s="136"/>
      <c r="AI542" s="136"/>
      <c r="AJ542" s="136"/>
      <c r="AK542" s="136"/>
      <c r="AL542" s="136"/>
      <c r="AM542" s="136"/>
      <c r="AN542" s="136"/>
      <c r="AO542" s="136"/>
      <c r="AP542" s="136"/>
      <c r="AQ542" s="136"/>
      <c r="AR542" s="136"/>
      <c r="AS542" s="136"/>
      <c r="AT542" s="136"/>
      <c r="AU542" s="136"/>
      <c r="AV542" s="136"/>
      <c r="AW542" s="136"/>
      <c r="AX542" s="136"/>
      <c r="AY542" s="136"/>
      <c r="AZ542" s="136"/>
      <c r="BA542" s="136"/>
      <c r="BB542" s="136"/>
      <c r="BC542" s="136"/>
      <c r="BD542" s="136"/>
      <c r="BE542" s="136"/>
      <c r="BF542" s="136"/>
      <c r="BG542" s="136"/>
      <c r="BH542" s="136"/>
      <c r="BI542" s="136"/>
    </row>
    <row r="543" spans="1:61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  <c r="AA543" s="136"/>
      <c r="AB543" s="136"/>
      <c r="AC543" s="136"/>
      <c r="AD543" s="136"/>
      <c r="AE543" s="136"/>
      <c r="AF543" s="136"/>
      <c r="AG543" s="136"/>
      <c r="AH543" s="136"/>
      <c r="AI543" s="136"/>
      <c r="AJ543" s="136"/>
      <c r="AK543" s="136"/>
      <c r="AL543" s="136"/>
      <c r="AM543" s="136"/>
      <c r="AN543" s="136"/>
      <c r="AO543" s="136"/>
      <c r="AP543" s="136"/>
      <c r="AQ543" s="136"/>
      <c r="AR543" s="136"/>
      <c r="AS543" s="136"/>
      <c r="AT543" s="136"/>
      <c r="AU543" s="136"/>
      <c r="AV543" s="136"/>
      <c r="AW543" s="136"/>
      <c r="AX543" s="136"/>
      <c r="AY543" s="136"/>
      <c r="AZ543" s="136"/>
      <c r="BA543" s="136"/>
      <c r="BB543" s="136"/>
      <c r="BC543" s="136"/>
      <c r="BD543" s="136"/>
      <c r="BE543" s="136"/>
      <c r="BF543" s="136"/>
      <c r="BG543" s="136"/>
      <c r="BH543" s="136"/>
      <c r="BI543" s="136"/>
    </row>
    <row r="544" spans="1:61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  <c r="AA544" s="136"/>
      <c r="AB544" s="136"/>
      <c r="AC544" s="136"/>
      <c r="AD544" s="136"/>
      <c r="AE544" s="136"/>
      <c r="AF544" s="136"/>
      <c r="AG544" s="136"/>
      <c r="AH544" s="136"/>
      <c r="AI544" s="136"/>
      <c r="AJ544" s="136"/>
      <c r="AK544" s="136"/>
      <c r="AL544" s="136"/>
      <c r="AM544" s="136"/>
      <c r="AN544" s="136"/>
      <c r="AO544" s="136"/>
      <c r="AP544" s="136"/>
      <c r="AQ544" s="136"/>
      <c r="AR544" s="136"/>
      <c r="AS544" s="136"/>
      <c r="AT544" s="136"/>
      <c r="AU544" s="136"/>
      <c r="AV544" s="136"/>
      <c r="AW544" s="136"/>
      <c r="AX544" s="136"/>
      <c r="AY544" s="136"/>
      <c r="AZ544" s="136"/>
      <c r="BA544" s="136"/>
      <c r="BB544" s="136"/>
      <c r="BC544" s="136"/>
      <c r="BD544" s="136"/>
      <c r="BE544" s="136"/>
      <c r="BF544" s="136"/>
      <c r="BG544" s="136"/>
      <c r="BH544" s="136"/>
      <c r="BI544" s="136"/>
    </row>
    <row r="545" spans="1:61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  <c r="AA545" s="136"/>
      <c r="AB545" s="136"/>
      <c r="AC545" s="136"/>
      <c r="AD545" s="136"/>
      <c r="AE545" s="136"/>
      <c r="AF545" s="136"/>
      <c r="AG545" s="136"/>
      <c r="AH545" s="136"/>
      <c r="AI545" s="136"/>
      <c r="AJ545" s="136"/>
      <c r="AK545" s="136"/>
      <c r="AL545" s="136"/>
      <c r="AM545" s="136"/>
      <c r="AN545" s="136"/>
      <c r="AO545" s="136"/>
      <c r="AP545" s="136"/>
      <c r="AQ545" s="136"/>
      <c r="AR545" s="136"/>
      <c r="AS545" s="136"/>
      <c r="AT545" s="136"/>
      <c r="AU545" s="136"/>
      <c r="AV545" s="136"/>
      <c r="AW545" s="136"/>
      <c r="AX545" s="136"/>
      <c r="AY545" s="136"/>
      <c r="AZ545" s="136"/>
      <c r="BA545" s="136"/>
      <c r="BB545" s="136"/>
      <c r="BC545" s="136"/>
      <c r="BD545" s="136"/>
      <c r="BE545" s="136"/>
      <c r="BF545" s="136"/>
      <c r="BG545" s="136"/>
      <c r="BH545" s="136"/>
      <c r="BI545" s="136"/>
    </row>
    <row r="546" spans="1:61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  <c r="AA546" s="136"/>
      <c r="AB546" s="136"/>
      <c r="AC546" s="136"/>
      <c r="AD546" s="136"/>
      <c r="AE546" s="136"/>
      <c r="AF546" s="136"/>
      <c r="AG546" s="136"/>
      <c r="AH546" s="136"/>
      <c r="AI546" s="136"/>
      <c r="AJ546" s="136"/>
      <c r="AK546" s="136"/>
      <c r="AL546" s="136"/>
      <c r="AM546" s="136"/>
      <c r="AN546" s="136"/>
      <c r="AO546" s="136"/>
      <c r="AP546" s="136"/>
      <c r="AQ546" s="136"/>
      <c r="AR546" s="136"/>
      <c r="AS546" s="136"/>
      <c r="AT546" s="136"/>
      <c r="AU546" s="136"/>
      <c r="AV546" s="136"/>
      <c r="AW546" s="136"/>
      <c r="AX546" s="136"/>
      <c r="AY546" s="136"/>
      <c r="AZ546" s="136"/>
      <c r="BA546" s="136"/>
      <c r="BB546" s="136"/>
      <c r="BC546" s="136"/>
      <c r="BD546" s="136"/>
      <c r="BE546" s="136"/>
      <c r="BF546" s="136"/>
      <c r="BG546" s="136"/>
      <c r="BH546" s="136"/>
      <c r="BI546" s="136"/>
    </row>
    <row r="547" spans="1:61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  <c r="AA547" s="136"/>
      <c r="AB547" s="136"/>
      <c r="AC547" s="136"/>
      <c r="AD547" s="136"/>
      <c r="AE547" s="136"/>
      <c r="AF547" s="136"/>
      <c r="AG547" s="136"/>
      <c r="AH547" s="136"/>
      <c r="AI547" s="136"/>
      <c r="AJ547" s="136"/>
      <c r="AK547" s="136"/>
      <c r="AL547" s="136"/>
      <c r="AM547" s="136"/>
      <c r="AN547" s="136"/>
      <c r="AO547" s="136"/>
      <c r="AP547" s="136"/>
      <c r="AQ547" s="136"/>
      <c r="AR547" s="136"/>
      <c r="AS547" s="136"/>
      <c r="AT547" s="136"/>
      <c r="AU547" s="136"/>
      <c r="AV547" s="136"/>
      <c r="AW547" s="136"/>
      <c r="AX547" s="136"/>
      <c r="AY547" s="136"/>
      <c r="AZ547" s="136"/>
      <c r="BA547" s="136"/>
      <c r="BB547" s="136"/>
      <c r="BC547" s="136"/>
      <c r="BD547" s="136"/>
      <c r="BE547" s="136"/>
      <c r="BF547" s="136"/>
      <c r="BG547" s="136"/>
      <c r="BH547" s="136"/>
      <c r="BI547" s="136"/>
    </row>
    <row r="548" spans="1:61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  <c r="AA548" s="136"/>
      <c r="AB548" s="136"/>
      <c r="AC548" s="136"/>
      <c r="AD548" s="136"/>
      <c r="AE548" s="136"/>
      <c r="AF548" s="136"/>
      <c r="AG548" s="136"/>
      <c r="AH548" s="136"/>
      <c r="AI548" s="136"/>
      <c r="AJ548" s="136"/>
      <c r="AK548" s="136"/>
      <c r="AL548" s="136"/>
      <c r="AM548" s="136"/>
      <c r="AN548" s="136"/>
      <c r="AO548" s="136"/>
      <c r="AP548" s="136"/>
      <c r="AQ548" s="136"/>
      <c r="AR548" s="136"/>
      <c r="AS548" s="136"/>
      <c r="AT548" s="136"/>
      <c r="AU548" s="136"/>
      <c r="AV548" s="136"/>
      <c r="AW548" s="136"/>
      <c r="AX548" s="136"/>
      <c r="AY548" s="136"/>
      <c r="AZ548" s="136"/>
      <c r="BA548" s="136"/>
      <c r="BB548" s="136"/>
      <c r="BC548" s="136"/>
      <c r="BD548" s="136"/>
      <c r="BE548" s="136"/>
      <c r="BF548" s="136"/>
      <c r="BG548" s="136"/>
      <c r="BH548" s="136"/>
      <c r="BI548" s="136"/>
    </row>
    <row r="549" spans="1:61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  <c r="AA549" s="136"/>
      <c r="AB549" s="136"/>
      <c r="AC549" s="136"/>
      <c r="AD549" s="136"/>
      <c r="AE549" s="136"/>
      <c r="AF549" s="136"/>
      <c r="AG549" s="136"/>
      <c r="AH549" s="136"/>
      <c r="AI549" s="136"/>
      <c r="AJ549" s="136"/>
      <c r="AK549" s="136"/>
      <c r="AL549" s="136"/>
      <c r="AM549" s="136"/>
      <c r="AN549" s="136"/>
      <c r="AO549" s="136"/>
      <c r="AP549" s="136"/>
      <c r="AQ549" s="136"/>
      <c r="AR549" s="136"/>
      <c r="AS549" s="136"/>
      <c r="AT549" s="136"/>
      <c r="AU549" s="136"/>
      <c r="AV549" s="136"/>
      <c r="AW549" s="136"/>
      <c r="AX549" s="136"/>
      <c r="AY549" s="136"/>
      <c r="AZ549" s="136"/>
      <c r="BA549" s="136"/>
      <c r="BB549" s="136"/>
      <c r="BC549" s="136"/>
      <c r="BD549" s="136"/>
      <c r="BE549" s="136"/>
      <c r="BF549" s="136"/>
      <c r="BG549" s="136"/>
      <c r="BH549" s="136"/>
      <c r="BI549" s="136"/>
    </row>
    <row r="550" spans="1:61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  <c r="AQ550" s="136"/>
      <c r="AR550" s="136"/>
      <c r="AS550" s="136"/>
      <c r="AT550" s="136"/>
      <c r="AU550" s="136"/>
      <c r="AV550" s="136"/>
      <c r="AW550" s="136"/>
      <c r="AX550" s="136"/>
      <c r="AY550" s="136"/>
      <c r="AZ550" s="136"/>
      <c r="BA550" s="136"/>
      <c r="BB550" s="136"/>
      <c r="BC550" s="136"/>
      <c r="BD550" s="136"/>
      <c r="BE550" s="136"/>
      <c r="BF550" s="136"/>
      <c r="BG550" s="136"/>
      <c r="BH550" s="136"/>
      <c r="BI550" s="136"/>
    </row>
    <row r="551" spans="1:61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  <c r="AA551" s="136"/>
      <c r="AB551" s="136"/>
      <c r="AC551" s="136"/>
      <c r="AD551" s="136"/>
      <c r="AE551" s="136"/>
      <c r="AF551" s="136"/>
      <c r="AG551" s="136"/>
      <c r="AH551" s="136"/>
      <c r="AI551" s="136"/>
      <c r="AJ551" s="136"/>
      <c r="AK551" s="136"/>
      <c r="AL551" s="136"/>
      <c r="AM551" s="136"/>
      <c r="AN551" s="136"/>
      <c r="AO551" s="136"/>
      <c r="AP551" s="136"/>
      <c r="AQ551" s="136"/>
      <c r="AR551" s="136"/>
      <c r="AS551" s="136"/>
      <c r="AT551" s="136"/>
      <c r="AU551" s="136"/>
      <c r="AV551" s="136"/>
      <c r="AW551" s="136"/>
      <c r="AX551" s="136"/>
      <c r="AY551" s="136"/>
      <c r="AZ551" s="136"/>
      <c r="BA551" s="136"/>
      <c r="BB551" s="136"/>
      <c r="BC551" s="136"/>
      <c r="BD551" s="136"/>
      <c r="BE551" s="136"/>
      <c r="BF551" s="136"/>
      <c r="BG551" s="136"/>
      <c r="BH551" s="136"/>
      <c r="BI551" s="136"/>
    </row>
    <row r="552" spans="1:61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  <c r="AA552" s="136"/>
      <c r="AB552" s="136"/>
      <c r="AC552" s="136"/>
      <c r="AD552" s="136"/>
      <c r="AE552" s="136"/>
      <c r="AF552" s="136"/>
      <c r="AG552" s="136"/>
      <c r="AH552" s="136"/>
      <c r="AI552" s="136"/>
      <c r="AJ552" s="136"/>
      <c r="AK552" s="136"/>
      <c r="AL552" s="136"/>
      <c r="AM552" s="136"/>
      <c r="AN552" s="136"/>
      <c r="AO552" s="136"/>
      <c r="AP552" s="136"/>
      <c r="AQ552" s="136"/>
      <c r="AR552" s="136"/>
      <c r="AS552" s="136"/>
      <c r="AT552" s="136"/>
      <c r="AU552" s="136"/>
      <c r="AV552" s="136"/>
      <c r="AW552" s="136"/>
      <c r="AX552" s="136"/>
      <c r="AY552" s="136"/>
      <c r="AZ552" s="136"/>
      <c r="BA552" s="136"/>
      <c r="BB552" s="136"/>
      <c r="BC552" s="136"/>
      <c r="BD552" s="136"/>
      <c r="BE552" s="136"/>
      <c r="BF552" s="136"/>
      <c r="BG552" s="136"/>
      <c r="BH552" s="136"/>
      <c r="BI552" s="136"/>
    </row>
    <row r="553" spans="1:61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  <c r="AA553" s="136"/>
      <c r="AB553" s="136"/>
      <c r="AC553" s="136"/>
      <c r="AD553" s="136"/>
      <c r="AE553" s="136"/>
      <c r="AF553" s="136"/>
      <c r="AG553" s="136"/>
      <c r="AH553" s="136"/>
      <c r="AI553" s="136"/>
      <c r="AJ553" s="136"/>
      <c r="AK553" s="136"/>
      <c r="AL553" s="136"/>
      <c r="AM553" s="136"/>
      <c r="AN553" s="136"/>
      <c r="AO553" s="136"/>
      <c r="AP553" s="136"/>
      <c r="AQ553" s="136"/>
      <c r="AR553" s="136"/>
      <c r="AS553" s="136"/>
      <c r="AT553" s="136"/>
      <c r="AU553" s="136"/>
      <c r="AV553" s="136"/>
      <c r="AW553" s="136"/>
      <c r="AX553" s="136"/>
      <c r="AY553" s="136"/>
      <c r="AZ553" s="136"/>
      <c r="BA553" s="136"/>
      <c r="BB553" s="136"/>
      <c r="BC553" s="136"/>
      <c r="BD553" s="136"/>
      <c r="BE553" s="136"/>
      <c r="BF553" s="136"/>
      <c r="BG553" s="136"/>
      <c r="BH553" s="136"/>
      <c r="BI553" s="136"/>
    </row>
    <row r="554" spans="1:61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  <c r="AA554" s="136"/>
      <c r="AB554" s="136"/>
      <c r="AC554" s="136"/>
      <c r="AD554" s="136"/>
      <c r="AE554" s="136"/>
      <c r="AF554" s="136"/>
      <c r="AG554" s="136"/>
      <c r="AH554" s="136"/>
      <c r="AI554" s="136"/>
      <c r="AJ554" s="136"/>
      <c r="AK554" s="136"/>
      <c r="AL554" s="136"/>
      <c r="AM554" s="136"/>
      <c r="AN554" s="136"/>
      <c r="AO554" s="136"/>
      <c r="AP554" s="136"/>
      <c r="AQ554" s="136"/>
      <c r="AR554" s="136"/>
      <c r="AS554" s="136"/>
      <c r="AT554" s="136"/>
      <c r="AU554" s="136"/>
      <c r="AV554" s="136"/>
      <c r="AW554" s="136"/>
      <c r="AX554" s="136"/>
      <c r="AY554" s="136"/>
      <c r="AZ554" s="136"/>
      <c r="BA554" s="136"/>
      <c r="BB554" s="136"/>
      <c r="BC554" s="136"/>
      <c r="BD554" s="136"/>
      <c r="BE554" s="136"/>
      <c r="BF554" s="136"/>
      <c r="BG554" s="136"/>
      <c r="BH554" s="136"/>
      <c r="BI554" s="136"/>
    </row>
    <row r="555" spans="1:61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  <c r="AA555" s="136"/>
      <c r="AB555" s="136"/>
      <c r="AC555" s="136"/>
      <c r="AD555" s="136"/>
      <c r="AE555" s="136"/>
      <c r="AF555" s="136"/>
      <c r="AG555" s="136"/>
      <c r="AH555" s="136"/>
      <c r="AI555" s="136"/>
      <c r="AJ555" s="136"/>
      <c r="AK555" s="136"/>
      <c r="AL555" s="136"/>
      <c r="AM555" s="136"/>
      <c r="AN555" s="136"/>
      <c r="AO555" s="136"/>
      <c r="AP555" s="136"/>
      <c r="AQ555" s="136"/>
      <c r="AR555" s="136"/>
      <c r="AS555" s="136"/>
      <c r="AT555" s="136"/>
      <c r="AU555" s="136"/>
      <c r="AV555" s="136"/>
      <c r="AW555" s="136"/>
      <c r="AX555" s="136"/>
      <c r="AY555" s="136"/>
      <c r="AZ555" s="136"/>
      <c r="BA555" s="136"/>
      <c r="BB555" s="136"/>
      <c r="BC555" s="136"/>
      <c r="BD555" s="136"/>
      <c r="BE555" s="136"/>
      <c r="BF555" s="136"/>
      <c r="BG555" s="136"/>
      <c r="BH555" s="136"/>
      <c r="BI555" s="136"/>
    </row>
    <row r="556" spans="1:61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  <c r="AA556" s="136"/>
      <c r="AB556" s="136"/>
      <c r="AC556" s="136"/>
      <c r="AD556" s="136"/>
      <c r="AE556" s="136"/>
      <c r="AF556" s="136"/>
      <c r="AG556" s="136"/>
      <c r="AH556" s="136"/>
      <c r="AI556" s="136"/>
      <c r="AJ556" s="136"/>
      <c r="AK556" s="136"/>
      <c r="AL556" s="136"/>
      <c r="AM556" s="136"/>
      <c r="AN556" s="136"/>
      <c r="AO556" s="136"/>
      <c r="AP556" s="136"/>
      <c r="AQ556" s="136"/>
      <c r="AR556" s="136"/>
      <c r="AS556" s="136"/>
      <c r="AT556" s="136"/>
      <c r="AU556" s="136"/>
      <c r="AV556" s="136"/>
      <c r="AW556" s="136"/>
      <c r="AX556" s="136"/>
      <c r="AY556" s="136"/>
      <c r="AZ556" s="136"/>
      <c r="BA556" s="136"/>
      <c r="BB556" s="136"/>
      <c r="BC556" s="136"/>
      <c r="BD556" s="136"/>
      <c r="BE556" s="136"/>
      <c r="BF556" s="136"/>
      <c r="BG556" s="136"/>
      <c r="BH556" s="136"/>
      <c r="BI556" s="136"/>
    </row>
    <row r="557" spans="1:61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  <c r="AA557" s="136"/>
      <c r="AB557" s="136"/>
      <c r="AC557" s="136"/>
      <c r="AD557" s="136"/>
      <c r="AE557" s="136"/>
      <c r="AF557" s="136"/>
      <c r="AG557" s="136"/>
      <c r="AH557" s="136"/>
      <c r="AI557" s="136"/>
      <c r="AJ557" s="136"/>
      <c r="AK557" s="136"/>
      <c r="AL557" s="136"/>
      <c r="AM557" s="136"/>
      <c r="AN557" s="136"/>
      <c r="AO557" s="136"/>
      <c r="AP557" s="136"/>
      <c r="AQ557" s="136"/>
      <c r="AR557" s="136"/>
      <c r="AS557" s="136"/>
      <c r="AT557" s="136"/>
      <c r="AU557" s="136"/>
      <c r="AV557" s="136"/>
      <c r="AW557" s="136"/>
      <c r="AX557" s="136"/>
      <c r="AY557" s="136"/>
      <c r="AZ557" s="136"/>
      <c r="BA557" s="136"/>
      <c r="BB557" s="136"/>
      <c r="BC557" s="136"/>
      <c r="BD557" s="136"/>
      <c r="BE557" s="136"/>
      <c r="BF557" s="136"/>
      <c r="BG557" s="136"/>
      <c r="BH557" s="136"/>
      <c r="BI557" s="136"/>
    </row>
    <row r="558" spans="1:61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  <c r="AA558" s="136"/>
      <c r="AB558" s="136"/>
      <c r="AC558" s="136"/>
      <c r="AD558" s="136"/>
      <c r="AE558" s="136"/>
      <c r="AF558" s="136"/>
      <c r="AG558" s="136"/>
      <c r="AH558" s="136"/>
      <c r="AI558" s="136"/>
      <c r="AJ558" s="136"/>
      <c r="AK558" s="136"/>
      <c r="AL558" s="136"/>
      <c r="AM558" s="136"/>
      <c r="AN558" s="136"/>
      <c r="AO558" s="136"/>
      <c r="AP558" s="136"/>
      <c r="AQ558" s="136"/>
      <c r="AR558" s="136"/>
      <c r="AS558" s="136"/>
      <c r="AT558" s="136"/>
      <c r="AU558" s="136"/>
      <c r="AV558" s="136"/>
      <c r="AW558" s="136"/>
      <c r="AX558" s="136"/>
      <c r="AY558" s="136"/>
      <c r="AZ558" s="136"/>
      <c r="BA558" s="136"/>
      <c r="BB558" s="136"/>
      <c r="BC558" s="136"/>
      <c r="BD558" s="136"/>
      <c r="BE558" s="136"/>
      <c r="BF558" s="136"/>
      <c r="BG558" s="136"/>
      <c r="BH558" s="136"/>
      <c r="BI558" s="136"/>
    </row>
    <row r="559" spans="1:61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  <c r="AA559" s="136"/>
      <c r="AB559" s="136"/>
      <c r="AC559" s="136"/>
      <c r="AD559" s="136"/>
      <c r="AE559" s="136"/>
      <c r="AF559" s="136"/>
      <c r="AG559" s="136"/>
      <c r="AH559" s="136"/>
      <c r="AI559" s="136"/>
      <c r="AJ559" s="136"/>
      <c r="AK559" s="136"/>
      <c r="AL559" s="136"/>
      <c r="AM559" s="136"/>
      <c r="AN559" s="136"/>
      <c r="AO559" s="136"/>
      <c r="AP559" s="136"/>
      <c r="AQ559" s="136"/>
      <c r="AR559" s="136"/>
      <c r="AS559" s="136"/>
      <c r="AT559" s="136"/>
      <c r="AU559" s="136"/>
      <c r="AV559" s="136"/>
      <c r="AW559" s="136"/>
      <c r="AX559" s="136"/>
      <c r="AY559" s="136"/>
      <c r="AZ559" s="136"/>
      <c r="BA559" s="136"/>
      <c r="BB559" s="136"/>
      <c r="BC559" s="136"/>
      <c r="BD559" s="136"/>
      <c r="BE559" s="136"/>
      <c r="BF559" s="136"/>
      <c r="BG559" s="136"/>
      <c r="BH559" s="136"/>
      <c r="BI559" s="136"/>
    </row>
    <row r="560" spans="1:61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  <c r="AA560" s="136"/>
      <c r="AB560" s="136"/>
      <c r="AC560" s="136"/>
      <c r="AD560" s="136"/>
      <c r="AE560" s="136"/>
      <c r="AF560" s="136"/>
      <c r="AG560" s="136"/>
      <c r="AH560" s="136"/>
      <c r="AI560" s="136"/>
      <c r="AJ560" s="136"/>
      <c r="AK560" s="136"/>
      <c r="AL560" s="136"/>
      <c r="AM560" s="136"/>
      <c r="AN560" s="136"/>
      <c r="AO560" s="136"/>
      <c r="AP560" s="136"/>
      <c r="AQ560" s="136"/>
      <c r="AR560" s="136"/>
      <c r="AS560" s="136"/>
      <c r="AT560" s="136"/>
      <c r="AU560" s="136"/>
      <c r="AV560" s="136"/>
      <c r="AW560" s="136"/>
      <c r="AX560" s="136"/>
      <c r="AY560" s="136"/>
      <c r="AZ560" s="136"/>
      <c r="BA560" s="136"/>
      <c r="BB560" s="136"/>
      <c r="BC560" s="136"/>
      <c r="BD560" s="136"/>
      <c r="BE560" s="136"/>
      <c r="BF560" s="136"/>
      <c r="BG560" s="136"/>
      <c r="BH560" s="136"/>
      <c r="BI560" s="136"/>
    </row>
    <row r="561" spans="1:61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  <c r="AA561" s="136"/>
      <c r="AB561" s="136"/>
      <c r="AC561" s="136"/>
      <c r="AD561" s="136"/>
      <c r="AE561" s="136"/>
      <c r="AF561" s="136"/>
      <c r="AG561" s="136"/>
      <c r="AH561" s="136"/>
      <c r="AI561" s="136"/>
      <c r="AJ561" s="136"/>
      <c r="AK561" s="136"/>
      <c r="AL561" s="136"/>
      <c r="AM561" s="136"/>
      <c r="AN561" s="136"/>
      <c r="AO561" s="136"/>
      <c r="AP561" s="136"/>
      <c r="AQ561" s="136"/>
      <c r="AR561" s="136"/>
      <c r="AS561" s="136"/>
      <c r="AT561" s="136"/>
      <c r="AU561" s="136"/>
      <c r="AV561" s="136"/>
      <c r="AW561" s="136"/>
      <c r="AX561" s="136"/>
      <c r="AY561" s="136"/>
      <c r="AZ561" s="136"/>
      <c r="BA561" s="136"/>
      <c r="BB561" s="136"/>
      <c r="BC561" s="136"/>
      <c r="BD561" s="136"/>
      <c r="BE561" s="136"/>
      <c r="BF561" s="136"/>
      <c r="BG561" s="136"/>
      <c r="BH561" s="136"/>
      <c r="BI561" s="136"/>
    </row>
    <row r="562" spans="1:61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  <c r="AA562" s="136"/>
      <c r="AB562" s="136"/>
      <c r="AC562" s="136"/>
      <c r="AD562" s="136"/>
      <c r="AE562" s="136"/>
      <c r="AF562" s="136"/>
      <c r="AG562" s="136"/>
      <c r="AH562" s="136"/>
      <c r="AI562" s="136"/>
      <c r="AJ562" s="136"/>
      <c r="AK562" s="136"/>
      <c r="AL562" s="136"/>
      <c r="AM562" s="136"/>
      <c r="AN562" s="136"/>
      <c r="AO562" s="136"/>
      <c r="AP562" s="136"/>
      <c r="AQ562" s="136"/>
      <c r="AR562" s="136"/>
      <c r="AS562" s="136"/>
      <c r="AT562" s="136"/>
      <c r="AU562" s="136"/>
      <c r="AV562" s="136"/>
      <c r="AW562" s="136"/>
      <c r="AX562" s="136"/>
      <c r="AY562" s="136"/>
      <c r="AZ562" s="136"/>
      <c r="BA562" s="136"/>
      <c r="BB562" s="136"/>
      <c r="BC562" s="136"/>
      <c r="BD562" s="136"/>
      <c r="BE562" s="136"/>
      <c r="BF562" s="136"/>
      <c r="BG562" s="136"/>
      <c r="BH562" s="136"/>
      <c r="BI562" s="136"/>
    </row>
    <row r="563" spans="1:61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  <c r="AA563" s="136"/>
      <c r="AB563" s="136"/>
      <c r="AC563" s="136"/>
      <c r="AD563" s="136"/>
      <c r="AE563" s="136"/>
      <c r="AF563" s="136"/>
      <c r="AG563" s="136"/>
      <c r="AH563" s="136"/>
      <c r="AI563" s="136"/>
      <c r="AJ563" s="136"/>
      <c r="AK563" s="136"/>
      <c r="AL563" s="136"/>
      <c r="AM563" s="136"/>
      <c r="AN563" s="136"/>
      <c r="AO563" s="136"/>
      <c r="AP563" s="136"/>
      <c r="AQ563" s="136"/>
      <c r="AR563" s="136"/>
      <c r="AS563" s="136"/>
      <c r="AT563" s="136"/>
      <c r="AU563" s="136"/>
      <c r="AV563" s="136"/>
      <c r="AW563" s="136"/>
      <c r="AX563" s="136"/>
      <c r="AY563" s="136"/>
      <c r="AZ563" s="136"/>
      <c r="BA563" s="136"/>
      <c r="BB563" s="136"/>
      <c r="BC563" s="136"/>
      <c r="BD563" s="136"/>
      <c r="BE563" s="136"/>
      <c r="BF563" s="136"/>
      <c r="BG563" s="136"/>
      <c r="BH563" s="136"/>
      <c r="BI563" s="136"/>
    </row>
    <row r="564" spans="1:61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  <c r="AA564" s="136"/>
      <c r="AB564" s="136"/>
      <c r="AC564" s="136"/>
      <c r="AD564" s="136"/>
      <c r="AE564" s="136"/>
      <c r="AF564" s="136"/>
      <c r="AG564" s="136"/>
      <c r="AH564" s="136"/>
      <c r="AI564" s="136"/>
      <c r="AJ564" s="136"/>
      <c r="AK564" s="136"/>
      <c r="AL564" s="136"/>
      <c r="AM564" s="136"/>
      <c r="AN564" s="136"/>
      <c r="AO564" s="136"/>
      <c r="AP564" s="136"/>
      <c r="AQ564" s="136"/>
      <c r="AR564" s="136"/>
      <c r="AS564" s="136"/>
      <c r="AT564" s="136"/>
      <c r="AU564" s="136"/>
      <c r="AV564" s="136"/>
      <c r="AW564" s="136"/>
      <c r="AX564" s="136"/>
      <c r="AY564" s="136"/>
      <c r="AZ564" s="136"/>
      <c r="BA564" s="136"/>
      <c r="BB564" s="136"/>
      <c r="BC564" s="136"/>
      <c r="BD564" s="136"/>
      <c r="BE564" s="136"/>
      <c r="BF564" s="136"/>
      <c r="BG564" s="136"/>
      <c r="BH564" s="136"/>
      <c r="BI564" s="136"/>
    </row>
    <row r="565" spans="1:61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  <c r="AA565" s="136"/>
      <c r="AB565" s="136"/>
      <c r="AC565" s="136"/>
      <c r="AD565" s="136"/>
      <c r="AE565" s="136"/>
      <c r="AF565" s="136"/>
      <c r="AG565" s="136"/>
      <c r="AH565" s="136"/>
      <c r="AI565" s="136"/>
      <c r="AJ565" s="136"/>
      <c r="AK565" s="136"/>
      <c r="AL565" s="136"/>
      <c r="AM565" s="136"/>
      <c r="AN565" s="136"/>
      <c r="AO565" s="136"/>
      <c r="AP565" s="136"/>
      <c r="AQ565" s="136"/>
      <c r="AR565" s="136"/>
      <c r="AS565" s="136"/>
      <c r="AT565" s="136"/>
      <c r="AU565" s="136"/>
      <c r="AV565" s="136"/>
      <c r="AW565" s="136"/>
      <c r="AX565" s="136"/>
      <c r="AY565" s="136"/>
      <c r="AZ565" s="136"/>
      <c r="BA565" s="136"/>
      <c r="BB565" s="136"/>
      <c r="BC565" s="136"/>
      <c r="BD565" s="136"/>
      <c r="BE565" s="136"/>
      <c r="BF565" s="136"/>
      <c r="BG565" s="136"/>
      <c r="BH565" s="136"/>
      <c r="BI565" s="136"/>
    </row>
    <row r="566" spans="1:61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  <c r="AA566" s="136"/>
      <c r="AB566" s="136"/>
      <c r="AC566" s="136"/>
      <c r="AD566" s="136"/>
      <c r="AE566" s="136"/>
      <c r="AF566" s="136"/>
      <c r="AG566" s="136"/>
      <c r="AH566" s="136"/>
      <c r="AI566" s="136"/>
      <c r="AJ566" s="136"/>
      <c r="AK566" s="136"/>
      <c r="AL566" s="136"/>
      <c r="AM566" s="136"/>
      <c r="AN566" s="136"/>
      <c r="AO566" s="136"/>
      <c r="AP566" s="136"/>
      <c r="AQ566" s="136"/>
      <c r="AR566" s="136"/>
      <c r="AS566" s="136"/>
      <c r="AT566" s="136"/>
      <c r="AU566" s="136"/>
      <c r="AV566" s="136"/>
      <c r="AW566" s="136"/>
      <c r="AX566" s="136"/>
      <c r="AY566" s="136"/>
      <c r="AZ566" s="136"/>
      <c r="BA566" s="136"/>
      <c r="BB566" s="136"/>
      <c r="BC566" s="136"/>
      <c r="BD566" s="136"/>
      <c r="BE566" s="136"/>
      <c r="BF566" s="136"/>
      <c r="BG566" s="136"/>
      <c r="BH566" s="136"/>
      <c r="BI566" s="136"/>
    </row>
    <row r="567" spans="1:61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  <c r="AA567" s="136"/>
      <c r="AB567" s="136"/>
      <c r="AC567" s="136"/>
      <c r="AD567" s="136"/>
      <c r="AE567" s="136"/>
      <c r="AF567" s="136"/>
      <c r="AG567" s="136"/>
      <c r="AH567" s="136"/>
      <c r="AI567" s="136"/>
      <c r="AJ567" s="136"/>
      <c r="AK567" s="136"/>
      <c r="AL567" s="136"/>
      <c r="AM567" s="136"/>
      <c r="AN567" s="136"/>
      <c r="AO567" s="136"/>
      <c r="AP567" s="136"/>
      <c r="AQ567" s="136"/>
      <c r="AR567" s="136"/>
      <c r="AS567" s="136"/>
      <c r="AT567" s="136"/>
      <c r="AU567" s="136"/>
      <c r="AV567" s="136"/>
      <c r="AW567" s="136"/>
      <c r="AX567" s="136"/>
      <c r="AY567" s="136"/>
      <c r="AZ567" s="136"/>
      <c r="BA567" s="136"/>
      <c r="BB567" s="136"/>
      <c r="BC567" s="136"/>
      <c r="BD567" s="136"/>
      <c r="BE567" s="136"/>
      <c r="BF567" s="136"/>
      <c r="BG567" s="136"/>
      <c r="BH567" s="136"/>
      <c r="BI567" s="136"/>
    </row>
    <row r="568" spans="1:61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  <c r="AA568" s="136"/>
      <c r="AB568" s="136"/>
      <c r="AC568" s="136"/>
      <c r="AD568" s="136"/>
      <c r="AE568" s="136"/>
      <c r="AF568" s="136"/>
      <c r="AG568" s="136"/>
      <c r="AH568" s="136"/>
      <c r="AI568" s="136"/>
      <c r="AJ568" s="136"/>
      <c r="AK568" s="136"/>
      <c r="AL568" s="136"/>
      <c r="AM568" s="136"/>
      <c r="AN568" s="136"/>
      <c r="AO568" s="136"/>
      <c r="AP568" s="136"/>
      <c r="AQ568" s="136"/>
      <c r="AR568" s="136"/>
      <c r="AS568" s="136"/>
      <c r="AT568" s="136"/>
      <c r="AU568" s="136"/>
      <c r="AV568" s="136"/>
      <c r="AW568" s="136"/>
      <c r="AX568" s="136"/>
      <c r="AY568" s="136"/>
      <c r="AZ568" s="136"/>
      <c r="BA568" s="136"/>
      <c r="BB568" s="136"/>
      <c r="BC568" s="136"/>
      <c r="BD568" s="136"/>
      <c r="BE568" s="136"/>
      <c r="BF568" s="136"/>
      <c r="BG568" s="136"/>
      <c r="BH568" s="136"/>
      <c r="BI568" s="136"/>
    </row>
    <row r="569" spans="1:61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  <c r="AA569" s="136"/>
      <c r="AB569" s="136"/>
      <c r="AC569" s="136"/>
      <c r="AD569" s="136"/>
      <c r="AE569" s="136"/>
      <c r="AF569" s="136"/>
      <c r="AG569" s="136"/>
      <c r="AH569" s="136"/>
      <c r="AI569" s="136"/>
      <c r="AJ569" s="136"/>
      <c r="AK569" s="136"/>
      <c r="AL569" s="136"/>
      <c r="AM569" s="136"/>
      <c r="AN569" s="136"/>
      <c r="AO569" s="136"/>
      <c r="AP569" s="136"/>
      <c r="AQ569" s="136"/>
      <c r="AR569" s="136"/>
      <c r="AS569" s="136"/>
      <c r="AT569" s="136"/>
      <c r="AU569" s="136"/>
      <c r="AV569" s="136"/>
      <c r="AW569" s="136"/>
      <c r="AX569" s="136"/>
      <c r="AY569" s="136"/>
      <c r="AZ569" s="136"/>
      <c r="BA569" s="136"/>
      <c r="BB569" s="136"/>
      <c r="BC569" s="136"/>
      <c r="BD569" s="136"/>
      <c r="BE569" s="136"/>
      <c r="BF569" s="136"/>
      <c r="BG569" s="136"/>
      <c r="BH569" s="136"/>
      <c r="BI569" s="136"/>
    </row>
    <row r="570" spans="1:61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  <c r="AA570" s="136"/>
      <c r="AB570" s="136"/>
      <c r="AC570" s="136"/>
      <c r="AD570" s="136"/>
      <c r="AE570" s="136"/>
      <c r="AF570" s="136"/>
      <c r="AG570" s="136"/>
      <c r="AH570" s="136"/>
      <c r="AI570" s="136"/>
      <c r="AJ570" s="136"/>
      <c r="AK570" s="136"/>
      <c r="AL570" s="136"/>
      <c r="AM570" s="136"/>
      <c r="AN570" s="136"/>
      <c r="AO570" s="136"/>
      <c r="AP570" s="136"/>
      <c r="AQ570" s="136"/>
      <c r="AR570" s="136"/>
      <c r="AS570" s="136"/>
      <c r="AT570" s="136"/>
      <c r="AU570" s="136"/>
      <c r="AV570" s="136"/>
      <c r="AW570" s="136"/>
      <c r="AX570" s="136"/>
      <c r="AY570" s="136"/>
      <c r="AZ570" s="136"/>
      <c r="BA570" s="136"/>
      <c r="BB570" s="136"/>
      <c r="BC570" s="136"/>
      <c r="BD570" s="136"/>
      <c r="BE570" s="136"/>
      <c r="BF570" s="136"/>
      <c r="BG570" s="136"/>
      <c r="BH570" s="136"/>
      <c r="BI570" s="136"/>
    </row>
    <row r="571" spans="1:61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  <c r="AA571" s="136"/>
      <c r="AB571" s="136"/>
      <c r="AC571" s="136"/>
      <c r="AD571" s="136"/>
      <c r="AE571" s="136"/>
      <c r="AF571" s="136"/>
      <c r="AG571" s="136"/>
      <c r="AH571" s="136"/>
      <c r="AI571" s="136"/>
      <c r="AJ571" s="136"/>
      <c r="AK571" s="136"/>
      <c r="AL571" s="136"/>
      <c r="AM571" s="136"/>
      <c r="AN571" s="136"/>
      <c r="AO571" s="136"/>
      <c r="AP571" s="136"/>
      <c r="AQ571" s="136"/>
      <c r="AR571" s="136"/>
      <c r="AS571" s="136"/>
      <c r="AT571" s="136"/>
      <c r="AU571" s="136"/>
      <c r="AV571" s="136"/>
      <c r="AW571" s="136"/>
      <c r="AX571" s="136"/>
      <c r="AY571" s="136"/>
      <c r="AZ571" s="136"/>
      <c r="BA571" s="136"/>
      <c r="BB571" s="136"/>
      <c r="BC571" s="136"/>
      <c r="BD571" s="136"/>
      <c r="BE571" s="136"/>
      <c r="BF571" s="136"/>
      <c r="BG571" s="136"/>
      <c r="BH571" s="136"/>
      <c r="BI571" s="136"/>
    </row>
    <row r="572" spans="1:61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  <c r="AA572" s="136"/>
      <c r="AB572" s="136"/>
      <c r="AC572" s="136"/>
      <c r="AD572" s="136"/>
      <c r="AE572" s="136"/>
      <c r="AF572" s="136"/>
      <c r="AG572" s="136"/>
      <c r="AH572" s="136"/>
      <c r="AI572" s="136"/>
      <c r="AJ572" s="136"/>
      <c r="AK572" s="136"/>
      <c r="AL572" s="136"/>
      <c r="AM572" s="136"/>
      <c r="AN572" s="136"/>
      <c r="AO572" s="136"/>
      <c r="AP572" s="136"/>
      <c r="AQ572" s="136"/>
      <c r="AR572" s="136"/>
      <c r="AS572" s="136"/>
      <c r="AT572" s="136"/>
      <c r="AU572" s="136"/>
      <c r="AV572" s="136"/>
      <c r="AW572" s="136"/>
      <c r="AX572" s="136"/>
      <c r="AY572" s="136"/>
      <c r="AZ572" s="136"/>
      <c r="BA572" s="136"/>
      <c r="BB572" s="136"/>
      <c r="BC572" s="136"/>
      <c r="BD572" s="136"/>
      <c r="BE572" s="136"/>
      <c r="BF572" s="136"/>
      <c r="BG572" s="136"/>
      <c r="BH572" s="136"/>
      <c r="BI572" s="136"/>
    </row>
    <row r="573" spans="1:61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  <c r="AA573" s="136"/>
      <c r="AB573" s="136"/>
      <c r="AC573" s="136"/>
      <c r="AD573" s="136"/>
      <c r="AE573" s="136"/>
      <c r="AF573" s="136"/>
      <c r="AG573" s="136"/>
      <c r="AH573" s="136"/>
      <c r="AI573" s="136"/>
      <c r="AJ573" s="136"/>
      <c r="AK573" s="136"/>
      <c r="AL573" s="136"/>
      <c r="AM573" s="136"/>
      <c r="AN573" s="136"/>
      <c r="AO573" s="136"/>
      <c r="AP573" s="136"/>
      <c r="AQ573" s="136"/>
      <c r="AR573" s="136"/>
      <c r="AS573" s="136"/>
      <c r="AT573" s="136"/>
      <c r="AU573" s="136"/>
      <c r="AV573" s="136"/>
      <c r="AW573" s="136"/>
      <c r="AX573" s="136"/>
      <c r="AY573" s="136"/>
      <c r="AZ573" s="136"/>
      <c r="BA573" s="136"/>
      <c r="BB573" s="136"/>
      <c r="BC573" s="136"/>
      <c r="BD573" s="136"/>
      <c r="BE573" s="136"/>
      <c r="BF573" s="136"/>
      <c r="BG573" s="136"/>
      <c r="BH573" s="136"/>
      <c r="BI573" s="136"/>
    </row>
    <row r="574" spans="1:61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  <c r="AA574" s="136"/>
      <c r="AB574" s="136"/>
      <c r="AC574" s="136"/>
      <c r="AD574" s="136"/>
      <c r="AE574" s="136"/>
      <c r="AF574" s="136"/>
      <c r="AG574" s="136"/>
      <c r="AH574" s="136"/>
      <c r="AI574" s="136"/>
      <c r="AJ574" s="136"/>
      <c r="AK574" s="136"/>
      <c r="AL574" s="136"/>
      <c r="AM574" s="136"/>
      <c r="AN574" s="136"/>
      <c r="AO574" s="136"/>
      <c r="AP574" s="136"/>
      <c r="AQ574" s="136"/>
      <c r="AR574" s="136"/>
      <c r="AS574" s="136"/>
      <c r="AT574" s="136"/>
      <c r="AU574" s="136"/>
      <c r="AV574" s="136"/>
      <c r="AW574" s="136"/>
      <c r="AX574" s="136"/>
      <c r="AY574" s="136"/>
      <c r="AZ574" s="136"/>
      <c r="BA574" s="136"/>
      <c r="BB574" s="136"/>
      <c r="BC574" s="136"/>
      <c r="BD574" s="136"/>
      <c r="BE574" s="136"/>
      <c r="BF574" s="136"/>
      <c r="BG574" s="136"/>
      <c r="BH574" s="136"/>
      <c r="BI574" s="136"/>
    </row>
    <row r="575" spans="1:61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6"/>
      <c r="BA575" s="136"/>
      <c r="BB575" s="136"/>
      <c r="BC575" s="136"/>
      <c r="BD575" s="136"/>
      <c r="BE575" s="136"/>
      <c r="BF575" s="136"/>
      <c r="BG575" s="136"/>
      <c r="BH575" s="136"/>
      <c r="BI575" s="136"/>
    </row>
    <row r="576" spans="1:61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  <c r="AA576" s="136"/>
      <c r="AB576" s="136"/>
      <c r="AC576" s="136"/>
      <c r="AD576" s="136"/>
      <c r="AE576" s="136"/>
      <c r="AF576" s="136"/>
      <c r="AG576" s="136"/>
      <c r="AH576" s="136"/>
      <c r="AI576" s="136"/>
      <c r="AJ576" s="136"/>
      <c r="AK576" s="136"/>
      <c r="AL576" s="136"/>
      <c r="AM576" s="136"/>
      <c r="AN576" s="136"/>
      <c r="AO576" s="136"/>
      <c r="AP576" s="136"/>
      <c r="AQ576" s="136"/>
      <c r="AR576" s="136"/>
      <c r="AS576" s="136"/>
      <c r="AT576" s="136"/>
      <c r="AU576" s="136"/>
      <c r="AV576" s="136"/>
      <c r="AW576" s="136"/>
      <c r="AX576" s="136"/>
      <c r="AY576" s="136"/>
      <c r="AZ576" s="136"/>
      <c r="BA576" s="136"/>
      <c r="BB576" s="136"/>
      <c r="BC576" s="136"/>
      <c r="BD576" s="136"/>
      <c r="BE576" s="136"/>
      <c r="BF576" s="136"/>
      <c r="BG576" s="136"/>
      <c r="BH576" s="136"/>
      <c r="BI576" s="136"/>
    </row>
    <row r="577" spans="1:61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  <c r="AA577" s="136"/>
      <c r="AB577" s="136"/>
      <c r="AC577" s="136"/>
      <c r="AD577" s="136"/>
      <c r="AE577" s="136"/>
      <c r="AF577" s="136"/>
      <c r="AG577" s="136"/>
      <c r="AH577" s="136"/>
      <c r="AI577" s="136"/>
      <c r="AJ577" s="136"/>
      <c r="AK577" s="136"/>
      <c r="AL577" s="136"/>
      <c r="AM577" s="136"/>
      <c r="AN577" s="136"/>
      <c r="AO577" s="136"/>
      <c r="AP577" s="136"/>
      <c r="AQ577" s="136"/>
      <c r="AR577" s="136"/>
      <c r="AS577" s="136"/>
      <c r="AT577" s="136"/>
      <c r="AU577" s="136"/>
      <c r="AV577" s="136"/>
      <c r="AW577" s="136"/>
      <c r="AX577" s="136"/>
      <c r="AY577" s="136"/>
      <c r="AZ577" s="136"/>
      <c r="BA577" s="136"/>
      <c r="BB577" s="136"/>
      <c r="BC577" s="136"/>
      <c r="BD577" s="136"/>
      <c r="BE577" s="136"/>
      <c r="BF577" s="136"/>
      <c r="BG577" s="136"/>
      <c r="BH577" s="136"/>
      <c r="BI577" s="136"/>
    </row>
    <row r="578" spans="1:61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  <c r="AA578" s="136"/>
      <c r="AB578" s="136"/>
      <c r="AC578" s="136"/>
      <c r="AD578" s="136"/>
      <c r="AE578" s="136"/>
      <c r="AF578" s="136"/>
      <c r="AG578" s="136"/>
      <c r="AH578" s="136"/>
      <c r="AI578" s="136"/>
      <c r="AJ578" s="136"/>
      <c r="AK578" s="136"/>
      <c r="AL578" s="136"/>
      <c r="AM578" s="136"/>
      <c r="AN578" s="136"/>
      <c r="AO578" s="136"/>
      <c r="AP578" s="136"/>
      <c r="AQ578" s="136"/>
      <c r="AR578" s="136"/>
      <c r="AS578" s="136"/>
      <c r="AT578" s="136"/>
      <c r="AU578" s="136"/>
      <c r="AV578" s="136"/>
      <c r="AW578" s="136"/>
      <c r="AX578" s="136"/>
      <c r="AY578" s="136"/>
      <c r="AZ578" s="136"/>
      <c r="BA578" s="136"/>
      <c r="BB578" s="136"/>
      <c r="BC578" s="136"/>
      <c r="BD578" s="136"/>
      <c r="BE578" s="136"/>
      <c r="BF578" s="136"/>
      <c r="BG578" s="136"/>
      <c r="BH578" s="136"/>
      <c r="BI578" s="136"/>
    </row>
    <row r="579" spans="1:61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  <c r="AA579" s="136"/>
      <c r="AB579" s="136"/>
      <c r="AC579" s="136"/>
      <c r="AD579" s="136"/>
      <c r="AE579" s="136"/>
      <c r="AF579" s="136"/>
      <c r="AG579" s="136"/>
      <c r="AH579" s="136"/>
      <c r="AI579" s="136"/>
      <c r="AJ579" s="136"/>
      <c r="AK579" s="136"/>
      <c r="AL579" s="136"/>
      <c r="AM579" s="136"/>
      <c r="AN579" s="136"/>
      <c r="AO579" s="136"/>
      <c r="AP579" s="136"/>
      <c r="AQ579" s="136"/>
      <c r="AR579" s="136"/>
      <c r="AS579" s="136"/>
      <c r="AT579" s="136"/>
      <c r="AU579" s="136"/>
      <c r="AV579" s="136"/>
      <c r="AW579" s="136"/>
      <c r="AX579" s="136"/>
      <c r="AY579" s="136"/>
      <c r="AZ579" s="136"/>
      <c r="BA579" s="136"/>
      <c r="BB579" s="136"/>
      <c r="BC579" s="136"/>
      <c r="BD579" s="136"/>
      <c r="BE579" s="136"/>
      <c r="BF579" s="136"/>
      <c r="BG579" s="136"/>
      <c r="BH579" s="136"/>
      <c r="BI579" s="136"/>
    </row>
    <row r="580" spans="1:61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  <c r="AA580" s="136"/>
      <c r="AB580" s="136"/>
      <c r="AC580" s="136"/>
      <c r="AD580" s="136"/>
      <c r="AE580" s="136"/>
      <c r="AF580" s="136"/>
      <c r="AG580" s="136"/>
      <c r="AH580" s="136"/>
      <c r="AI580" s="136"/>
      <c r="AJ580" s="136"/>
      <c r="AK580" s="136"/>
      <c r="AL580" s="136"/>
      <c r="AM580" s="136"/>
      <c r="AN580" s="136"/>
      <c r="AO580" s="136"/>
      <c r="AP580" s="136"/>
      <c r="AQ580" s="136"/>
      <c r="AR580" s="136"/>
      <c r="AS580" s="136"/>
      <c r="AT580" s="136"/>
      <c r="AU580" s="136"/>
      <c r="AV580" s="136"/>
      <c r="AW580" s="136"/>
      <c r="AX580" s="136"/>
      <c r="AY580" s="136"/>
      <c r="AZ580" s="136"/>
      <c r="BA580" s="136"/>
      <c r="BB580" s="136"/>
      <c r="BC580" s="136"/>
      <c r="BD580" s="136"/>
      <c r="BE580" s="136"/>
      <c r="BF580" s="136"/>
      <c r="BG580" s="136"/>
      <c r="BH580" s="136"/>
      <c r="BI580" s="136"/>
    </row>
    <row r="581" spans="1:61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  <c r="AA581" s="136"/>
      <c r="AB581" s="136"/>
      <c r="AC581" s="136"/>
      <c r="AD581" s="136"/>
      <c r="AE581" s="136"/>
      <c r="AF581" s="136"/>
      <c r="AG581" s="136"/>
      <c r="AH581" s="136"/>
      <c r="AI581" s="136"/>
      <c r="AJ581" s="136"/>
      <c r="AK581" s="136"/>
      <c r="AL581" s="136"/>
      <c r="AM581" s="136"/>
      <c r="AN581" s="136"/>
      <c r="AO581" s="136"/>
      <c r="AP581" s="136"/>
      <c r="AQ581" s="136"/>
      <c r="AR581" s="136"/>
      <c r="AS581" s="136"/>
      <c r="AT581" s="136"/>
      <c r="AU581" s="136"/>
      <c r="AV581" s="136"/>
      <c r="AW581" s="136"/>
      <c r="AX581" s="136"/>
      <c r="AY581" s="136"/>
      <c r="AZ581" s="136"/>
      <c r="BA581" s="136"/>
      <c r="BB581" s="136"/>
      <c r="BC581" s="136"/>
      <c r="BD581" s="136"/>
      <c r="BE581" s="136"/>
      <c r="BF581" s="136"/>
      <c r="BG581" s="136"/>
      <c r="BH581" s="136"/>
      <c r="BI581" s="136"/>
    </row>
    <row r="582" spans="1:61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  <c r="AA582" s="136"/>
      <c r="AB582" s="136"/>
      <c r="AC582" s="136"/>
      <c r="AD582" s="136"/>
      <c r="AE582" s="136"/>
      <c r="AF582" s="136"/>
      <c r="AG582" s="136"/>
      <c r="AH582" s="136"/>
      <c r="AI582" s="136"/>
      <c r="AJ582" s="136"/>
      <c r="AK582" s="136"/>
      <c r="AL582" s="136"/>
      <c r="AM582" s="136"/>
      <c r="AN582" s="136"/>
      <c r="AO582" s="136"/>
      <c r="AP582" s="136"/>
      <c r="AQ582" s="136"/>
      <c r="AR582" s="136"/>
      <c r="AS582" s="136"/>
      <c r="AT582" s="136"/>
      <c r="AU582" s="136"/>
      <c r="AV582" s="136"/>
      <c r="AW582" s="136"/>
      <c r="AX582" s="136"/>
      <c r="AY582" s="136"/>
      <c r="AZ582" s="136"/>
      <c r="BA582" s="136"/>
      <c r="BB582" s="136"/>
      <c r="BC582" s="136"/>
      <c r="BD582" s="136"/>
      <c r="BE582" s="136"/>
      <c r="BF582" s="136"/>
      <c r="BG582" s="136"/>
      <c r="BH582" s="136"/>
      <c r="BI582" s="136"/>
    </row>
    <row r="583" spans="1:61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  <c r="AA583" s="136"/>
      <c r="AB583" s="136"/>
      <c r="AC583" s="136"/>
      <c r="AD583" s="136"/>
      <c r="AE583" s="136"/>
      <c r="AF583" s="136"/>
      <c r="AG583" s="136"/>
      <c r="AH583" s="136"/>
      <c r="AI583" s="136"/>
      <c r="AJ583" s="136"/>
      <c r="AK583" s="136"/>
      <c r="AL583" s="136"/>
      <c r="AM583" s="136"/>
      <c r="AN583" s="136"/>
      <c r="AO583" s="136"/>
      <c r="AP583" s="136"/>
      <c r="AQ583" s="136"/>
      <c r="AR583" s="136"/>
      <c r="AS583" s="136"/>
      <c r="AT583" s="136"/>
      <c r="AU583" s="136"/>
      <c r="AV583" s="136"/>
      <c r="AW583" s="136"/>
      <c r="AX583" s="136"/>
      <c r="AY583" s="136"/>
      <c r="AZ583" s="136"/>
      <c r="BA583" s="136"/>
      <c r="BB583" s="136"/>
      <c r="BC583" s="136"/>
      <c r="BD583" s="136"/>
      <c r="BE583" s="136"/>
      <c r="BF583" s="136"/>
      <c r="BG583" s="136"/>
      <c r="BH583" s="136"/>
      <c r="BI583" s="136"/>
    </row>
    <row r="584" spans="1:61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  <c r="AA584" s="136"/>
      <c r="AB584" s="136"/>
      <c r="AC584" s="136"/>
      <c r="AD584" s="136"/>
      <c r="AE584" s="136"/>
      <c r="AF584" s="136"/>
      <c r="AG584" s="136"/>
      <c r="AH584" s="136"/>
      <c r="AI584" s="136"/>
      <c r="AJ584" s="136"/>
      <c r="AK584" s="136"/>
      <c r="AL584" s="136"/>
      <c r="AM584" s="136"/>
      <c r="AN584" s="136"/>
      <c r="AO584" s="136"/>
      <c r="AP584" s="136"/>
      <c r="AQ584" s="136"/>
      <c r="AR584" s="136"/>
      <c r="AS584" s="136"/>
      <c r="AT584" s="136"/>
      <c r="AU584" s="136"/>
      <c r="AV584" s="136"/>
      <c r="AW584" s="136"/>
      <c r="AX584" s="136"/>
      <c r="AY584" s="136"/>
      <c r="AZ584" s="136"/>
      <c r="BA584" s="136"/>
      <c r="BB584" s="136"/>
      <c r="BC584" s="136"/>
      <c r="BD584" s="136"/>
      <c r="BE584" s="136"/>
      <c r="BF584" s="136"/>
      <c r="BG584" s="136"/>
      <c r="BH584" s="136"/>
      <c r="BI584" s="136"/>
    </row>
    <row r="585" spans="1:61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  <c r="AA585" s="136"/>
      <c r="AB585" s="136"/>
      <c r="AC585" s="136"/>
      <c r="AD585" s="136"/>
      <c r="AE585" s="136"/>
      <c r="AF585" s="136"/>
      <c r="AG585" s="136"/>
      <c r="AH585" s="136"/>
      <c r="AI585" s="136"/>
      <c r="AJ585" s="136"/>
      <c r="AK585" s="136"/>
      <c r="AL585" s="136"/>
      <c r="AM585" s="136"/>
      <c r="AN585" s="136"/>
      <c r="AO585" s="136"/>
      <c r="AP585" s="136"/>
      <c r="AQ585" s="136"/>
      <c r="AR585" s="136"/>
      <c r="AS585" s="136"/>
      <c r="AT585" s="136"/>
      <c r="AU585" s="136"/>
      <c r="AV585" s="136"/>
      <c r="AW585" s="136"/>
      <c r="AX585" s="136"/>
      <c r="AY585" s="136"/>
      <c r="AZ585" s="136"/>
      <c r="BA585" s="136"/>
      <c r="BB585" s="136"/>
      <c r="BC585" s="136"/>
      <c r="BD585" s="136"/>
      <c r="BE585" s="136"/>
      <c r="BF585" s="136"/>
      <c r="BG585" s="136"/>
      <c r="BH585" s="136"/>
      <c r="BI585" s="136"/>
    </row>
    <row r="586" spans="1:61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  <c r="AA586" s="136"/>
      <c r="AB586" s="136"/>
      <c r="AC586" s="136"/>
      <c r="AD586" s="136"/>
      <c r="AE586" s="136"/>
      <c r="AF586" s="136"/>
      <c r="AG586" s="136"/>
      <c r="AH586" s="136"/>
      <c r="AI586" s="136"/>
      <c r="AJ586" s="136"/>
      <c r="AK586" s="136"/>
      <c r="AL586" s="136"/>
      <c r="AM586" s="136"/>
      <c r="AN586" s="136"/>
      <c r="AO586" s="136"/>
      <c r="AP586" s="136"/>
      <c r="AQ586" s="136"/>
      <c r="AR586" s="136"/>
      <c r="AS586" s="136"/>
      <c r="AT586" s="136"/>
      <c r="AU586" s="136"/>
      <c r="AV586" s="136"/>
      <c r="AW586" s="136"/>
      <c r="AX586" s="136"/>
      <c r="AY586" s="136"/>
      <c r="AZ586" s="136"/>
      <c r="BA586" s="136"/>
      <c r="BB586" s="136"/>
      <c r="BC586" s="136"/>
      <c r="BD586" s="136"/>
      <c r="BE586" s="136"/>
      <c r="BF586" s="136"/>
      <c r="BG586" s="136"/>
      <c r="BH586" s="136"/>
      <c r="BI586" s="136"/>
    </row>
    <row r="587" spans="1:61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  <c r="AA587" s="136"/>
      <c r="AB587" s="136"/>
      <c r="AC587" s="136"/>
      <c r="AD587" s="136"/>
      <c r="AE587" s="136"/>
      <c r="AF587" s="136"/>
      <c r="AG587" s="136"/>
      <c r="AH587" s="136"/>
      <c r="AI587" s="136"/>
      <c r="AJ587" s="136"/>
      <c r="AK587" s="136"/>
      <c r="AL587" s="136"/>
      <c r="AM587" s="136"/>
      <c r="AN587" s="136"/>
      <c r="AO587" s="136"/>
      <c r="AP587" s="136"/>
      <c r="AQ587" s="136"/>
      <c r="AR587" s="136"/>
      <c r="AS587" s="136"/>
      <c r="AT587" s="136"/>
      <c r="AU587" s="136"/>
      <c r="AV587" s="136"/>
      <c r="AW587" s="136"/>
      <c r="AX587" s="136"/>
      <c r="AY587" s="136"/>
      <c r="AZ587" s="136"/>
      <c r="BA587" s="136"/>
      <c r="BB587" s="136"/>
      <c r="BC587" s="136"/>
      <c r="BD587" s="136"/>
      <c r="BE587" s="136"/>
      <c r="BF587" s="136"/>
      <c r="BG587" s="136"/>
      <c r="BH587" s="136"/>
      <c r="BI587" s="136"/>
    </row>
    <row r="588" spans="1:61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  <c r="AA588" s="136"/>
      <c r="AB588" s="136"/>
      <c r="AC588" s="136"/>
      <c r="AD588" s="136"/>
      <c r="AE588" s="136"/>
      <c r="AF588" s="136"/>
      <c r="AG588" s="136"/>
      <c r="AH588" s="136"/>
      <c r="AI588" s="136"/>
      <c r="AJ588" s="136"/>
      <c r="AK588" s="136"/>
      <c r="AL588" s="136"/>
      <c r="AM588" s="136"/>
      <c r="AN588" s="136"/>
      <c r="AO588" s="136"/>
      <c r="AP588" s="136"/>
      <c r="AQ588" s="136"/>
      <c r="AR588" s="136"/>
      <c r="AS588" s="136"/>
      <c r="AT588" s="136"/>
      <c r="AU588" s="136"/>
      <c r="AV588" s="136"/>
      <c r="AW588" s="136"/>
      <c r="AX588" s="136"/>
      <c r="AY588" s="136"/>
      <c r="AZ588" s="136"/>
      <c r="BA588" s="136"/>
      <c r="BB588" s="136"/>
      <c r="BC588" s="136"/>
      <c r="BD588" s="136"/>
      <c r="BE588" s="136"/>
      <c r="BF588" s="136"/>
      <c r="BG588" s="136"/>
      <c r="BH588" s="136"/>
      <c r="BI588" s="136"/>
    </row>
    <row r="589" spans="1:61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  <c r="AA589" s="136"/>
      <c r="AB589" s="136"/>
      <c r="AC589" s="136"/>
      <c r="AD589" s="136"/>
      <c r="AE589" s="136"/>
      <c r="AF589" s="136"/>
      <c r="AG589" s="136"/>
      <c r="AH589" s="136"/>
      <c r="AI589" s="136"/>
      <c r="AJ589" s="136"/>
      <c r="AK589" s="136"/>
      <c r="AL589" s="136"/>
      <c r="AM589" s="136"/>
      <c r="AN589" s="136"/>
      <c r="AO589" s="136"/>
      <c r="AP589" s="136"/>
      <c r="AQ589" s="136"/>
      <c r="AR589" s="136"/>
      <c r="AS589" s="136"/>
      <c r="AT589" s="136"/>
      <c r="AU589" s="136"/>
      <c r="AV589" s="136"/>
      <c r="AW589" s="136"/>
      <c r="AX589" s="136"/>
      <c r="AY589" s="136"/>
      <c r="AZ589" s="136"/>
      <c r="BA589" s="136"/>
      <c r="BB589" s="136"/>
      <c r="BC589" s="136"/>
      <c r="BD589" s="136"/>
      <c r="BE589" s="136"/>
      <c r="BF589" s="136"/>
      <c r="BG589" s="136"/>
      <c r="BH589" s="136"/>
      <c r="BI589" s="136"/>
    </row>
    <row r="590" spans="1:61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  <c r="AA590" s="136"/>
      <c r="AB590" s="136"/>
      <c r="AC590" s="136"/>
      <c r="AD590" s="136"/>
      <c r="AE590" s="136"/>
      <c r="AF590" s="136"/>
      <c r="AG590" s="136"/>
      <c r="AH590" s="136"/>
      <c r="AI590" s="136"/>
      <c r="AJ590" s="136"/>
      <c r="AK590" s="136"/>
      <c r="AL590" s="136"/>
      <c r="AM590" s="136"/>
      <c r="AN590" s="136"/>
      <c r="AO590" s="136"/>
      <c r="AP590" s="136"/>
      <c r="AQ590" s="136"/>
      <c r="AR590" s="136"/>
      <c r="AS590" s="136"/>
      <c r="AT590" s="136"/>
      <c r="AU590" s="136"/>
      <c r="AV590" s="136"/>
      <c r="AW590" s="136"/>
      <c r="AX590" s="136"/>
      <c r="AY590" s="136"/>
      <c r="AZ590" s="136"/>
      <c r="BA590" s="136"/>
      <c r="BB590" s="136"/>
      <c r="BC590" s="136"/>
      <c r="BD590" s="136"/>
      <c r="BE590" s="136"/>
      <c r="BF590" s="136"/>
      <c r="BG590" s="136"/>
      <c r="BH590" s="136"/>
      <c r="BI590" s="136"/>
    </row>
    <row r="591" spans="1:61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  <c r="AA591" s="136"/>
      <c r="AB591" s="136"/>
      <c r="AC591" s="136"/>
      <c r="AD591" s="136"/>
      <c r="AE591" s="136"/>
      <c r="AF591" s="136"/>
      <c r="AG591" s="136"/>
      <c r="AH591" s="136"/>
      <c r="AI591" s="136"/>
      <c r="AJ591" s="136"/>
      <c r="AK591" s="136"/>
      <c r="AL591" s="136"/>
      <c r="AM591" s="136"/>
      <c r="AN591" s="136"/>
      <c r="AO591" s="136"/>
      <c r="AP591" s="136"/>
      <c r="AQ591" s="136"/>
      <c r="AR591" s="136"/>
      <c r="AS591" s="136"/>
      <c r="AT591" s="136"/>
      <c r="AU591" s="136"/>
      <c r="AV591" s="136"/>
      <c r="AW591" s="136"/>
      <c r="AX591" s="136"/>
      <c r="AY591" s="136"/>
      <c r="AZ591" s="136"/>
      <c r="BA591" s="136"/>
      <c r="BB591" s="136"/>
      <c r="BC591" s="136"/>
      <c r="BD591" s="136"/>
      <c r="BE591" s="136"/>
      <c r="BF591" s="136"/>
      <c r="BG591" s="136"/>
      <c r="BH591" s="136"/>
      <c r="BI591" s="136"/>
    </row>
    <row r="592" spans="1:61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  <c r="AA592" s="136"/>
      <c r="AB592" s="136"/>
      <c r="AC592" s="136"/>
      <c r="AD592" s="136"/>
      <c r="AE592" s="136"/>
      <c r="AF592" s="136"/>
      <c r="AG592" s="136"/>
      <c r="AH592" s="136"/>
      <c r="AI592" s="136"/>
      <c r="AJ592" s="136"/>
      <c r="AK592" s="136"/>
      <c r="AL592" s="136"/>
      <c r="AM592" s="136"/>
      <c r="AN592" s="136"/>
      <c r="AO592" s="136"/>
      <c r="AP592" s="136"/>
      <c r="AQ592" s="136"/>
      <c r="AR592" s="136"/>
      <c r="AS592" s="136"/>
      <c r="AT592" s="136"/>
      <c r="AU592" s="136"/>
      <c r="AV592" s="136"/>
      <c r="AW592" s="136"/>
      <c r="AX592" s="136"/>
      <c r="AY592" s="136"/>
      <c r="AZ592" s="136"/>
      <c r="BA592" s="136"/>
      <c r="BB592" s="136"/>
      <c r="BC592" s="136"/>
      <c r="BD592" s="136"/>
      <c r="BE592" s="136"/>
      <c r="BF592" s="136"/>
      <c r="BG592" s="136"/>
      <c r="BH592" s="136"/>
      <c r="BI592" s="136"/>
    </row>
    <row r="593" spans="1:61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  <c r="AA593" s="136"/>
      <c r="AB593" s="136"/>
      <c r="AC593" s="136"/>
      <c r="AD593" s="136"/>
      <c r="AE593" s="136"/>
      <c r="AF593" s="136"/>
      <c r="AG593" s="136"/>
      <c r="AH593" s="136"/>
      <c r="AI593" s="136"/>
      <c r="AJ593" s="136"/>
      <c r="AK593" s="136"/>
      <c r="AL593" s="136"/>
      <c r="AM593" s="136"/>
      <c r="AN593" s="136"/>
      <c r="AO593" s="136"/>
      <c r="AP593" s="136"/>
      <c r="AQ593" s="136"/>
      <c r="AR593" s="136"/>
      <c r="AS593" s="136"/>
      <c r="AT593" s="136"/>
      <c r="AU593" s="136"/>
      <c r="AV593" s="136"/>
      <c r="AW593" s="136"/>
      <c r="AX593" s="136"/>
      <c r="AY593" s="136"/>
      <c r="AZ593" s="136"/>
      <c r="BA593" s="136"/>
      <c r="BB593" s="136"/>
      <c r="BC593" s="136"/>
      <c r="BD593" s="136"/>
      <c r="BE593" s="136"/>
      <c r="BF593" s="136"/>
      <c r="BG593" s="136"/>
      <c r="BH593" s="136"/>
      <c r="BI593" s="136"/>
    </row>
    <row r="594" spans="1:61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  <c r="AA594" s="136"/>
      <c r="AB594" s="136"/>
      <c r="AC594" s="136"/>
      <c r="AD594" s="136"/>
      <c r="AE594" s="136"/>
      <c r="AF594" s="136"/>
      <c r="AG594" s="136"/>
      <c r="AH594" s="136"/>
      <c r="AI594" s="136"/>
      <c r="AJ594" s="136"/>
      <c r="AK594" s="136"/>
      <c r="AL594" s="136"/>
      <c r="AM594" s="136"/>
      <c r="AN594" s="136"/>
      <c r="AO594" s="136"/>
      <c r="AP594" s="136"/>
      <c r="AQ594" s="136"/>
      <c r="AR594" s="136"/>
      <c r="AS594" s="136"/>
      <c r="AT594" s="136"/>
      <c r="AU594" s="136"/>
      <c r="AV594" s="136"/>
      <c r="AW594" s="136"/>
      <c r="AX594" s="136"/>
      <c r="AY594" s="136"/>
      <c r="AZ594" s="136"/>
      <c r="BA594" s="136"/>
      <c r="BB594" s="136"/>
      <c r="BC594" s="136"/>
      <c r="BD594" s="136"/>
      <c r="BE594" s="136"/>
      <c r="BF594" s="136"/>
      <c r="BG594" s="136"/>
      <c r="BH594" s="136"/>
      <c r="BI594" s="136"/>
    </row>
    <row r="595" spans="1:61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  <c r="AA595" s="136"/>
      <c r="AB595" s="136"/>
      <c r="AC595" s="136"/>
      <c r="AD595" s="136"/>
      <c r="AE595" s="136"/>
      <c r="AF595" s="136"/>
      <c r="AG595" s="136"/>
      <c r="AH595" s="136"/>
      <c r="AI595" s="136"/>
      <c r="AJ595" s="136"/>
      <c r="AK595" s="136"/>
      <c r="AL595" s="136"/>
      <c r="AM595" s="136"/>
      <c r="AN595" s="136"/>
      <c r="AO595" s="136"/>
      <c r="AP595" s="136"/>
      <c r="AQ595" s="136"/>
      <c r="AR595" s="136"/>
      <c r="AS595" s="136"/>
      <c r="AT595" s="136"/>
      <c r="AU595" s="136"/>
      <c r="AV595" s="136"/>
      <c r="AW595" s="136"/>
      <c r="AX595" s="136"/>
      <c r="AY595" s="136"/>
      <c r="AZ595" s="136"/>
      <c r="BA595" s="136"/>
      <c r="BB595" s="136"/>
      <c r="BC595" s="136"/>
      <c r="BD595" s="136"/>
      <c r="BE595" s="136"/>
      <c r="BF595" s="136"/>
      <c r="BG595" s="136"/>
      <c r="BH595" s="136"/>
      <c r="BI595" s="136"/>
    </row>
    <row r="596" spans="1:61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  <c r="AA596" s="136"/>
      <c r="AB596" s="136"/>
      <c r="AC596" s="136"/>
      <c r="AD596" s="136"/>
      <c r="AE596" s="136"/>
      <c r="AF596" s="136"/>
      <c r="AG596" s="136"/>
      <c r="AH596" s="136"/>
      <c r="AI596" s="136"/>
      <c r="AJ596" s="136"/>
      <c r="AK596" s="136"/>
      <c r="AL596" s="136"/>
      <c r="AM596" s="136"/>
      <c r="AN596" s="136"/>
      <c r="AO596" s="136"/>
      <c r="AP596" s="136"/>
      <c r="AQ596" s="136"/>
      <c r="AR596" s="136"/>
      <c r="AS596" s="136"/>
      <c r="AT596" s="136"/>
      <c r="AU596" s="136"/>
      <c r="AV596" s="136"/>
      <c r="AW596" s="136"/>
      <c r="AX596" s="136"/>
      <c r="AY596" s="136"/>
      <c r="AZ596" s="136"/>
      <c r="BA596" s="136"/>
      <c r="BB596" s="136"/>
      <c r="BC596" s="136"/>
      <c r="BD596" s="136"/>
      <c r="BE596" s="136"/>
      <c r="BF596" s="136"/>
      <c r="BG596" s="136"/>
      <c r="BH596" s="136"/>
      <c r="BI596" s="136"/>
    </row>
    <row r="597" spans="1:61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  <c r="AA597" s="136"/>
      <c r="AB597" s="136"/>
      <c r="AC597" s="136"/>
      <c r="AD597" s="136"/>
      <c r="AE597" s="136"/>
      <c r="AF597" s="136"/>
      <c r="AG597" s="136"/>
      <c r="AH597" s="136"/>
      <c r="AI597" s="136"/>
      <c r="AJ597" s="136"/>
      <c r="AK597" s="136"/>
      <c r="AL597" s="136"/>
      <c r="AM597" s="136"/>
      <c r="AN597" s="136"/>
      <c r="AO597" s="136"/>
      <c r="AP597" s="136"/>
      <c r="AQ597" s="136"/>
      <c r="AR597" s="136"/>
      <c r="AS597" s="136"/>
      <c r="AT597" s="136"/>
      <c r="AU597" s="136"/>
      <c r="AV597" s="136"/>
      <c r="AW597" s="136"/>
      <c r="AX597" s="136"/>
      <c r="AY597" s="136"/>
      <c r="AZ597" s="136"/>
      <c r="BA597" s="136"/>
      <c r="BB597" s="136"/>
      <c r="BC597" s="136"/>
      <c r="BD597" s="136"/>
      <c r="BE597" s="136"/>
      <c r="BF597" s="136"/>
      <c r="BG597" s="136"/>
      <c r="BH597" s="136"/>
      <c r="BI597" s="136"/>
    </row>
    <row r="598" spans="1:61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  <c r="AA598" s="136"/>
      <c r="AB598" s="136"/>
      <c r="AC598" s="136"/>
      <c r="AD598" s="136"/>
      <c r="AE598" s="136"/>
      <c r="AF598" s="136"/>
      <c r="AG598" s="136"/>
      <c r="AH598" s="136"/>
      <c r="AI598" s="136"/>
      <c r="AJ598" s="136"/>
      <c r="AK598" s="136"/>
      <c r="AL598" s="136"/>
      <c r="AM598" s="136"/>
      <c r="AN598" s="136"/>
      <c r="AO598" s="136"/>
      <c r="AP598" s="136"/>
      <c r="AQ598" s="136"/>
      <c r="AR598" s="136"/>
      <c r="AS598" s="136"/>
      <c r="AT598" s="136"/>
      <c r="AU598" s="136"/>
      <c r="AV598" s="136"/>
      <c r="AW598" s="136"/>
      <c r="AX598" s="136"/>
      <c r="AY598" s="136"/>
      <c r="AZ598" s="136"/>
      <c r="BA598" s="136"/>
      <c r="BB598" s="136"/>
      <c r="BC598" s="136"/>
      <c r="BD598" s="136"/>
      <c r="BE598" s="136"/>
      <c r="BF598" s="136"/>
      <c r="BG598" s="136"/>
      <c r="BH598" s="136"/>
      <c r="BI598" s="136"/>
    </row>
    <row r="599" spans="1:61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  <c r="AA599" s="136"/>
      <c r="AB599" s="136"/>
      <c r="AC599" s="136"/>
      <c r="AD599" s="136"/>
      <c r="AE599" s="136"/>
      <c r="AF599" s="136"/>
      <c r="AG599" s="136"/>
      <c r="AH599" s="136"/>
      <c r="AI599" s="136"/>
      <c r="AJ599" s="136"/>
      <c r="AK599" s="136"/>
      <c r="AL599" s="136"/>
      <c r="AM599" s="136"/>
      <c r="AN599" s="136"/>
      <c r="AO599" s="136"/>
      <c r="AP599" s="136"/>
      <c r="AQ599" s="136"/>
      <c r="AR599" s="136"/>
      <c r="AS599" s="136"/>
      <c r="AT599" s="136"/>
      <c r="AU599" s="136"/>
      <c r="AV599" s="136"/>
      <c r="AW599" s="136"/>
      <c r="AX599" s="136"/>
      <c r="AY599" s="136"/>
      <c r="AZ599" s="136"/>
      <c r="BA599" s="136"/>
      <c r="BB599" s="136"/>
      <c r="BC599" s="136"/>
      <c r="BD599" s="136"/>
      <c r="BE599" s="136"/>
      <c r="BF599" s="136"/>
      <c r="BG599" s="136"/>
      <c r="BH599" s="136"/>
      <c r="BI599" s="136"/>
    </row>
    <row r="600" spans="1:61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  <c r="AA600" s="136"/>
      <c r="AB600" s="136"/>
      <c r="AC600" s="136"/>
      <c r="AD600" s="136"/>
      <c r="AE600" s="136"/>
      <c r="AF600" s="136"/>
      <c r="AG600" s="136"/>
      <c r="AH600" s="136"/>
      <c r="AI600" s="136"/>
      <c r="AJ600" s="136"/>
      <c r="AK600" s="136"/>
      <c r="AL600" s="136"/>
      <c r="AM600" s="136"/>
      <c r="AN600" s="136"/>
      <c r="AO600" s="136"/>
      <c r="AP600" s="136"/>
      <c r="AQ600" s="136"/>
      <c r="AR600" s="136"/>
      <c r="AS600" s="136"/>
      <c r="AT600" s="136"/>
      <c r="AU600" s="136"/>
      <c r="AV600" s="136"/>
      <c r="AW600" s="136"/>
      <c r="AX600" s="136"/>
      <c r="AY600" s="136"/>
      <c r="AZ600" s="136"/>
      <c r="BA600" s="136"/>
      <c r="BB600" s="136"/>
      <c r="BC600" s="136"/>
      <c r="BD600" s="136"/>
      <c r="BE600" s="136"/>
      <c r="BF600" s="136"/>
      <c r="BG600" s="136"/>
      <c r="BH600" s="136"/>
      <c r="BI600" s="136"/>
    </row>
    <row r="601" spans="1:61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  <c r="AA601" s="136"/>
      <c r="AB601" s="136"/>
      <c r="AC601" s="136"/>
      <c r="AD601" s="136"/>
      <c r="AE601" s="136"/>
      <c r="AF601" s="136"/>
      <c r="AG601" s="136"/>
      <c r="AH601" s="136"/>
      <c r="AI601" s="136"/>
      <c r="AJ601" s="136"/>
      <c r="AK601" s="136"/>
      <c r="AL601" s="136"/>
      <c r="AM601" s="136"/>
      <c r="AN601" s="136"/>
      <c r="AO601" s="136"/>
      <c r="AP601" s="136"/>
      <c r="AQ601" s="136"/>
      <c r="AR601" s="136"/>
      <c r="AS601" s="136"/>
      <c r="AT601" s="136"/>
      <c r="AU601" s="136"/>
      <c r="AV601" s="136"/>
      <c r="AW601" s="136"/>
      <c r="AX601" s="136"/>
      <c r="AY601" s="136"/>
      <c r="AZ601" s="136"/>
      <c r="BA601" s="136"/>
      <c r="BB601" s="136"/>
      <c r="BC601" s="136"/>
      <c r="BD601" s="136"/>
      <c r="BE601" s="136"/>
      <c r="BF601" s="136"/>
      <c r="BG601" s="136"/>
      <c r="BH601" s="136"/>
      <c r="BI601" s="136"/>
    </row>
    <row r="602" spans="1:61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  <c r="AA602" s="136"/>
      <c r="AB602" s="136"/>
      <c r="AC602" s="136"/>
      <c r="AD602" s="136"/>
      <c r="AE602" s="136"/>
      <c r="AF602" s="136"/>
      <c r="AG602" s="136"/>
      <c r="AH602" s="136"/>
      <c r="AI602" s="136"/>
      <c r="AJ602" s="136"/>
      <c r="AK602" s="136"/>
      <c r="AL602" s="136"/>
      <c r="AM602" s="136"/>
      <c r="AN602" s="136"/>
      <c r="AO602" s="136"/>
      <c r="AP602" s="136"/>
      <c r="AQ602" s="136"/>
      <c r="AR602" s="136"/>
      <c r="AS602" s="136"/>
      <c r="AT602" s="136"/>
      <c r="AU602" s="136"/>
      <c r="AV602" s="136"/>
      <c r="AW602" s="136"/>
      <c r="AX602" s="136"/>
      <c r="AY602" s="136"/>
      <c r="AZ602" s="136"/>
      <c r="BA602" s="136"/>
      <c r="BB602" s="136"/>
      <c r="BC602" s="136"/>
      <c r="BD602" s="136"/>
      <c r="BE602" s="136"/>
      <c r="BF602" s="136"/>
      <c r="BG602" s="136"/>
      <c r="BH602" s="136"/>
      <c r="BI602" s="136"/>
    </row>
    <row r="603" spans="1:61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  <c r="AA603" s="136"/>
      <c r="AB603" s="136"/>
      <c r="AC603" s="136"/>
      <c r="AD603" s="136"/>
      <c r="AE603" s="136"/>
      <c r="AF603" s="136"/>
      <c r="AG603" s="136"/>
      <c r="AH603" s="136"/>
      <c r="AI603" s="136"/>
      <c r="AJ603" s="136"/>
      <c r="AK603" s="136"/>
      <c r="AL603" s="136"/>
      <c r="AM603" s="136"/>
      <c r="AN603" s="136"/>
      <c r="AO603" s="136"/>
      <c r="AP603" s="136"/>
      <c r="AQ603" s="136"/>
      <c r="AR603" s="136"/>
      <c r="AS603" s="136"/>
      <c r="AT603" s="136"/>
      <c r="AU603" s="136"/>
      <c r="AV603" s="136"/>
      <c r="AW603" s="136"/>
      <c r="AX603" s="136"/>
      <c r="AY603" s="136"/>
      <c r="AZ603" s="136"/>
      <c r="BA603" s="136"/>
      <c r="BB603" s="136"/>
      <c r="BC603" s="136"/>
      <c r="BD603" s="136"/>
      <c r="BE603" s="136"/>
      <c r="BF603" s="136"/>
      <c r="BG603" s="136"/>
      <c r="BH603" s="136"/>
      <c r="BI603" s="136"/>
    </row>
    <row r="604" spans="1:61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  <c r="AA604" s="136"/>
      <c r="AB604" s="136"/>
      <c r="AC604" s="136"/>
      <c r="AD604" s="136"/>
      <c r="AE604" s="136"/>
      <c r="AF604" s="136"/>
      <c r="AG604" s="136"/>
      <c r="AH604" s="136"/>
      <c r="AI604" s="136"/>
      <c r="AJ604" s="136"/>
      <c r="AK604" s="136"/>
      <c r="AL604" s="136"/>
      <c r="AM604" s="136"/>
      <c r="AN604" s="136"/>
      <c r="AO604" s="136"/>
      <c r="AP604" s="136"/>
      <c r="AQ604" s="136"/>
      <c r="AR604" s="136"/>
      <c r="AS604" s="136"/>
      <c r="AT604" s="136"/>
      <c r="AU604" s="136"/>
      <c r="AV604" s="136"/>
      <c r="AW604" s="136"/>
      <c r="AX604" s="136"/>
      <c r="AY604" s="136"/>
      <c r="AZ604" s="136"/>
      <c r="BA604" s="136"/>
      <c r="BB604" s="136"/>
      <c r="BC604" s="136"/>
      <c r="BD604" s="136"/>
      <c r="BE604" s="136"/>
      <c r="BF604" s="136"/>
      <c r="BG604" s="136"/>
      <c r="BH604" s="136"/>
      <c r="BI604" s="136"/>
    </row>
    <row r="605" spans="1:61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  <c r="AA605" s="136"/>
      <c r="AB605" s="136"/>
      <c r="AC605" s="136"/>
      <c r="AD605" s="136"/>
      <c r="AE605" s="136"/>
      <c r="AF605" s="136"/>
      <c r="AG605" s="136"/>
      <c r="AH605" s="136"/>
      <c r="AI605" s="136"/>
      <c r="AJ605" s="136"/>
      <c r="AK605" s="136"/>
      <c r="AL605" s="136"/>
      <c r="AM605" s="136"/>
      <c r="AN605" s="136"/>
      <c r="AO605" s="136"/>
      <c r="AP605" s="136"/>
      <c r="AQ605" s="136"/>
      <c r="AR605" s="136"/>
      <c r="AS605" s="136"/>
      <c r="AT605" s="136"/>
      <c r="AU605" s="136"/>
      <c r="AV605" s="136"/>
      <c r="AW605" s="136"/>
      <c r="AX605" s="136"/>
      <c r="AY605" s="136"/>
      <c r="AZ605" s="136"/>
      <c r="BA605" s="136"/>
      <c r="BB605" s="136"/>
      <c r="BC605" s="136"/>
      <c r="BD605" s="136"/>
      <c r="BE605" s="136"/>
      <c r="BF605" s="136"/>
      <c r="BG605" s="136"/>
      <c r="BH605" s="136"/>
      <c r="BI605" s="136"/>
    </row>
    <row r="606" spans="1:61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  <c r="AA606" s="136"/>
      <c r="AB606" s="136"/>
      <c r="AC606" s="136"/>
      <c r="AD606" s="136"/>
      <c r="AE606" s="136"/>
      <c r="AF606" s="136"/>
      <c r="AG606" s="136"/>
      <c r="AH606" s="136"/>
      <c r="AI606" s="136"/>
      <c r="AJ606" s="136"/>
      <c r="AK606" s="136"/>
      <c r="AL606" s="136"/>
      <c r="AM606" s="136"/>
      <c r="AN606" s="136"/>
      <c r="AO606" s="136"/>
      <c r="AP606" s="136"/>
      <c r="AQ606" s="136"/>
      <c r="AR606" s="136"/>
      <c r="AS606" s="136"/>
      <c r="AT606" s="136"/>
      <c r="AU606" s="136"/>
      <c r="AV606" s="136"/>
      <c r="AW606" s="136"/>
      <c r="AX606" s="136"/>
      <c r="AY606" s="136"/>
      <c r="AZ606" s="136"/>
      <c r="BA606" s="136"/>
      <c r="BB606" s="136"/>
      <c r="BC606" s="136"/>
      <c r="BD606" s="136"/>
      <c r="BE606" s="136"/>
      <c r="BF606" s="136"/>
      <c r="BG606" s="136"/>
      <c r="BH606" s="136"/>
      <c r="BI606" s="136"/>
    </row>
    <row r="607" spans="1:61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  <c r="AA607" s="136"/>
      <c r="AB607" s="136"/>
      <c r="AC607" s="136"/>
      <c r="AD607" s="136"/>
      <c r="AE607" s="136"/>
      <c r="AF607" s="136"/>
      <c r="AG607" s="136"/>
      <c r="AH607" s="136"/>
      <c r="AI607" s="136"/>
      <c r="AJ607" s="136"/>
      <c r="AK607" s="136"/>
      <c r="AL607" s="136"/>
      <c r="AM607" s="136"/>
      <c r="AN607" s="136"/>
      <c r="AO607" s="136"/>
      <c r="AP607" s="136"/>
      <c r="AQ607" s="136"/>
      <c r="AR607" s="136"/>
      <c r="AS607" s="136"/>
      <c r="AT607" s="136"/>
      <c r="AU607" s="136"/>
      <c r="AV607" s="136"/>
      <c r="AW607" s="136"/>
      <c r="AX607" s="136"/>
      <c r="AY607" s="136"/>
      <c r="AZ607" s="136"/>
      <c r="BA607" s="136"/>
      <c r="BB607" s="136"/>
      <c r="BC607" s="136"/>
      <c r="BD607" s="136"/>
      <c r="BE607" s="136"/>
      <c r="BF607" s="136"/>
      <c r="BG607" s="136"/>
      <c r="BH607" s="136"/>
      <c r="BI607" s="136"/>
    </row>
    <row r="608" spans="1:61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  <c r="AA608" s="136"/>
      <c r="AB608" s="136"/>
      <c r="AC608" s="136"/>
      <c r="AD608" s="136"/>
      <c r="AE608" s="136"/>
      <c r="AF608" s="136"/>
      <c r="AG608" s="136"/>
      <c r="AH608" s="136"/>
      <c r="AI608" s="136"/>
      <c r="AJ608" s="136"/>
      <c r="AK608" s="136"/>
      <c r="AL608" s="136"/>
      <c r="AM608" s="136"/>
      <c r="AN608" s="136"/>
      <c r="AO608" s="136"/>
      <c r="AP608" s="136"/>
      <c r="AQ608" s="136"/>
      <c r="AR608" s="136"/>
      <c r="AS608" s="136"/>
      <c r="AT608" s="136"/>
      <c r="AU608" s="136"/>
      <c r="AV608" s="136"/>
      <c r="AW608" s="136"/>
      <c r="AX608" s="136"/>
      <c r="AY608" s="136"/>
      <c r="AZ608" s="136"/>
      <c r="BA608" s="136"/>
      <c r="BB608" s="136"/>
      <c r="BC608" s="136"/>
      <c r="BD608" s="136"/>
      <c r="BE608" s="136"/>
      <c r="BF608" s="136"/>
      <c r="BG608" s="136"/>
      <c r="BH608" s="136"/>
      <c r="BI608" s="136"/>
    </row>
    <row r="609" spans="1:61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  <c r="AA609" s="136"/>
      <c r="AB609" s="136"/>
      <c r="AC609" s="136"/>
      <c r="AD609" s="136"/>
      <c r="AE609" s="136"/>
      <c r="AF609" s="136"/>
      <c r="AG609" s="136"/>
      <c r="AH609" s="136"/>
      <c r="AI609" s="136"/>
      <c r="AJ609" s="136"/>
      <c r="AK609" s="136"/>
      <c r="AL609" s="136"/>
      <c r="AM609" s="136"/>
      <c r="AN609" s="136"/>
      <c r="AO609" s="136"/>
      <c r="AP609" s="136"/>
      <c r="AQ609" s="136"/>
      <c r="AR609" s="136"/>
      <c r="AS609" s="136"/>
      <c r="AT609" s="136"/>
      <c r="AU609" s="136"/>
      <c r="AV609" s="136"/>
      <c r="AW609" s="136"/>
      <c r="AX609" s="136"/>
      <c r="AY609" s="136"/>
      <c r="AZ609" s="136"/>
      <c r="BA609" s="136"/>
      <c r="BB609" s="136"/>
      <c r="BC609" s="136"/>
      <c r="BD609" s="136"/>
      <c r="BE609" s="136"/>
      <c r="BF609" s="136"/>
      <c r="BG609" s="136"/>
      <c r="BH609" s="136"/>
      <c r="BI609" s="136"/>
    </row>
    <row r="610" spans="1:61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  <c r="AA610" s="136"/>
      <c r="AB610" s="136"/>
      <c r="AC610" s="136"/>
      <c r="AD610" s="136"/>
      <c r="AE610" s="136"/>
      <c r="AF610" s="136"/>
      <c r="AG610" s="136"/>
      <c r="AH610" s="136"/>
      <c r="AI610" s="136"/>
      <c r="AJ610" s="136"/>
      <c r="AK610" s="136"/>
      <c r="AL610" s="136"/>
      <c r="AM610" s="136"/>
      <c r="AN610" s="136"/>
      <c r="AO610" s="136"/>
      <c r="AP610" s="136"/>
      <c r="AQ610" s="136"/>
      <c r="AR610" s="136"/>
      <c r="AS610" s="136"/>
      <c r="AT610" s="136"/>
      <c r="AU610" s="136"/>
      <c r="AV610" s="136"/>
      <c r="AW610" s="136"/>
      <c r="AX610" s="136"/>
      <c r="AY610" s="136"/>
      <c r="AZ610" s="136"/>
      <c r="BA610" s="136"/>
      <c r="BB610" s="136"/>
      <c r="BC610" s="136"/>
      <c r="BD610" s="136"/>
      <c r="BE610" s="136"/>
      <c r="BF610" s="136"/>
      <c r="BG610" s="136"/>
      <c r="BH610" s="136"/>
      <c r="BI610" s="136"/>
    </row>
    <row r="611" spans="1:61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  <c r="AA611" s="136"/>
      <c r="AB611" s="136"/>
      <c r="AC611" s="136"/>
      <c r="AD611" s="136"/>
      <c r="AE611" s="136"/>
      <c r="AF611" s="136"/>
      <c r="AG611" s="136"/>
      <c r="AH611" s="136"/>
      <c r="AI611" s="136"/>
      <c r="AJ611" s="136"/>
      <c r="AK611" s="136"/>
      <c r="AL611" s="136"/>
      <c r="AM611" s="136"/>
      <c r="AN611" s="136"/>
      <c r="AO611" s="136"/>
      <c r="AP611" s="136"/>
      <c r="AQ611" s="136"/>
      <c r="AR611" s="136"/>
      <c r="AS611" s="136"/>
      <c r="AT611" s="136"/>
      <c r="AU611" s="136"/>
      <c r="AV611" s="136"/>
      <c r="AW611" s="136"/>
      <c r="AX611" s="136"/>
      <c r="AY611" s="136"/>
      <c r="AZ611" s="136"/>
      <c r="BA611" s="136"/>
      <c r="BB611" s="136"/>
      <c r="BC611" s="136"/>
      <c r="BD611" s="136"/>
      <c r="BE611" s="136"/>
      <c r="BF611" s="136"/>
      <c r="BG611" s="136"/>
      <c r="BH611" s="136"/>
      <c r="BI611" s="136"/>
    </row>
    <row r="612" spans="1:61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  <c r="AA612" s="136"/>
      <c r="AB612" s="136"/>
      <c r="AC612" s="136"/>
      <c r="AD612" s="136"/>
      <c r="AE612" s="136"/>
      <c r="AF612" s="136"/>
      <c r="AG612" s="136"/>
      <c r="AH612" s="136"/>
      <c r="AI612" s="136"/>
      <c r="AJ612" s="136"/>
      <c r="AK612" s="136"/>
      <c r="AL612" s="136"/>
      <c r="AM612" s="136"/>
      <c r="AN612" s="136"/>
      <c r="AO612" s="136"/>
      <c r="AP612" s="136"/>
      <c r="AQ612" s="136"/>
      <c r="AR612" s="136"/>
      <c r="AS612" s="136"/>
      <c r="AT612" s="136"/>
      <c r="AU612" s="136"/>
      <c r="AV612" s="136"/>
      <c r="AW612" s="136"/>
      <c r="AX612" s="136"/>
      <c r="AY612" s="136"/>
      <c r="AZ612" s="136"/>
      <c r="BA612" s="136"/>
      <c r="BB612" s="136"/>
      <c r="BC612" s="136"/>
      <c r="BD612" s="136"/>
      <c r="BE612" s="136"/>
      <c r="BF612" s="136"/>
      <c r="BG612" s="136"/>
      <c r="BH612" s="136"/>
      <c r="BI612" s="136"/>
    </row>
    <row r="613" spans="1:61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  <c r="AA613" s="136"/>
      <c r="AB613" s="136"/>
      <c r="AC613" s="136"/>
      <c r="AD613" s="136"/>
      <c r="AE613" s="136"/>
      <c r="AF613" s="136"/>
      <c r="AG613" s="136"/>
      <c r="AH613" s="136"/>
      <c r="AI613" s="136"/>
      <c r="AJ613" s="136"/>
      <c r="AK613" s="136"/>
      <c r="AL613" s="136"/>
      <c r="AM613" s="136"/>
      <c r="AN613" s="136"/>
      <c r="AO613" s="136"/>
      <c r="AP613" s="136"/>
      <c r="AQ613" s="136"/>
      <c r="AR613" s="136"/>
      <c r="AS613" s="136"/>
      <c r="AT613" s="136"/>
      <c r="AU613" s="136"/>
      <c r="AV613" s="136"/>
      <c r="AW613" s="136"/>
      <c r="AX613" s="136"/>
      <c r="AY613" s="136"/>
      <c r="AZ613" s="136"/>
      <c r="BA613" s="136"/>
      <c r="BB613" s="136"/>
      <c r="BC613" s="136"/>
      <c r="BD613" s="136"/>
      <c r="BE613" s="136"/>
      <c r="BF613" s="136"/>
      <c r="BG613" s="136"/>
      <c r="BH613" s="136"/>
      <c r="BI613" s="136"/>
    </row>
    <row r="614" spans="1:61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  <c r="AA614" s="136"/>
      <c r="AB614" s="136"/>
      <c r="AC614" s="136"/>
      <c r="AD614" s="136"/>
      <c r="AE614" s="136"/>
      <c r="AF614" s="136"/>
      <c r="AG614" s="136"/>
      <c r="AH614" s="136"/>
      <c r="AI614" s="136"/>
      <c r="AJ614" s="136"/>
      <c r="AK614" s="136"/>
      <c r="AL614" s="136"/>
      <c r="AM614" s="136"/>
      <c r="AN614" s="136"/>
      <c r="AO614" s="136"/>
      <c r="AP614" s="136"/>
      <c r="AQ614" s="136"/>
      <c r="AR614" s="136"/>
      <c r="AS614" s="136"/>
      <c r="AT614" s="136"/>
      <c r="AU614" s="136"/>
      <c r="AV614" s="136"/>
      <c r="AW614" s="136"/>
      <c r="AX614" s="136"/>
      <c r="AY614" s="136"/>
      <c r="AZ614" s="136"/>
      <c r="BA614" s="136"/>
      <c r="BB614" s="136"/>
      <c r="BC614" s="136"/>
      <c r="BD614" s="136"/>
      <c r="BE614" s="136"/>
      <c r="BF614" s="136"/>
      <c r="BG614" s="136"/>
      <c r="BH614" s="136"/>
      <c r="BI614" s="136"/>
    </row>
    <row r="615" spans="1:61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  <c r="AA615" s="136"/>
      <c r="AB615" s="136"/>
      <c r="AC615" s="136"/>
      <c r="AD615" s="136"/>
      <c r="AE615" s="136"/>
      <c r="AF615" s="136"/>
      <c r="AG615" s="136"/>
      <c r="AH615" s="136"/>
      <c r="AI615" s="136"/>
      <c r="AJ615" s="136"/>
      <c r="AK615" s="136"/>
      <c r="AL615" s="136"/>
      <c r="AM615" s="136"/>
      <c r="AN615" s="136"/>
      <c r="AO615" s="136"/>
      <c r="AP615" s="136"/>
      <c r="AQ615" s="136"/>
      <c r="AR615" s="136"/>
      <c r="AS615" s="136"/>
      <c r="AT615" s="136"/>
      <c r="AU615" s="136"/>
      <c r="AV615" s="136"/>
      <c r="AW615" s="136"/>
      <c r="AX615" s="136"/>
      <c r="AY615" s="136"/>
      <c r="AZ615" s="136"/>
      <c r="BA615" s="136"/>
      <c r="BB615" s="136"/>
      <c r="BC615" s="136"/>
      <c r="BD615" s="136"/>
      <c r="BE615" s="136"/>
      <c r="BF615" s="136"/>
      <c r="BG615" s="136"/>
      <c r="BH615" s="136"/>
      <c r="BI615" s="136"/>
    </row>
    <row r="616" spans="1:61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  <c r="AA616" s="136"/>
      <c r="AB616" s="136"/>
      <c r="AC616" s="136"/>
      <c r="AD616" s="136"/>
      <c r="AE616" s="136"/>
      <c r="AF616" s="136"/>
      <c r="AG616" s="136"/>
      <c r="AH616" s="136"/>
      <c r="AI616" s="136"/>
      <c r="AJ616" s="136"/>
      <c r="AK616" s="136"/>
      <c r="AL616" s="136"/>
      <c r="AM616" s="136"/>
      <c r="AN616" s="136"/>
      <c r="AO616" s="136"/>
      <c r="AP616" s="136"/>
      <c r="AQ616" s="136"/>
      <c r="AR616" s="136"/>
      <c r="AS616" s="136"/>
      <c r="AT616" s="136"/>
      <c r="AU616" s="136"/>
      <c r="AV616" s="136"/>
      <c r="AW616" s="136"/>
      <c r="AX616" s="136"/>
      <c r="AY616" s="136"/>
      <c r="AZ616" s="136"/>
      <c r="BA616" s="136"/>
      <c r="BB616" s="136"/>
      <c r="BC616" s="136"/>
      <c r="BD616" s="136"/>
      <c r="BE616" s="136"/>
      <c r="BF616" s="136"/>
      <c r="BG616" s="136"/>
      <c r="BH616" s="136"/>
      <c r="BI616" s="136"/>
    </row>
    <row r="617" spans="1:61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6"/>
      <c r="BA617" s="136"/>
      <c r="BB617" s="136"/>
      <c r="BC617" s="136"/>
      <c r="BD617" s="136"/>
      <c r="BE617" s="136"/>
      <c r="BF617" s="136"/>
      <c r="BG617" s="136"/>
      <c r="BH617" s="136"/>
      <c r="BI617" s="136"/>
    </row>
    <row r="618" spans="1:61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  <c r="AA618" s="136"/>
      <c r="AB618" s="136"/>
      <c r="AC618" s="136"/>
      <c r="AD618" s="136"/>
      <c r="AE618" s="136"/>
      <c r="AF618" s="136"/>
      <c r="AG618" s="136"/>
      <c r="AH618" s="136"/>
      <c r="AI618" s="136"/>
      <c r="AJ618" s="136"/>
      <c r="AK618" s="136"/>
      <c r="AL618" s="136"/>
      <c r="AM618" s="136"/>
      <c r="AN618" s="136"/>
      <c r="AO618" s="136"/>
      <c r="AP618" s="136"/>
      <c r="AQ618" s="136"/>
      <c r="AR618" s="136"/>
      <c r="AS618" s="136"/>
      <c r="AT618" s="136"/>
      <c r="AU618" s="136"/>
      <c r="AV618" s="136"/>
      <c r="AW618" s="136"/>
      <c r="AX618" s="136"/>
      <c r="AY618" s="136"/>
      <c r="AZ618" s="136"/>
      <c r="BA618" s="136"/>
      <c r="BB618" s="136"/>
      <c r="BC618" s="136"/>
      <c r="BD618" s="136"/>
      <c r="BE618" s="136"/>
      <c r="BF618" s="136"/>
      <c r="BG618" s="136"/>
      <c r="BH618" s="136"/>
      <c r="BI618" s="136"/>
    </row>
    <row r="619" spans="1:61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  <c r="AA619" s="136"/>
      <c r="AB619" s="136"/>
      <c r="AC619" s="136"/>
      <c r="AD619" s="136"/>
      <c r="AE619" s="136"/>
      <c r="AF619" s="136"/>
      <c r="AG619" s="136"/>
      <c r="AH619" s="136"/>
      <c r="AI619" s="136"/>
      <c r="AJ619" s="136"/>
      <c r="AK619" s="136"/>
      <c r="AL619" s="136"/>
      <c r="AM619" s="136"/>
      <c r="AN619" s="136"/>
      <c r="AO619" s="136"/>
      <c r="AP619" s="136"/>
      <c r="AQ619" s="136"/>
      <c r="AR619" s="136"/>
      <c r="AS619" s="136"/>
      <c r="AT619" s="136"/>
      <c r="AU619" s="136"/>
      <c r="AV619" s="136"/>
      <c r="AW619" s="136"/>
      <c r="AX619" s="136"/>
      <c r="AY619" s="136"/>
      <c r="AZ619" s="136"/>
      <c r="BA619" s="136"/>
      <c r="BB619" s="136"/>
      <c r="BC619" s="136"/>
      <c r="BD619" s="136"/>
      <c r="BE619" s="136"/>
      <c r="BF619" s="136"/>
      <c r="BG619" s="136"/>
      <c r="BH619" s="136"/>
      <c r="BI619" s="136"/>
    </row>
    <row r="620" spans="1:61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  <c r="AA620" s="136"/>
      <c r="AB620" s="136"/>
      <c r="AC620" s="136"/>
      <c r="AD620" s="136"/>
      <c r="AE620" s="136"/>
      <c r="AF620" s="136"/>
      <c r="AG620" s="136"/>
      <c r="AH620" s="136"/>
      <c r="AI620" s="136"/>
      <c r="AJ620" s="136"/>
      <c r="AK620" s="136"/>
      <c r="AL620" s="136"/>
      <c r="AM620" s="136"/>
      <c r="AN620" s="136"/>
      <c r="AO620" s="136"/>
      <c r="AP620" s="136"/>
      <c r="AQ620" s="136"/>
      <c r="AR620" s="136"/>
      <c r="AS620" s="136"/>
      <c r="AT620" s="136"/>
      <c r="AU620" s="136"/>
      <c r="AV620" s="136"/>
      <c r="AW620" s="136"/>
      <c r="AX620" s="136"/>
      <c r="AY620" s="136"/>
      <c r="AZ620" s="136"/>
      <c r="BA620" s="136"/>
      <c r="BB620" s="136"/>
      <c r="BC620" s="136"/>
      <c r="BD620" s="136"/>
      <c r="BE620" s="136"/>
      <c r="BF620" s="136"/>
      <c r="BG620" s="136"/>
      <c r="BH620" s="136"/>
      <c r="BI620" s="136"/>
    </row>
    <row r="621" spans="1:61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  <c r="AA621" s="136"/>
      <c r="AB621" s="136"/>
      <c r="AC621" s="136"/>
      <c r="AD621" s="136"/>
      <c r="AE621" s="136"/>
      <c r="AF621" s="136"/>
      <c r="AG621" s="136"/>
      <c r="AH621" s="136"/>
      <c r="AI621" s="136"/>
      <c r="AJ621" s="136"/>
      <c r="AK621" s="136"/>
      <c r="AL621" s="136"/>
      <c r="AM621" s="136"/>
      <c r="AN621" s="136"/>
      <c r="AO621" s="136"/>
      <c r="AP621" s="136"/>
      <c r="AQ621" s="136"/>
      <c r="AR621" s="136"/>
      <c r="AS621" s="136"/>
      <c r="AT621" s="136"/>
      <c r="AU621" s="136"/>
      <c r="AV621" s="136"/>
      <c r="AW621" s="136"/>
      <c r="AX621" s="136"/>
      <c r="AY621" s="136"/>
      <c r="AZ621" s="136"/>
      <c r="BA621" s="136"/>
      <c r="BB621" s="136"/>
      <c r="BC621" s="136"/>
      <c r="BD621" s="136"/>
      <c r="BE621" s="136"/>
      <c r="BF621" s="136"/>
      <c r="BG621" s="136"/>
      <c r="BH621" s="136"/>
      <c r="BI621" s="136"/>
    </row>
    <row r="622" spans="1:61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  <c r="AA622" s="136"/>
      <c r="AB622" s="136"/>
      <c r="AC622" s="136"/>
      <c r="AD622" s="136"/>
      <c r="AE622" s="136"/>
      <c r="AF622" s="136"/>
      <c r="AG622" s="136"/>
      <c r="AH622" s="136"/>
      <c r="AI622" s="136"/>
      <c r="AJ622" s="136"/>
      <c r="AK622" s="136"/>
      <c r="AL622" s="136"/>
      <c r="AM622" s="136"/>
      <c r="AN622" s="136"/>
      <c r="AO622" s="136"/>
      <c r="AP622" s="136"/>
      <c r="AQ622" s="136"/>
      <c r="AR622" s="136"/>
      <c r="AS622" s="136"/>
      <c r="AT622" s="136"/>
      <c r="AU622" s="136"/>
      <c r="AV622" s="136"/>
      <c r="AW622" s="136"/>
      <c r="AX622" s="136"/>
      <c r="AY622" s="136"/>
      <c r="AZ622" s="136"/>
      <c r="BA622" s="136"/>
      <c r="BB622" s="136"/>
      <c r="BC622" s="136"/>
      <c r="BD622" s="136"/>
      <c r="BE622" s="136"/>
      <c r="BF622" s="136"/>
      <c r="BG622" s="136"/>
      <c r="BH622" s="136"/>
      <c r="BI622" s="136"/>
    </row>
    <row r="623" spans="1:61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  <c r="AA623" s="136"/>
      <c r="AB623" s="136"/>
      <c r="AC623" s="136"/>
      <c r="AD623" s="136"/>
      <c r="AE623" s="136"/>
      <c r="AF623" s="136"/>
      <c r="AG623" s="136"/>
      <c r="AH623" s="136"/>
      <c r="AI623" s="136"/>
      <c r="AJ623" s="136"/>
      <c r="AK623" s="136"/>
      <c r="AL623" s="136"/>
      <c r="AM623" s="136"/>
      <c r="AN623" s="136"/>
      <c r="AO623" s="136"/>
      <c r="AP623" s="136"/>
      <c r="AQ623" s="136"/>
      <c r="AR623" s="136"/>
      <c r="AS623" s="136"/>
      <c r="AT623" s="136"/>
      <c r="AU623" s="136"/>
      <c r="AV623" s="136"/>
      <c r="AW623" s="136"/>
      <c r="AX623" s="136"/>
      <c r="AY623" s="136"/>
      <c r="AZ623" s="136"/>
      <c r="BA623" s="136"/>
      <c r="BB623" s="136"/>
      <c r="BC623" s="136"/>
      <c r="BD623" s="136"/>
      <c r="BE623" s="136"/>
      <c r="BF623" s="136"/>
      <c r="BG623" s="136"/>
      <c r="BH623" s="136"/>
      <c r="BI623" s="136"/>
    </row>
    <row r="624" spans="1:61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  <c r="AA624" s="136"/>
      <c r="AB624" s="136"/>
      <c r="AC624" s="136"/>
      <c r="AD624" s="136"/>
      <c r="AE624" s="136"/>
      <c r="AF624" s="136"/>
      <c r="AG624" s="136"/>
      <c r="AH624" s="136"/>
      <c r="AI624" s="136"/>
      <c r="AJ624" s="136"/>
      <c r="AK624" s="136"/>
      <c r="AL624" s="136"/>
      <c r="AM624" s="136"/>
      <c r="AN624" s="136"/>
      <c r="AO624" s="136"/>
      <c r="AP624" s="136"/>
      <c r="AQ624" s="136"/>
      <c r="AR624" s="136"/>
      <c r="AS624" s="136"/>
      <c r="AT624" s="136"/>
      <c r="AU624" s="136"/>
      <c r="AV624" s="136"/>
      <c r="AW624" s="136"/>
      <c r="AX624" s="136"/>
      <c r="AY624" s="136"/>
      <c r="AZ624" s="136"/>
      <c r="BA624" s="136"/>
      <c r="BB624" s="136"/>
      <c r="BC624" s="136"/>
      <c r="BD624" s="136"/>
      <c r="BE624" s="136"/>
      <c r="BF624" s="136"/>
      <c r="BG624" s="136"/>
      <c r="BH624" s="136"/>
      <c r="BI624" s="136"/>
    </row>
    <row r="625" spans="1:61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  <c r="AA625" s="136"/>
      <c r="AB625" s="136"/>
      <c r="AC625" s="136"/>
      <c r="AD625" s="136"/>
      <c r="AE625" s="136"/>
      <c r="AF625" s="136"/>
      <c r="AG625" s="136"/>
      <c r="AH625" s="136"/>
      <c r="AI625" s="136"/>
      <c r="AJ625" s="136"/>
      <c r="AK625" s="136"/>
      <c r="AL625" s="136"/>
      <c r="AM625" s="136"/>
      <c r="AN625" s="136"/>
      <c r="AO625" s="136"/>
      <c r="AP625" s="136"/>
      <c r="AQ625" s="136"/>
      <c r="AR625" s="136"/>
      <c r="AS625" s="136"/>
      <c r="AT625" s="136"/>
      <c r="AU625" s="136"/>
      <c r="AV625" s="136"/>
      <c r="AW625" s="136"/>
      <c r="AX625" s="136"/>
      <c r="AY625" s="136"/>
      <c r="AZ625" s="136"/>
      <c r="BA625" s="136"/>
      <c r="BB625" s="136"/>
      <c r="BC625" s="136"/>
      <c r="BD625" s="136"/>
      <c r="BE625" s="136"/>
      <c r="BF625" s="136"/>
      <c r="BG625" s="136"/>
      <c r="BH625" s="136"/>
      <c r="BI625" s="136"/>
    </row>
    <row r="626" spans="1:61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  <c r="AA626" s="136"/>
      <c r="AB626" s="136"/>
      <c r="AC626" s="136"/>
      <c r="AD626" s="136"/>
      <c r="AE626" s="136"/>
      <c r="AF626" s="136"/>
      <c r="AG626" s="136"/>
      <c r="AH626" s="136"/>
      <c r="AI626" s="136"/>
      <c r="AJ626" s="136"/>
      <c r="AK626" s="136"/>
      <c r="AL626" s="136"/>
      <c r="AM626" s="136"/>
      <c r="AN626" s="136"/>
      <c r="AO626" s="136"/>
      <c r="AP626" s="136"/>
      <c r="AQ626" s="136"/>
      <c r="AR626" s="136"/>
      <c r="AS626" s="136"/>
      <c r="AT626" s="136"/>
      <c r="AU626" s="136"/>
      <c r="AV626" s="136"/>
      <c r="AW626" s="136"/>
      <c r="AX626" s="136"/>
      <c r="AY626" s="136"/>
      <c r="AZ626" s="136"/>
      <c r="BA626" s="136"/>
      <c r="BB626" s="136"/>
      <c r="BC626" s="136"/>
      <c r="BD626" s="136"/>
      <c r="BE626" s="136"/>
      <c r="BF626" s="136"/>
      <c r="BG626" s="136"/>
      <c r="BH626" s="136"/>
      <c r="BI626" s="136"/>
    </row>
    <row r="627" spans="1:61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  <c r="AA627" s="136"/>
      <c r="AB627" s="136"/>
      <c r="AC627" s="136"/>
      <c r="AD627" s="136"/>
      <c r="AE627" s="136"/>
      <c r="AF627" s="136"/>
      <c r="AG627" s="136"/>
      <c r="AH627" s="136"/>
      <c r="AI627" s="136"/>
      <c r="AJ627" s="136"/>
      <c r="AK627" s="136"/>
      <c r="AL627" s="136"/>
      <c r="AM627" s="136"/>
      <c r="AN627" s="136"/>
      <c r="AO627" s="136"/>
      <c r="AP627" s="136"/>
      <c r="AQ627" s="136"/>
      <c r="AR627" s="136"/>
      <c r="AS627" s="136"/>
      <c r="AT627" s="136"/>
      <c r="AU627" s="136"/>
      <c r="AV627" s="136"/>
      <c r="AW627" s="136"/>
      <c r="AX627" s="136"/>
      <c r="AY627" s="136"/>
      <c r="AZ627" s="136"/>
      <c r="BA627" s="136"/>
      <c r="BB627" s="136"/>
      <c r="BC627" s="136"/>
      <c r="BD627" s="136"/>
      <c r="BE627" s="136"/>
      <c r="BF627" s="136"/>
      <c r="BG627" s="136"/>
      <c r="BH627" s="136"/>
      <c r="BI627" s="136"/>
    </row>
    <row r="628" spans="1:61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  <c r="AA628" s="136"/>
      <c r="AB628" s="136"/>
      <c r="AC628" s="136"/>
      <c r="AD628" s="136"/>
      <c r="AE628" s="136"/>
      <c r="AF628" s="136"/>
      <c r="AG628" s="136"/>
      <c r="AH628" s="136"/>
      <c r="AI628" s="136"/>
      <c r="AJ628" s="136"/>
      <c r="AK628" s="136"/>
      <c r="AL628" s="136"/>
      <c r="AM628" s="136"/>
      <c r="AN628" s="136"/>
      <c r="AO628" s="136"/>
      <c r="AP628" s="136"/>
      <c r="AQ628" s="136"/>
      <c r="AR628" s="136"/>
      <c r="AS628" s="136"/>
      <c r="AT628" s="136"/>
      <c r="AU628" s="136"/>
      <c r="AV628" s="136"/>
      <c r="AW628" s="136"/>
      <c r="AX628" s="136"/>
      <c r="AY628" s="136"/>
      <c r="AZ628" s="136"/>
      <c r="BA628" s="136"/>
      <c r="BB628" s="136"/>
      <c r="BC628" s="136"/>
      <c r="BD628" s="136"/>
      <c r="BE628" s="136"/>
      <c r="BF628" s="136"/>
      <c r="BG628" s="136"/>
      <c r="BH628" s="136"/>
      <c r="BI628" s="136"/>
    </row>
    <row r="629" spans="1:61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  <c r="AA629" s="136"/>
      <c r="AB629" s="136"/>
      <c r="AC629" s="136"/>
      <c r="AD629" s="136"/>
      <c r="AE629" s="136"/>
      <c r="AF629" s="136"/>
      <c r="AG629" s="136"/>
      <c r="AH629" s="136"/>
      <c r="AI629" s="136"/>
      <c r="AJ629" s="136"/>
      <c r="AK629" s="136"/>
      <c r="AL629" s="136"/>
      <c r="AM629" s="136"/>
      <c r="AN629" s="136"/>
      <c r="AO629" s="136"/>
      <c r="AP629" s="136"/>
      <c r="AQ629" s="136"/>
      <c r="AR629" s="136"/>
      <c r="AS629" s="136"/>
      <c r="AT629" s="136"/>
      <c r="AU629" s="136"/>
      <c r="AV629" s="136"/>
      <c r="AW629" s="136"/>
      <c r="AX629" s="136"/>
      <c r="AY629" s="136"/>
      <c r="AZ629" s="136"/>
      <c r="BA629" s="136"/>
      <c r="BB629" s="136"/>
      <c r="BC629" s="136"/>
      <c r="BD629" s="136"/>
      <c r="BE629" s="136"/>
      <c r="BF629" s="136"/>
      <c r="BG629" s="136"/>
      <c r="BH629" s="136"/>
      <c r="BI629" s="136"/>
    </row>
    <row r="630" spans="1:61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  <c r="AA630" s="136"/>
      <c r="AB630" s="136"/>
      <c r="AC630" s="136"/>
      <c r="AD630" s="136"/>
      <c r="AE630" s="136"/>
      <c r="AF630" s="136"/>
      <c r="AG630" s="136"/>
      <c r="AH630" s="136"/>
      <c r="AI630" s="136"/>
      <c r="AJ630" s="136"/>
      <c r="AK630" s="136"/>
      <c r="AL630" s="136"/>
      <c r="AM630" s="136"/>
      <c r="AN630" s="136"/>
      <c r="AO630" s="136"/>
      <c r="AP630" s="136"/>
      <c r="AQ630" s="136"/>
      <c r="AR630" s="136"/>
      <c r="AS630" s="136"/>
      <c r="AT630" s="136"/>
      <c r="AU630" s="136"/>
      <c r="AV630" s="136"/>
      <c r="AW630" s="136"/>
      <c r="AX630" s="136"/>
      <c r="AY630" s="136"/>
      <c r="AZ630" s="136"/>
      <c r="BA630" s="136"/>
      <c r="BB630" s="136"/>
      <c r="BC630" s="136"/>
      <c r="BD630" s="136"/>
      <c r="BE630" s="136"/>
      <c r="BF630" s="136"/>
      <c r="BG630" s="136"/>
      <c r="BH630" s="136"/>
      <c r="BI630" s="136"/>
    </row>
    <row r="631" spans="1:61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  <c r="AA631" s="136"/>
      <c r="AB631" s="136"/>
      <c r="AC631" s="136"/>
      <c r="AD631" s="136"/>
      <c r="AE631" s="136"/>
      <c r="AF631" s="136"/>
      <c r="AG631" s="136"/>
      <c r="AH631" s="136"/>
      <c r="AI631" s="136"/>
      <c r="AJ631" s="136"/>
      <c r="AK631" s="136"/>
      <c r="AL631" s="136"/>
      <c r="AM631" s="136"/>
      <c r="AN631" s="136"/>
      <c r="AO631" s="136"/>
      <c r="AP631" s="136"/>
      <c r="AQ631" s="136"/>
      <c r="AR631" s="136"/>
      <c r="AS631" s="136"/>
      <c r="AT631" s="136"/>
      <c r="AU631" s="136"/>
      <c r="AV631" s="136"/>
      <c r="AW631" s="136"/>
      <c r="AX631" s="136"/>
      <c r="AY631" s="136"/>
      <c r="AZ631" s="136"/>
      <c r="BA631" s="136"/>
      <c r="BB631" s="136"/>
      <c r="BC631" s="136"/>
      <c r="BD631" s="136"/>
      <c r="BE631" s="136"/>
      <c r="BF631" s="136"/>
      <c r="BG631" s="136"/>
      <c r="BH631" s="136"/>
      <c r="BI631" s="136"/>
    </row>
    <row r="632" spans="1:61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  <c r="AA632" s="136"/>
      <c r="AB632" s="136"/>
      <c r="AC632" s="136"/>
      <c r="AD632" s="136"/>
      <c r="AE632" s="136"/>
      <c r="AF632" s="136"/>
      <c r="AG632" s="136"/>
      <c r="AH632" s="136"/>
      <c r="AI632" s="136"/>
      <c r="AJ632" s="136"/>
      <c r="AK632" s="136"/>
      <c r="AL632" s="136"/>
      <c r="AM632" s="136"/>
      <c r="AN632" s="136"/>
      <c r="AO632" s="136"/>
      <c r="AP632" s="136"/>
      <c r="AQ632" s="136"/>
      <c r="AR632" s="136"/>
      <c r="AS632" s="136"/>
      <c r="AT632" s="136"/>
      <c r="AU632" s="136"/>
      <c r="AV632" s="136"/>
      <c r="AW632" s="136"/>
      <c r="AX632" s="136"/>
      <c r="AY632" s="136"/>
      <c r="AZ632" s="136"/>
      <c r="BA632" s="136"/>
      <c r="BB632" s="136"/>
      <c r="BC632" s="136"/>
      <c r="BD632" s="136"/>
      <c r="BE632" s="136"/>
      <c r="BF632" s="136"/>
      <c r="BG632" s="136"/>
      <c r="BH632" s="136"/>
      <c r="BI632" s="136"/>
    </row>
    <row r="633" spans="1:61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  <c r="AA633" s="136"/>
      <c r="AB633" s="136"/>
      <c r="AC633" s="136"/>
      <c r="AD633" s="136"/>
      <c r="AE633" s="136"/>
      <c r="AF633" s="136"/>
      <c r="AG633" s="136"/>
      <c r="AH633" s="136"/>
      <c r="AI633" s="136"/>
      <c r="AJ633" s="136"/>
      <c r="AK633" s="136"/>
      <c r="AL633" s="136"/>
      <c r="AM633" s="136"/>
      <c r="AN633" s="136"/>
      <c r="AO633" s="136"/>
      <c r="AP633" s="136"/>
      <c r="AQ633" s="136"/>
      <c r="AR633" s="136"/>
      <c r="AS633" s="136"/>
      <c r="AT633" s="136"/>
      <c r="AU633" s="136"/>
      <c r="AV633" s="136"/>
      <c r="AW633" s="136"/>
      <c r="AX633" s="136"/>
      <c r="AY633" s="136"/>
      <c r="AZ633" s="136"/>
      <c r="BA633" s="136"/>
      <c r="BB633" s="136"/>
      <c r="BC633" s="136"/>
      <c r="BD633" s="136"/>
      <c r="BE633" s="136"/>
      <c r="BF633" s="136"/>
      <c r="BG633" s="136"/>
      <c r="BH633" s="136"/>
      <c r="BI633" s="136"/>
    </row>
    <row r="634" spans="1:61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  <c r="AA634" s="136"/>
      <c r="AB634" s="136"/>
      <c r="AC634" s="136"/>
      <c r="AD634" s="136"/>
      <c r="AE634" s="136"/>
      <c r="AF634" s="136"/>
      <c r="AG634" s="136"/>
      <c r="AH634" s="136"/>
      <c r="AI634" s="136"/>
      <c r="AJ634" s="136"/>
      <c r="AK634" s="136"/>
      <c r="AL634" s="136"/>
      <c r="AM634" s="136"/>
      <c r="AN634" s="136"/>
      <c r="AO634" s="136"/>
      <c r="AP634" s="136"/>
      <c r="AQ634" s="136"/>
      <c r="AR634" s="136"/>
      <c r="AS634" s="136"/>
      <c r="AT634" s="136"/>
      <c r="AU634" s="136"/>
      <c r="AV634" s="136"/>
      <c r="AW634" s="136"/>
      <c r="AX634" s="136"/>
      <c r="AY634" s="136"/>
      <c r="AZ634" s="136"/>
      <c r="BA634" s="136"/>
      <c r="BB634" s="136"/>
      <c r="BC634" s="136"/>
      <c r="BD634" s="136"/>
      <c r="BE634" s="136"/>
      <c r="BF634" s="136"/>
      <c r="BG634" s="136"/>
      <c r="BH634" s="136"/>
      <c r="BI634" s="136"/>
    </row>
    <row r="635" spans="1:61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  <c r="AA635" s="136"/>
      <c r="AB635" s="136"/>
      <c r="AC635" s="136"/>
      <c r="AD635" s="136"/>
      <c r="AE635" s="136"/>
      <c r="AF635" s="136"/>
      <c r="AG635" s="136"/>
      <c r="AH635" s="136"/>
      <c r="AI635" s="136"/>
      <c r="AJ635" s="136"/>
      <c r="AK635" s="136"/>
      <c r="AL635" s="136"/>
      <c r="AM635" s="136"/>
      <c r="AN635" s="136"/>
      <c r="AO635" s="136"/>
      <c r="AP635" s="136"/>
      <c r="AQ635" s="136"/>
      <c r="AR635" s="136"/>
      <c r="AS635" s="136"/>
      <c r="AT635" s="136"/>
      <c r="AU635" s="136"/>
      <c r="AV635" s="136"/>
      <c r="AW635" s="136"/>
      <c r="AX635" s="136"/>
      <c r="AY635" s="136"/>
      <c r="AZ635" s="136"/>
      <c r="BA635" s="136"/>
      <c r="BB635" s="136"/>
      <c r="BC635" s="136"/>
      <c r="BD635" s="136"/>
      <c r="BE635" s="136"/>
      <c r="BF635" s="136"/>
      <c r="BG635" s="136"/>
      <c r="BH635" s="136"/>
      <c r="BI635" s="136"/>
    </row>
    <row r="636" spans="1:61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  <c r="AA636" s="136"/>
      <c r="AB636" s="136"/>
      <c r="AC636" s="136"/>
      <c r="AD636" s="136"/>
      <c r="AE636" s="136"/>
      <c r="AF636" s="136"/>
      <c r="AG636" s="136"/>
      <c r="AH636" s="136"/>
      <c r="AI636" s="136"/>
      <c r="AJ636" s="136"/>
      <c r="AK636" s="136"/>
      <c r="AL636" s="136"/>
      <c r="AM636" s="136"/>
      <c r="AN636" s="136"/>
      <c r="AO636" s="136"/>
      <c r="AP636" s="136"/>
      <c r="AQ636" s="136"/>
      <c r="AR636" s="136"/>
      <c r="AS636" s="136"/>
      <c r="AT636" s="136"/>
      <c r="AU636" s="136"/>
      <c r="AV636" s="136"/>
      <c r="AW636" s="136"/>
      <c r="AX636" s="136"/>
      <c r="AY636" s="136"/>
      <c r="AZ636" s="136"/>
      <c r="BA636" s="136"/>
      <c r="BB636" s="136"/>
      <c r="BC636" s="136"/>
      <c r="BD636" s="136"/>
      <c r="BE636" s="136"/>
      <c r="BF636" s="136"/>
      <c r="BG636" s="136"/>
      <c r="BH636" s="136"/>
      <c r="BI636" s="136"/>
    </row>
    <row r="637" spans="1:61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  <c r="AA637" s="136"/>
      <c r="AB637" s="136"/>
      <c r="AC637" s="136"/>
      <c r="AD637" s="136"/>
      <c r="AE637" s="136"/>
      <c r="AF637" s="136"/>
      <c r="AG637" s="136"/>
      <c r="AH637" s="136"/>
      <c r="AI637" s="136"/>
      <c r="AJ637" s="136"/>
      <c r="AK637" s="136"/>
      <c r="AL637" s="136"/>
      <c r="AM637" s="136"/>
      <c r="AN637" s="136"/>
      <c r="AO637" s="136"/>
      <c r="AP637" s="136"/>
      <c r="AQ637" s="136"/>
      <c r="AR637" s="136"/>
      <c r="AS637" s="136"/>
      <c r="AT637" s="136"/>
      <c r="AU637" s="136"/>
      <c r="AV637" s="136"/>
      <c r="AW637" s="136"/>
      <c r="AX637" s="136"/>
      <c r="AY637" s="136"/>
      <c r="AZ637" s="136"/>
      <c r="BA637" s="136"/>
      <c r="BB637" s="136"/>
      <c r="BC637" s="136"/>
      <c r="BD637" s="136"/>
      <c r="BE637" s="136"/>
      <c r="BF637" s="136"/>
      <c r="BG637" s="136"/>
      <c r="BH637" s="136"/>
      <c r="BI637" s="136"/>
    </row>
    <row r="638" spans="1:61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  <c r="AA638" s="136"/>
      <c r="AB638" s="136"/>
      <c r="AC638" s="136"/>
      <c r="AD638" s="136"/>
      <c r="AE638" s="136"/>
      <c r="AF638" s="136"/>
      <c r="AG638" s="136"/>
      <c r="AH638" s="136"/>
      <c r="AI638" s="136"/>
      <c r="AJ638" s="136"/>
      <c r="AK638" s="136"/>
      <c r="AL638" s="136"/>
      <c r="AM638" s="136"/>
      <c r="AN638" s="136"/>
      <c r="AO638" s="136"/>
      <c r="AP638" s="136"/>
      <c r="AQ638" s="136"/>
      <c r="AR638" s="136"/>
      <c r="AS638" s="136"/>
      <c r="AT638" s="136"/>
      <c r="AU638" s="136"/>
      <c r="AV638" s="136"/>
      <c r="AW638" s="136"/>
      <c r="AX638" s="136"/>
      <c r="AY638" s="136"/>
      <c r="AZ638" s="136"/>
      <c r="BA638" s="136"/>
      <c r="BB638" s="136"/>
      <c r="BC638" s="136"/>
      <c r="BD638" s="136"/>
      <c r="BE638" s="136"/>
      <c r="BF638" s="136"/>
      <c r="BG638" s="136"/>
      <c r="BH638" s="136"/>
      <c r="BI638" s="136"/>
    </row>
    <row r="639" spans="1:61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  <c r="AA639" s="136"/>
      <c r="AB639" s="136"/>
      <c r="AC639" s="136"/>
      <c r="AD639" s="136"/>
      <c r="AE639" s="136"/>
      <c r="AF639" s="136"/>
      <c r="AG639" s="136"/>
      <c r="AH639" s="136"/>
      <c r="AI639" s="136"/>
      <c r="AJ639" s="136"/>
      <c r="AK639" s="136"/>
      <c r="AL639" s="136"/>
      <c r="AM639" s="136"/>
      <c r="AN639" s="136"/>
      <c r="AO639" s="136"/>
      <c r="AP639" s="136"/>
      <c r="AQ639" s="136"/>
      <c r="AR639" s="136"/>
      <c r="AS639" s="136"/>
      <c r="AT639" s="136"/>
      <c r="AU639" s="136"/>
      <c r="AV639" s="136"/>
      <c r="AW639" s="136"/>
      <c r="AX639" s="136"/>
      <c r="AY639" s="136"/>
      <c r="AZ639" s="136"/>
      <c r="BA639" s="136"/>
      <c r="BB639" s="136"/>
      <c r="BC639" s="136"/>
      <c r="BD639" s="136"/>
      <c r="BE639" s="136"/>
      <c r="BF639" s="136"/>
      <c r="BG639" s="136"/>
      <c r="BH639" s="136"/>
      <c r="BI639" s="136"/>
    </row>
    <row r="640" spans="1:61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  <c r="AA640" s="136"/>
      <c r="AB640" s="136"/>
      <c r="AC640" s="136"/>
      <c r="AD640" s="136"/>
      <c r="AE640" s="136"/>
      <c r="AF640" s="136"/>
      <c r="AG640" s="136"/>
      <c r="AH640" s="136"/>
      <c r="AI640" s="136"/>
      <c r="AJ640" s="136"/>
      <c r="AK640" s="136"/>
      <c r="AL640" s="136"/>
      <c r="AM640" s="136"/>
      <c r="AN640" s="136"/>
      <c r="AO640" s="136"/>
      <c r="AP640" s="136"/>
      <c r="AQ640" s="136"/>
      <c r="AR640" s="136"/>
      <c r="AS640" s="136"/>
      <c r="AT640" s="136"/>
      <c r="AU640" s="136"/>
      <c r="AV640" s="136"/>
      <c r="AW640" s="136"/>
      <c r="AX640" s="136"/>
      <c r="AY640" s="136"/>
      <c r="AZ640" s="136"/>
      <c r="BA640" s="136"/>
      <c r="BB640" s="136"/>
      <c r="BC640" s="136"/>
      <c r="BD640" s="136"/>
      <c r="BE640" s="136"/>
      <c r="BF640" s="136"/>
      <c r="BG640" s="136"/>
      <c r="BH640" s="136"/>
      <c r="BI640" s="136"/>
    </row>
    <row r="641" spans="1:61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  <c r="AA641" s="136"/>
      <c r="AB641" s="136"/>
      <c r="AC641" s="136"/>
      <c r="AD641" s="136"/>
      <c r="AE641" s="136"/>
      <c r="AF641" s="136"/>
      <c r="AG641" s="136"/>
      <c r="AH641" s="136"/>
      <c r="AI641" s="136"/>
      <c r="AJ641" s="136"/>
      <c r="AK641" s="136"/>
      <c r="AL641" s="136"/>
      <c r="AM641" s="136"/>
      <c r="AN641" s="136"/>
      <c r="AO641" s="136"/>
      <c r="AP641" s="136"/>
      <c r="AQ641" s="136"/>
      <c r="AR641" s="136"/>
      <c r="AS641" s="136"/>
      <c r="AT641" s="136"/>
      <c r="AU641" s="136"/>
      <c r="AV641" s="136"/>
      <c r="AW641" s="136"/>
      <c r="AX641" s="136"/>
      <c r="AY641" s="136"/>
      <c r="AZ641" s="136"/>
      <c r="BA641" s="136"/>
      <c r="BB641" s="136"/>
      <c r="BC641" s="136"/>
      <c r="BD641" s="136"/>
      <c r="BE641" s="136"/>
      <c r="BF641" s="136"/>
      <c r="BG641" s="136"/>
      <c r="BH641" s="136"/>
      <c r="BI641" s="136"/>
    </row>
    <row r="642" spans="1:61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  <c r="AA642" s="136"/>
      <c r="AB642" s="136"/>
      <c r="AC642" s="136"/>
      <c r="AD642" s="136"/>
      <c r="AE642" s="136"/>
      <c r="AF642" s="136"/>
      <c r="AG642" s="136"/>
      <c r="AH642" s="136"/>
      <c r="AI642" s="136"/>
      <c r="AJ642" s="136"/>
      <c r="AK642" s="136"/>
      <c r="AL642" s="136"/>
      <c r="AM642" s="136"/>
      <c r="AN642" s="136"/>
      <c r="AO642" s="136"/>
      <c r="AP642" s="136"/>
      <c r="AQ642" s="136"/>
      <c r="AR642" s="136"/>
      <c r="AS642" s="136"/>
      <c r="AT642" s="136"/>
      <c r="AU642" s="136"/>
      <c r="AV642" s="136"/>
      <c r="AW642" s="136"/>
      <c r="AX642" s="136"/>
      <c r="AY642" s="136"/>
      <c r="AZ642" s="136"/>
      <c r="BA642" s="136"/>
      <c r="BB642" s="136"/>
      <c r="BC642" s="136"/>
      <c r="BD642" s="136"/>
      <c r="BE642" s="136"/>
      <c r="BF642" s="136"/>
      <c r="BG642" s="136"/>
      <c r="BH642" s="136"/>
      <c r="BI642" s="136"/>
    </row>
    <row r="643" spans="1:61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  <c r="AA643" s="136"/>
      <c r="AB643" s="136"/>
      <c r="AC643" s="136"/>
      <c r="AD643" s="136"/>
      <c r="AE643" s="136"/>
      <c r="AF643" s="136"/>
      <c r="AG643" s="136"/>
      <c r="AH643" s="136"/>
      <c r="AI643" s="136"/>
      <c r="AJ643" s="136"/>
      <c r="AK643" s="136"/>
      <c r="AL643" s="136"/>
      <c r="AM643" s="136"/>
      <c r="AN643" s="136"/>
      <c r="AO643" s="136"/>
      <c r="AP643" s="136"/>
      <c r="AQ643" s="136"/>
      <c r="AR643" s="136"/>
      <c r="AS643" s="136"/>
      <c r="AT643" s="136"/>
      <c r="AU643" s="136"/>
      <c r="AV643" s="136"/>
      <c r="AW643" s="136"/>
      <c r="AX643" s="136"/>
      <c r="AY643" s="136"/>
      <c r="AZ643" s="136"/>
      <c r="BA643" s="136"/>
      <c r="BB643" s="136"/>
      <c r="BC643" s="136"/>
      <c r="BD643" s="136"/>
      <c r="BE643" s="136"/>
      <c r="BF643" s="136"/>
      <c r="BG643" s="136"/>
      <c r="BH643" s="136"/>
      <c r="BI643" s="136"/>
    </row>
    <row r="644" spans="1:61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  <c r="AA644" s="136"/>
      <c r="AB644" s="136"/>
      <c r="AC644" s="136"/>
      <c r="AD644" s="136"/>
      <c r="AE644" s="136"/>
      <c r="AF644" s="136"/>
      <c r="AG644" s="136"/>
      <c r="AH644" s="136"/>
      <c r="AI644" s="136"/>
      <c r="AJ644" s="136"/>
      <c r="AK644" s="136"/>
      <c r="AL644" s="136"/>
      <c r="AM644" s="136"/>
      <c r="AN644" s="136"/>
      <c r="AO644" s="136"/>
      <c r="AP644" s="136"/>
      <c r="AQ644" s="136"/>
      <c r="AR644" s="136"/>
      <c r="AS644" s="136"/>
      <c r="AT644" s="136"/>
      <c r="AU644" s="136"/>
      <c r="AV644" s="136"/>
      <c r="AW644" s="136"/>
      <c r="AX644" s="136"/>
      <c r="AY644" s="136"/>
      <c r="AZ644" s="136"/>
      <c r="BA644" s="136"/>
      <c r="BB644" s="136"/>
      <c r="BC644" s="136"/>
      <c r="BD644" s="136"/>
      <c r="BE644" s="136"/>
      <c r="BF644" s="136"/>
      <c r="BG644" s="136"/>
      <c r="BH644" s="136"/>
      <c r="BI644" s="136"/>
    </row>
    <row r="645" spans="1:61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  <c r="AA645" s="136"/>
      <c r="AB645" s="136"/>
      <c r="AC645" s="136"/>
      <c r="AD645" s="136"/>
      <c r="AE645" s="136"/>
      <c r="AF645" s="136"/>
      <c r="AG645" s="136"/>
      <c r="AH645" s="136"/>
      <c r="AI645" s="136"/>
      <c r="AJ645" s="136"/>
      <c r="AK645" s="136"/>
      <c r="AL645" s="136"/>
      <c r="AM645" s="136"/>
      <c r="AN645" s="136"/>
      <c r="AO645" s="136"/>
      <c r="AP645" s="136"/>
      <c r="AQ645" s="136"/>
      <c r="AR645" s="136"/>
      <c r="AS645" s="136"/>
      <c r="AT645" s="136"/>
      <c r="AU645" s="136"/>
      <c r="AV645" s="136"/>
      <c r="AW645" s="136"/>
      <c r="AX645" s="136"/>
      <c r="AY645" s="136"/>
      <c r="AZ645" s="136"/>
      <c r="BA645" s="136"/>
      <c r="BB645" s="136"/>
      <c r="BC645" s="136"/>
      <c r="BD645" s="136"/>
      <c r="BE645" s="136"/>
      <c r="BF645" s="136"/>
      <c r="BG645" s="136"/>
      <c r="BH645" s="136"/>
      <c r="BI645" s="136"/>
    </row>
    <row r="646" spans="1:61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  <c r="AA646" s="136"/>
      <c r="AB646" s="136"/>
      <c r="AC646" s="136"/>
      <c r="AD646" s="136"/>
      <c r="AE646" s="136"/>
      <c r="AF646" s="136"/>
      <c r="AG646" s="136"/>
      <c r="AH646" s="136"/>
      <c r="AI646" s="136"/>
      <c r="AJ646" s="136"/>
      <c r="AK646" s="136"/>
      <c r="AL646" s="136"/>
      <c r="AM646" s="136"/>
      <c r="AN646" s="136"/>
      <c r="AO646" s="136"/>
      <c r="AP646" s="136"/>
      <c r="AQ646" s="136"/>
      <c r="AR646" s="136"/>
      <c r="AS646" s="136"/>
      <c r="AT646" s="136"/>
      <c r="AU646" s="136"/>
      <c r="AV646" s="136"/>
      <c r="AW646" s="136"/>
      <c r="AX646" s="136"/>
      <c r="AY646" s="136"/>
      <c r="AZ646" s="136"/>
      <c r="BA646" s="136"/>
      <c r="BB646" s="136"/>
      <c r="BC646" s="136"/>
      <c r="BD646" s="136"/>
      <c r="BE646" s="136"/>
      <c r="BF646" s="136"/>
      <c r="BG646" s="136"/>
      <c r="BH646" s="136"/>
      <c r="BI646" s="136"/>
    </row>
    <row r="647" spans="1:61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  <c r="AA647" s="136"/>
      <c r="AB647" s="136"/>
      <c r="AC647" s="136"/>
      <c r="AD647" s="136"/>
      <c r="AE647" s="136"/>
      <c r="AF647" s="136"/>
      <c r="AG647" s="136"/>
      <c r="AH647" s="136"/>
      <c r="AI647" s="136"/>
      <c r="AJ647" s="136"/>
      <c r="AK647" s="136"/>
      <c r="AL647" s="136"/>
      <c r="AM647" s="136"/>
      <c r="AN647" s="136"/>
      <c r="AO647" s="136"/>
      <c r="AP647" s="136"/>
      <c r="AQ647" s="136"/>
      <c r="AR647" s="136"/>
      <c r="AS647" s="136"/>
      <c r="AT647" s="136"/>
      <c r="AU647" s="136"/>
      <c r="AV647" s="136"/>
      <c r="AW647" s="136"/>
      <c r="AX647" s="136"/>
      <c r="AY647" s="136"/>
      <c r="AZ647" s="136"/>
      <c r="BA647" s="136"/>
      <c r="BB647" s="136"/>
      <c r="BC647" s="136"/>
      <c r="BD647" s="136"/>
      <c r="BE647" s="136"/>
      <c r="BF647" s="136"/>
      <c r="BG647" s="136"/>
      <c r="BH647" s="136"/>
      <c r="BI647" s="136"/>
    </row>
    <row r="648" spans="1:61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  <c r="AA648" s="136"/>
      <c r="AB648" s="136"/>
      <c r="AC648" s="136"/>
      <c r="AD648" s="136"/>
      <c r="AE648" s="136"/>
      <c r="AF648" s="136"/>
      <c r="AG648" s="136"/>
      <c r="AH648" s="136"/>
      <c r="AI648" s="136"/>
      <c r="AJ648" s="136"/>
      <c r="AK648" s="136"/>
      <c r="AL648" s="136"/>
      <c r="AM648" s="136"/>
      <c r="AN648" s="136"/>
      <c r="AO648" s="136"/>
      <c r="AP648" s="136"/>
      <c r="AQ648" s="136"/>
      <c r="AR648" s="136"/>
      <c r="AS648" s="136"/>
      <c r="AT648" s="136"/>
      <c r="AU648" s="136"/>
      <c r="AV648" s="136"/>
      <c r="AW648" s="136"/>
      <c r="AX648" s="136"/>
      <c r="AY648" s="136"/>
      <c r="AZ648" s="136"/>
      <c r="BA648" s="136"/>
      <c r="BB648" s="136"/>
      <c r="BC648" s="136"/>
      <c r="BD648" s="136"/>
      <c r="BE648" s="136"/>
      <c r="BF648" s="136"/>
      <c r="BG648" s="136"/>
      <c r="BH648" s="136"/>
      <c r="BI648" s="136"/>
    </row>
    <row r="649" spans="1:61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  <c r="AA649" s="136"/>
      <c r="AB649" s="136"/>
      <c r="AC649" s="136"/>
      <c r="AD649" s="136"/>
      <c r="AE649" s="136"/>
      <c r="AF649" s="136"/>
      <c r="AG649" s="136"/>
      <c r="AH649" s="136"/>
      <c r="AI649" s="136"/>
      <c r="AJ649" s="136"/>
      <c r="AK649" s="136"/>
      <c r="AL649" s="136"/>
      <c r="AM649" s="136"/>
      <c r="AN649" s="136"/>
      <c r="AO649" s="136"/>
      <c r="AP649" s="136"/>
      <c r="AQ649" s="136"/>
      <c r="AR649" s="136"/>
      <c r="AS649" s="136"/>
      <c r="AT649" s="136"/>
      <c r="AU649" s="136"/>
      <c r="AV649" s="136"/>
      <c r="AW649" s="136"/>
      <c r="AX649" s="136"/>
      <c r="AY649" s="136"/>
      <c r="AZ649" s="136"/>
      <c r="BA649" s="136"/>
      <c r="BB649" s="136"/>
      <c r="BC649" s="136"/>
      <c r="BD649" s="136"/>
      <c r="BE649" s="136"/>
      <c r="BF649" s="136"/>
      <c r="BG649" s="136"/>
      <c r="BH649" s="136"/>
      <c r="BI649" s="136"/>
    </row>
    <row r="650" spans="1:61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  <c r="AA650" s="136"/>
      <c r="AB650" s="136"/>
      <c r="AC650" s="136"/>
      <c r="AD650" s="136"/>
      <c r="AE650" s="136"/>
      <c r="AF650" s="136"/>
      <c r="AG650" s="136"/>
      <c r="AH650" s="136"/>
      <c r="AI650" s="136"/>
      <c r="AJ650" s="136"/>
      <c r="AK650" s="136"/>
      <c r="AL650" s="136"/>
      <c r="AM650" s="136"/>
      <c r="AN650" s="136"/>
      <c r="AO650" s="136"/>
      <c r="AP650" s="136"/>
      <c r="AQ650" s="136"/>
      <c r="AR650" s="136"/>
      <c r="AS650" s="136"/>
      <c r="AT650" s="136"/>
      <c r="AU650" s="136"/>
      <c r="AV650" s="136"/>
      <c r="AW650" s="136"/>
      <c r="AX650" s="136"/>
      <c r="AY650" s="136"/>
      <c r="AZ650" s="136"/>
      <c r="BA650" s="136"/>
      <c r="BB650" s="136"/>
      <c r="BC650" s="136"/>
      <c r="BD650" s="136"/>
      <c r="BE650" s="136"/>
      <c r="BF650" s="136"/>
      <c r="BG650" s="136"/>
      <c r="BH650" s="136"/>
      <c r="BI650" s="136"/>
    </row>
    <row r="651" spans="1:61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  <c r="AA651" s="136"/>
      <c r="AB651" s="136"/>
      <c r="AC651" s="136"/>
      <c r="AD651" s="136"/>
      <c r="AE651" s="136"/>
      <c r="AF651" s="136"/>
      <c r="AG651" s="136"/>
      <c r="AH651" s="136"/>
      <c r="AI651" s="136"/>
      <c r="AJ651" s="136"/>
      <c r="AK651" s="136"/>
      <c r="AL651" s="136"/>
      <c r="AM651" s="136"/>
      <c r="AN651" s="136"/>
      <c r="AO651" s="136"/>
      <c r="AP651" s="136"/>
      <c r="AQ651" s="136"/>
      <c r="AR651" s="136"/>
      <c r="AS651" s="136"/>
      <c r="AT651" s="136"/>
      <c r="AU651" s="136"/>
      <c r="AV651" s="136"/>
      <c r="AW651" s="136"/>
      <c r="AX651" s="136"/>
      <c r="AY651" s="136"/>
      <c r="AZ651" s="136"/>
      <c r="BA651" s="136"/>
      <c r="BB651" s="136"/>
      <c r="BC651" s="136"/>
      <c r="BD651" s="136"/>
      <c r="BE651" s="136"/>
      <c r="BF651" s="136"/>
      <c r="BG651" s="136"/>
      <c r="BH651" s="136"/>
      <c r="BI651" s="136"/>
    </row>
    <row r="652" spans="1:61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  <c r="AA652" s="136"/>
      <c r="AB652" s="136"/>
      <c r="AC652" s="136"/>
      <c r="AD652" s="136"/>
      <c r="AE652" s="136"/>
      <c r="AF652" s="136"/>
      <c r="AG652" s="136"/>
      <c r="AH652" s="136"/>
      <c r="AI652" s="136"/>
      <c r="AJ652" s="136"/>
      <c r="AK652" s="136"/>
      <c r="AL652" s="136"/>
      <c r="AM652" s="136"/>
      <c r="AN652" s="136"/>
      <c r="AO652" s="136"/>
      <c r="AP652" s="136"/>
      <c r="AQ652" s="136"/>
      <c r="AR652" s="136"/>
      <c r="AS652" s="136"/>
      <c r="AT652" s="136"/>
      <c r="AU652" s="136"/>
      <c r="AV652" s="136"/>
      <c r="AW652" s="136"/>
      <c r="AX652" s="136"/>
      <c r="AY652" s="136"/>
      <c r="AZ652" s="136"/>
      <c r="BA652" s="136"/>
      <c r="BB652" s="136"/>
      <c r="BC652" s="136"/>
      <c r="BD652" s="136"/>
      <c r="BE652" s="136"/>
      <c r="BF652" s="136"/>
      <c r="BG652" s="136"/>
      <c r="BH652" s="136"/>
      <c r="BI652" s="136"/>
    </row>
    <row r="653" spans="1:61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  <c r="AA653" s="136"/>
      <c r="AB653" s="136"/>
      <c r="AC653" s="136"/>
      <c r="AD653" s="136"/>
      <c r="AE653" s="136"/>
      <c r="AF653" s="136"/>
      <c r="AG653" s="136"/>
      <c r="AH653" s="136"/>
      <c r="AI653" s="136"/>
      <c r="AJ653" s="136"/>
      <c r="AK653" s="136"/>
      <c r="AL653" s="136"/>
      <c r="AM653" s="136"/>
      <c r="AN653" s="136"/>
      <c r="AO653" s="136"/>
      <c r="AP653" s="136"/>
      <c r="AQ653" s="136"/>
      <c r="AR653" s="136"/>
      <c r="AS653" s="136"/>
      <c r="AT653" s="136"/>
      <c r="AU653" s="136"/>
      <c r="AV653" s="136"/>
      <c r="AW653" s="136"/>
      <c r="AX653" s="136"/>
      <c r="AY653" s="136"/>
      <c r="AZ653" s="136"/>
      <c r="BA653" s="136"/>
      <c r="BB653" s="136"/>
      <c r="BC653" s="136"/>
      <c r="BD653" s="136"/>
      <c r="BE653" s="136"/>
      <c r="BF653" s="136"/>
      <c r="BG653" s="136"/>
      <c r="BH653" s="136"/>
      <c r="BI653" s="136"/>
    </row>
    <row r="654" spans="1:61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  <c r="AA654" s="136"/>
      <c r="AB654" s="136"/>
      <c r="AC654" s="136"/>
      <c r="AD654" s="136"/>
      <c r="AE654" s="136"/>
      <c r="AF654" s="136"/>
      <c r="AG654" s="136"/>
      <c r="AH654" s="136"/>
      <c r="AI654" s="136"/>
      <c r="AJ654" s="136"/>
      <c r="AK654" s="136"/>
      <c r="AL654" s="136"/>
      <c r="AM654" s="136"/>
      <c r="AN654" s="136"/>
      <c r="AO654" s="136"/>
      <c r="AP654" s="136"/>
      <c r="AQ654" s="136"/>
      <c r="AR654" s="136"/>
      <c r="AS654" s="136"/>
      <c r="AT654" s="136"/>
      <c r="AU654" s="136"/>
      <c r="AV654" s="136"/>
      <c r="AW654" s="136"/>
      <c r="AX654" s="136"/>
      <c r="AY654" s="136"/>
      <c r="AZ654" s="136"/>
      <c r="BA654" s="136"/>
      <c r="BB654" s="136"/>
      <c r="BC654" s="136"/>
      <c r="BD654" s="136"/>
      <c r="BE654" s="136"/>
      <c r="BF654" s="136"/>
      <c r="BG654" s="136"/>
      <c r="BH654" s="136"/>
      <c r="BI654" s="136"/>
    </row>
    <row r="655" spans="1:61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  <c r="AA655" s="136"/>
      <c r="AB655" s="136"/>
      <c r="AC655" s="136"/>
      <c r="AD655" s="136"/>
      <c r="AE655" s="136"/>
      <c r="AF655" s="136"/>
      <c r="AG655" s="136"/>
      <c r="AH655" s="136"/>
      <c r="AI655" s="136"/>
      <c r="AJ655" s="136"/>
      <c r="AK655" s="136"/>
      <c r="AL655" s="136"/>
      <c r="AM655" s="136"/>
      <c r="AN655" s="136"/>
      <c r="AO655" s="136"/>
      <c r="AP655" s="136"/>
      <c r="AQ655" s="136"/>
      <c r="AR655" s="136"/>
      <c r="AS655" s="136"/>
      <c r="AT655" s="136"/>
      <c r="AU655" s="136"/>
      <c r="AV655" s="136"/>
      <c r="AW655" s="136"/>
      <c r="AX655" s="136"/>
      <c r="AY655" s="136"/>
      <c r="AZ655" s="136"/>
      <c r="BA655" s="136"/>
      <c r="BB655" s="136"/>
      <c r="BC655" s="136"/>
      <c r="BD655" s="136"/>
      <c r="BE655" s="136"/>
      <c r="BF655" s="136"/>
      <c r="BG655" s="136"/>
      <c r="BH655" s="136"/>
      <c r="BI655" s="136"/>
    </row>
    <row r="656" spans="1:61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  <c r="AA656" s="136"/>
      <c r="AB656" s="136"/>
      <c r="AC656" s="136"/>
      <c r="AD656" s="136"/>
      <c r="AE656" s="136"/>
      <c r="AF656" s="136"/>
      <c r="AG656" s="136"/>
      <c r="AH656" s="136"/>
      <c r="AI656" s="136"/>
      <c r="AJ656" s="136"/>
      <c r="AK656" s="136"/>
      <c r="AL656" s="136"/>
      <c r="AM656" s="136"/>
      <c r="AN656" s="136"/>
      <c r="AO656" s="136"/>
      <c r="AP656" s="136"/>
      <c r="AQ656" s="136"/>
      <c r="AR656" s="136"/>
      <c r="AS656" s="136"/>
      <c r="AT656" s="136"/>
      <c r="AU656" s="136"/>
      <c r="AV656" s="136"/>
      <c r="AW656" s="136"/>
      <c r="AX656" s="136"/>
      <c r="AY656" s="136"/>
      <c r="AZ656" s="136"/>
      <c r="BA656" s="136"/>
      <c r="BB656" s="136"/>
      <c r="BC656" s="136"/>
      <c r="BD656" s="136"/>
      <c r="BE656" s="136"/>
      <c r="BF656" s="136"/>
      <c r="BG656" s="136"/>
      <c r="BH656" s="136"/>
      <c r="BI656" s="136"/>
    </row>
    <row r="657" spans="1:61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  <c r="AA657" s="136"/>
      <c r="AB657" s="136"/>
      <c r="AC657" s="136"/>
      <c r="AD657" s="136"/>
      <c r="AE657" s="136"/>
      <c r="AF657" s="136"/>
      <c r="AG657" s="136"/>
      <c r="AH657" s="136"/>
      <c r="AI657" s="136"/>
      <c r="AJ657" s="136"/>
      <c r="AK657" s="136"/>
      <c r="AL657" s="136"/>
      <c r="AM657" s="136"/>
      <c r="AN657" s="136"/>
      <c r="AO657" s="136"/>
      <c r="AP657" s="136"/>
      <c r="AQ657" s="136"/>
      <c r="AR657" s="136"/>
      <c r="AS657" s="136"/>
      <c r="AT657" s="136"/>
      <c r="AU657" s="136"/>
      <c r="AV657" s="136"/>
      <c r="AW657" s="136"/>
      <c r="AX657" s="136"/>
      <c r="AY657" s="136"/>
      <c r="AZ657" s="136"/>
      <c r="BA657" s="136"/>
      <c r="BB657" s="136"/>
      <c r="BC657" s="136"/>
      <c r="BD657" s="136"/>
      <c r="BE657" s="136"/>
      <c r="BF657" s="136"/>
      <c r="BG657" s="136"/>
      <c r="BH657" s="136"/>
      <c r="BI657" s="136"/>
    </row>
    <row r="658" spans="1:61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  <c r="AA658" s="136"/>
      <c r="AB658" s="136"/>
      <c r="AC658" s="136"/>
      <c r="AD658" s="136"/>
      <c r="AE658" s="136"/>
      <c r="AF658" s="136"/>
      <c r="AG658" s="136"/>
      <c r="AH658" s="136"/>
      <c r="AI658" s="136"/>
      <c r="AJ658" s="136"/>
      <c r="AK658" s="136"/>
      <c r="AL658" s="136"/>
      <c r="AM658" s="136"/>
      <c r="AN658" s="136"/>
      <c r="AO658" s="136"/>
      <c r="AP658" s="136"/>
      <c r="AQ658" s="136"/>
      <c r="AR658" s="136"/>
      <c r="AS658" s="136"/>
      <c r="AT658" s="136"/>
      <c r="AU658" s="136"/>
      <c r="AV658" s="136"/>
      <c r="AW658" s="136"/>
      <c r="AX658" s="136"/>
      <c r="AY658" s="136"/>
      <c r="AZ658" s="136"/>
      <c r="BA658" s="136"/>
      <c r="BB658" s="136"/>
      <c r="BC658" s="136"/>
      <c r="BD658" s="136"/>
      <c r="BE658" s="136"/>
      <c r="BF658" s="136"/>
      <c r="BG658" s="136"/>
      <c r="BH658" s="136"/>
      <c r="BI658" s="136"/>
    </row>
    <row r="659" spans="1:61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6"/>
      <c r="BA659" s="136"/>
      <c r="BB659" s="136"/>
      <c r="BC659" s="136"/>
      <c r="BD659" s="136"/>
      <c r="BE659" s="136"/>
      <c r="BF659" s="136"/>
      <c r="BG659" s="136"/>
      <c r="BH659" s="136"/>
      <c r="BI659" s="136"/>
    </row>
    <row r="660" spans="1:61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  <c r="AA660" s="136"/>
      <c r="AB660" s="136"/>
      <c r="AC660" s="136"/>
      <c r="AD660" s="136"/>
      <c r="AE660" s="136"/>
      <c r="AF660" s="136"/>
      <c r="AG660" s="136"/>
      <c r="AH660" s="136"/>
      <c r="AI660" s="136"/>
      <c r="AJ660" s="136"/>
      <c r="AK660" s="136"/>
      <c r="AL660" s="136"/>
      <c r="AM660" s="136"/>
      <c r="AN660" s="136"/>
      <c r="AO660" s="136"/>
      <c r="AP660" s="136"/>
      <c r="AQ660" s="136"/>
      <c r="AR660" s="136"/>
      <c r="AS660" s="136"/>
      <c r="AT660" s="136"/>
      <c r="AU660" s="136"/>
      <c r="AV660" s="136"/>
      <c r="AW660" s="136"/>
      <c r="AX660" s="136"/>
      <c r="AY660" s="136"/>
      <c r="AZ660" s="136"/>
      <c r="BA660" s="136"/>
      <c r="BB660" s="136"/>
      <c r="BC660" s="136"/>
      <c r="BD660" s="136"/>
      <c r="BE660" s="136"/>
      <c r="BF660" s="136"/>
      <c r="BG660" s="136"/>
      <c r="BH660" s="136"/>
      <c r="BI660" s="136"/>
    </row>
    <row r="661" spans="1:61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  <c r="AQ661" s="136"/>
      <c r="AR661" s="136"/>
      <c r="AS661" s="136"/>
      <c r="AT661" s="136"/>
      <c r="AU661" s="136"/>
      <c r="AV661" s="136"/>
      <c r="AW661" s="136"/>
      <c r="AX661" s="136"/>
      <c r="AY661" s="136"/>
      <c r="AZ661" s="136"/>
      <c r="BA661" s="136"/>
      <c r="BB661" s="136"/>
      <c r="BC661" s="136"/>
      <c r="BD661" s="136"/>
      <c r="BE661" s="136"/>
      <c r="BF661" s="136"/>
      <c r="BG661" s="136"/>
      <c r="BH661" s="136"/>
      <c r="BI661" s="136"/>
    </row>
    <row r="662" spans="1:61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  <c r="AA662" s="136"/>
      <c r="AB662" s="136"/>
      <c r="AC662" s="136"/>
      <c r="AD662" s="136"/>
      <c r="AE662" s="136"/>
      <c r="AF662" s="136"/>
      <c r="AG662" s="136"/>
      <c r="AH662" s="136"/>
      <c r="AI662" s="136"/>
      <c r="AJ662" s="136"/>
      <c r="AK662" s="136"/>
      <c r="AL662" s="136"/>
      <c r="AM662" s="136"/>
      <c r="AN662" s="136"/>
      <c r="AO662" s="136"/>
      <c r="AP662" s="136"/>
      <c r="AQ662" s="136"/>
      <c r="AR662" s="136"/>
      <c r="AS662" s="136"/>
      <c r="AT662" s="136"/>
      <c r="AU662" s="136"/>
      <c r="AV662" s="136"/>
      <c r="AW662" s="136"/>
      <c r="AX662" s="136"/>
      <c r="AY662" s="136"/>
      <c r="AZ662" s="136"/>
      <c r="BA662" s="136"/>
      <c r="BB662" s="136"/>
      <c r="BC662" s="136"/>
      <c r="BD662" s="136"/>
      <c r="BE662" s="136"/>
      <c r="BF662" s="136"/>
      <c r="BG662" s="136"/>
      <c r="BH662" s="136"/>
      <c r="BI662" s="136"/>
    </row>
    <row r="663" spans="1:61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  <c r="AA663" s="136"/>
      <c r="AB663" s="136"/>
      <c r="AC663" s="136"/>
      <c r="AD663" s="136"/>
      <c r="AE663" s="136"/>
      <c r="AF663" s="136"/>
      <c r="AG663" s="136"/>
      <c r="AH663" s="136"/>
      <c r="AI663" s="136"/>
      <c r="AJ663" s="136"/>
      <c r="AK663" s="136"/>
      <c r="AL663" s="136"/>
      <c r="AM663" s="136"/>
      <c r="AN663" s="136"/>
      <c r="AO663" s="136"/>
      <c r="AP663" s="136"/>
      <c r="AQ663" s="136"/>
      <c r="AR663" s="136"/>
      <c r="AS663" s="136"/>
      <c r="AT663" s="136"/>
      <c r="AU663" s="136"/>
      <c r="AV663" s="136"/>
      <c r="AW663" s="136"/>
      <c r="AX663" s="136"/>
      <c r="AY663" s="136"/>
      <c r="AZ663" s="136"/>
      <c r="BA663" s="136"/>
      <c r="BB663" s="136"/>
      <c r="BC663" s="136"/>
      <c r="BD663" s="136"/>
      <c r="BE663" s="136"/>
      <c r="BF663" s="136"/>
      <c r="BG663" s="136"/>
      <c r="BH663" s="136"/>
      <c r="BI663" s="136"/>
    </row>
    <row r="664" spans="1:61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  <c r="AQ664" s="136"/>
      <c r="AR664" s="136"/>
      <c r="AS664" s="136"/>
      <c r="AT664" s="136"/>
      <c r="AU664" s="136"/>
      <c r="AV664" s="136"/>
      <c r="AW664" s="136"/>
      <c r="AX664" s="136"/>
      <c r="AY664" s="136"/>
      <c r="AZ664" s="136"/>
      <c r="BA664" s="136"/>
      <c r="BB664" s="136"/>
      <c r="BC664" s="136"/>
      <c r="BD664" s="136"/>
      <c r="BE664" s="136"/>
      <c r="BF664" s="136"/>
      <c r="BG664" s="136"/>
      <c r="BH664" s="136"/>
      <c r="BI664" s="136"/>
    </row>
    <row r="665" spans="1:61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  <c r="AA665" s="136"/>
      <c r="AB665" s="136"/>
      <c r="AC665" s="136"/>
      <c r="AD665" s="136"/>
      <c r="AE665" s="136"/>
      <c r="AF665" s="136"/>
      <c r="AG665" s="136"/>
      <c r="AH665" s="136"/>
      <c r="AI665" s="136"/>
      <c r="AJ665" s="136"/>
      <c r="AK665" s="136"/>
      <c r="AL665" s="136"/>
      <c r="AM665" s="136"/>
      <c r="AN665" s="136"/>
      <c r="AO665" s="136"/>
      <c r="AP665" s="136"/>
      <c r="AQ665" s="136"/>
      <c r="AR665" s="136"/>
      <c r="AS665" s="136"/>
      <c r="AT665" s="136"/>
      <c r="AU665" s="136"/>
      <c r="AV665" s="136"/>
      <c r="AW665" s="136"/>
      <c r="AX665" s="136"/>
      <c r="AY665" s="136"/>
      <c r="AZ665" s="136"/>
      <c r="BA665" s="136"/>
      <c r="BB665" s="136"/>
      <c r="BC665" s="136"/>
      <c r="BD665" s="136"/>
      <c r="BE665" s="136"/>
      <c r="BF665" s="136"/>
      <c r="BG665" s="136"/>
      <c r="BH665" s="136"/>
      <c r="BI665" s="136"/>
    </row>
    <row r="666" spans="1:61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  <c r="AA666" s="136"/>
      <c r="AB666" s="136"/>
      <c r="AC666" s="136"/>
      <c r="AD666" s="136"/>
      <c r="AE666" s="136"/>
      <c r="AF666" s="136"/>
      <c r="AG666" s="136"/>
      <c r="AH666" s="136"/>
      <c r="AI666" s="136"/>
      <c r="AJ666" s="136"/>
      <c r="AK666" s="136"/>
      <c r="AL666" s="136"/>
      <c r="AM666" s="136"/>
      <c r="AN666" s="136"/>
      <c r="AO666" s="136"/>
      <c r="AP666" s="136"/>
      <c r="AQ666" s="136"/>
      <c r="AR666" s="136"/>
      <c r="AS666" s="136"/>
      <c r="AT666" s="136"/>
      <c r="AU666" s="136"/>
      <c r="AV666" s="136"/>
      <c r="AW666" s="136"/>
      <c r="AX666" s="136"/>
      <c r="AY666" s="136"/>
      <c r="AZ666" s="136"/>
      <c r="BA666" s="136"/>
      <c r="BB666" s="136"/>
      <c r="BC666" s="136"/>
      <c r="BD666" s="136"/>
      <c r="BE666" s="136"/>
      <c r="BF666" s="136"/>
      <c r="BG666" s="136"/>
      <c r="BH666" s="136"/>
      <c r="BI666" s="136"/>
    </row>
    <row r="667" spans="1:61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  <c r="AQ667" s="136"/>
      <c r="AR667" s="136"/>
      <c r="AS667" s="136"/>
      <c r="AT667" s="136"/>
      <c r="AU667" s="136"/>
      <c r="AV667" s="136"/>
      <c r="AW667" s="136"/>
      <c r="AX667" s="136"/>
      <c r="AY667" s="136"/>
      <c r="AZ667" s="136"/>
      <c r="BA667" s="136"/>
      <c r="BB667" s="136"/>
      <c r="BC667" s="136"/>
      <c r="BD667" s="136"/>
      <c r="BE667" s="136"/>
      <c r="BF667" s="136"/>
      <c r="BG667" s="136"/>
      <c r="BH667" s="136"/>
      <c r="BI667" s="136"/>
    </row>
    <row r="668" spans="1:61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  <c r="AA668" s="136"/>
      <c r="AB668" s="136"/>
      <c r="AC668" s="136"/>
      <c r="AD668" s="136"/>
      <c r="AE668" s="136"/>
      <c r="AF668" s="136"/>
      <c r="AG668" s="136"/>
      <c r="AH668" s="136"/>
      <c r="AI668" s="136"/>
      <c r="AJ668" s="136"/>
      <c r="AK668" s="136"/>
      <c r="AL668" s="136"/>
      <c r="AM668" s="136"/>
      <c r="AN668" s="136"/>
      <c r="AO668" s="136"/>
      <c r="AP668" s="136"/>
      <c r="AQ668" s="136"/>
      <c r="AR668" s="136"/>
      <c r="AS668" s="136"/>
      <c r="AT668" s="136"/>
      <c r="AU668" s="136"/>
      <c r="AV668" s="136"/>
      <c r="AW668" s="136"/>
      <c r="AX668" s="136"/>
      <c r="AY668" s="136"/>
      <c r="AZ668" s="136"/>
      <c r="BA668" s="136"/>
      <c r="BB668" s="136"/>
      <c r="BC668" s="136"/>
      <c r="BD668" s="136"/>
      <c r="BE668" s="136"/>
      <c r="BF668" s="136"/>
      <c r="BG668" s="136"/>
      <c r="BH668" s="136"/>
      <c r="BI668" s="136"/>
    </row>
    <row r="669" spans="1:61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  <c r="AA669" s="136"/>
      <c r="AB669" s="136"/>
      <c r="AC669" s="136"/>
      <c r="AD669" s="136"/>
      <c r="AE669" s="136"/>
      <c r="AF669" s="136"/>
      <c r="AG669" s="136"/>
      <c r="AH669" s="136"/>
      <c r="AI669" s="136"/>
      <c r="AJ669" s="136"/>
      <c r="AK669" s="136"/>
      <c r="AL669" s="136"/>
      <c r="AM669" s="136"/>
      <c r="AN669" s="136"/>
      <c r="AO669" s="136"/>
      <c r="AP669" s="136"/>
      <c r="AQ669" s="136"/>
      <c r="AR669" s="136"/>
      <c r="AS669" s="136"/>
      <c r="AT669" s="136"/>
      <c r="AU669" s="136"/>
      <c r="AV669" s="136"/>
      <c r="AW669" s="136"/>
      <c r="AX669" s="136"/>
      <c r="AY669" s="136"/>
      <c r="AZ669" s="136"/>
      <c r="BA669" s="136"/>
      <c r="BB669" s="136"/>
      <c r="BC669" s="136"/>
      <c r="BD669" s="136"/>
      <c r="BE669" s="136"/>
      <c r="BF669" s="136"/>
      <c r="BG669" s="136"/>
      <c r="BH669" s="136"/>
      <c r="BI669" s="136"/>
    </row>
    <row r="670" spans="1:61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  <c r="AA670" s="136"/>
      <c r="AB670" s="136"/>
      <c r="AC670" s="136"/>
      <c r="AD670" s="136"/>
      <c r="AE670" s="136"/>
      <c r="AF670" s="136"/>
      <c r="AG670" s="136"/>
      <c r="AH670" s="136"/>
      <c r="AI670" s="136"/>
      <c r="AJ670" s="136"/>
      <c r="AK670" s="136"/>
      <c r="AL670" s="136"/>
      <c r="AM670" s="136"/>
      <c r="AN670" s="136"/>
      <c r="AO670" s="136"/>
      <c r="AP670" s="136"/>
      <c r="AQ670" s="136"/>
      <c r="AR670" s="136"/>
      <c r="AS670" s="136"/>
      <c r="AT670" s="136"/>
      <c r="AU670" s="136"/>
      <c r="AV670" s="136"/>
      <c r="AW670" s="136"/>
      <c r="AX670" s="136"/>
      <c r="AY670" s="136"/>
      <c r="AZ670" s="136"/>
      <c r="BA670" s="136"/>
      <c r="BB670" s="136"/>
      <c r="BC670" s="136"/>
      <c r="BD670" s="136"/>
      <c r="BE670" s="136"/>
      <c r="BF670" s="136"/>
      <c r="BG670" s="136"/>
      <c r="BH670" s="136"/>
      <c r="BI670" s="136"/>
    </row>
    <row r="671" spans="1:61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  <c r="AA671" s="136"/>
      <c r="AB671" s="136"/>
      <c r="AC671" s="136"/>
      <c r="AD671" s="136"/>
      <c r="AE671" s="136"/>
      <c r="AF671" s="136"/>
      <c r="AG671" s="136"/>
      <c r="AH671" s="136"/>
      <c r="AI671" s="136"/>
      <c r="AJ671" s="136"/>
      <c r="AK671" s="136"/>
      <c r="AL671" s="136"/>
      <c r="AM671" s="136"/>
      <c r="AN671" s="136"/>
      <c r="AO671" s="136"/>
      <c r="AP671" s="136"/>
      <c r="AQ671" s="136"/>
      <c r="AR671" s="136"/>
      <c r="AS671" s="136"/>
      <c r="AT671" s="136"/>
      <c r="AU671" s="136"/>
      <c r="AV671" s="136"/>
      <c r="AW671" s="136"/>
      <c r="AX671" s="136"/>
      <c r="AY671" s="136"/>
      <c r="AZ671" s="136"/>
      <c r="BA671" s="136"/>
      <c r="BB671" s="136"/>
      <c r="BC671" s="136"/>
      <c r="BD671" s="136"/>
      <c r="BE671" s="136"/>
      <c r="BF671" s="136"/>
      <c r="BG671" s="136"/>
      <c r="BH671" s="136"/>
      <c r="BI671" s="136"/>
    </row>
    <row r="672" spans="1:61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  <c r="AA672" s="136"/>
      <c r="AB672" s="136"/>
      <c r="AC672" s="136"/>
      <c r="AD672" s="136"/>
      <c r="AE672" s="136"/>
      <c r="AF672" s="136"/>
      <c r="AG672" s="136"/>
      <c r="AH672" s="136"/>
      <c r="AI672" s="136"/>
      <c r="AJ672" s="136"/>
      <c r="AK672" s="136"/>
      <c r="AL672" s="136"/>
      <c r="AM672" s="136"/>
      <c r="AN672" s="136"/>
      <c r="AO672" s="136"/>
      <c r="AP672" s="136"/>
      <c r="AQ672" s="136"/>
      <c r="AR672" s="136"/>
      <c r="AS672" s="136"/>
      <c r="AT672" s="136"/>
      <c r="AU672" s="136"/>
      <c r="AV672" s="136"/>
      <c r="AW672" s="136"/>
      <c r="AX672" s="136"/>
      <c r="AY672" s="136"/>
      <c r="AZ672" s="136"/>
      <c r="BA672" s="136"/>
      <c r="BB672" s="136"/>
      <c r="BC672" s="136"/>
      <c r="BD672" s="136"/>
      <c r="BE672" s="136"/>
      <c r="BF672" s="136"/>
      <c r="BG672" s="136"/>
      <c r="BH672" s="136"/>
      <c r="BI672" s="136"/>
    </row>
    <row r="673" spans="1:61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  <c r="AA673" s="136"/>
      <c r="AB673" s="136"/>
      <c r="AC673" s="136"/>
      <c r="AD673" s="136"/>
      <c r="AE673" s="136"/>
      <c r="AF673" s="136"/>
      <c r="AG673" s="136"/>
      <c r="AH673" s="136"/>
      <c r="AI673" s="136"/>
      <c r="AJ673" s="136"/>
      <c r="AK673" s="136"/>
      <c r="AL673" s="136"/>
      <c r="AM673" s="136"/>
      <c r="AN673" s="136"/>
      <c r="AO673" s="136"/>
      <c r="AP673" s="136"/>
      <c r="AQ673" s="136"/>
      <c r="AR673" s="136"/>
      <c r="AS673" s="136"/>
      <c r="AT673" s="136"/>
      <c r="AU673" s="136"/>
      <c r="AV673" s="136"/>
      <c r="AW673" s="136"/>
      <c r="AX673" s="136"/>
      <c r="AY673" s="136"/>
      <c r="AZ673" s="136"/>
      <c r="BA673" s="136"/>
      <c r="BB673" s="136"/>
      <c r="BC673" s="136"/>
      <c r="BD673" s="136"/>
      <c r="BE673" s="136"/>
      <c r="BF673" s="136"/>
      <c r="BG673" s="136"/>
      <c r="BH673" s="136"/>
      <c r="BI673" s="136"/>
    </row>
    <row r="674" spans="1:61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  <c r="AA674" s="136"/>
      <c r="AB674" s="136"/>
      <c r="AC674" s="136"/>
      <c r="AD674" s="136"/>
      <c r="AE674" s="136"/>
      <c r="AF674" s="136"/>
      <c r="AG674" s="136"/>
      <c r="AH674" s="136"/>
      <c r="AI674" s="136"/>
      <c r="AJ674" s="136"/>
      <c r="AK674" s="136"/>
      <c r="AL674" s="136"/>
      <c r="AM674" s="136"/>
      <c r="AN674" s="136"/>
      <c r="AO674" s="136"/>
      <c r="AP674" s="136"/>
      <c r="AQ674" s="136"/>
      <c r="AR674" s="136"/>
      <c r="AS674" s="136"/>
      <c r="AT674" s="136"/>
      <c r="AU674" s="136"/>
      <c r="AV674" s="136"/>
      <c r="AW674" s="136"/>
      <c r="AX674" s="136"/>
      <c r="AY674" s="136"/>
      <c r="AZ674" s="136"/>
      <c r="BA674" s="136"/>
      <c r="BB674" s="136"/>
      <c r="BC674" s="136"/>
      <c r="BD674" s="136"/>
      <c r="BE674" s="136"/>
      <c r="BF674" s="136"/>
      <c r="BG674" s="136"/>
      <c r="BH674" s="136"/>
      <c r="BI674" s="136"/>
    </row>
    <row r="675" spans="1:61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  <c r="AA675" s="136"/>
      <c r="AB675" s="136"/>
      <c r="AC675" s="136"/>
      <c r="AD675" s="136"/>
      <c r="AE675" s="136"/>
      <c r="AF675" s="136"/>
      <c r="AG675" s="136"/>
      <c r="AH675" s="136"/>
      <c r="AI675" s="136"/>
      <c r="AJ675" s="136"/>
      <c r="AK675" s="136"/>
      <c r="AL675" s="136"/>
      <c r="AM675" s="136"/>
      <c r="AN675" s="136"/>
      <c r="AO675" s="136"/>
      <c r="AP675" s="136"/>
      <c r="AQ675" s="136"/>
      <c r="AR675" s="136"/>
      <c r="AS675" s="136"/>
      <c r="AT675" s="136"/>
      <c r="AU675" s="136"/>
      <c r="AV675" s="136"/>
      <c r="AW675" s="136"/>
      <c r="AX675" s="136"/>
      <c r="AY675" s="136"/>
      <c r="AZ675" s="136"/>
      <c r="BA675" s="136"/>
      <c r="BB675" s="136"/>
      <c r="BC675" s="136"/>
      <c r="BD675" s="136"/>
      <c r="BE675" s="136"/>
      <c r="BF675" s="136"/>
      <c r="BG675" s="136"/>
      <c r="BH675" s="136"/>
      <c r="BI675" s="136"/>
    </row>
    <row r="676" spans="1:61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  <c r="AA676" s="136"/>
      <c r="AB676" s="136"/>
      <c r="AC676" s="136"/>
      <c r="AD676" s="136"/>
      <c r="AE676" s="136"/>
      <c r="AF676" s="136"/>
      <c r="AG676" s="136"/>
      <c r="AH676" s="136"/>
      <c r="AI676" s="136"/>
      <c r="AJ676" s="136"/>
      <c r="AK676" s="136"/>
      <c r="AL676" s="136"/>
      <c r="AM676" s="136"/>
      <c r="AN676" s="136"/>
      <c r="AO676" s="136"/>
      <c r="AP676" s="136"/>
      <c r="AQ676" s="136"/>
      <c r="AR676" s="136"/>
      <c r="AS676" s="136"/>
      <c r="AT676" s="136"/>
      <c r="AU676" s="136"/>
      <c r="AV676" s="136"/>
      <c r="AW676" s="136"/>
      <c r="AX676" s="136"/>
      <c r="AY676" s="136"/>
      <c r="AZ676" s="136"/>
      <c r="BA676" s="136"/>
      <c r="BB676" s="136"/>
      <c r="BC676" s="136"/>
      <c r="BD676" s="136"/>
      <c r="BE676" s="136"/>
      <c r="BF676" s="136"/>
      <c r="BG676" s="136"/>
      <c r="BH676" s="136"/>
      <c r="BI676" s="136"/>
    </row>
    <row r="677" spans="1:61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  <c r="AA677" s="136"/>
      <c r="AB677" s="136"/>
      <c r="AC677" s="136"/>
      <c r="AD677" s="136"/>
      <c r="AE677" s="136"/>
      <c r="AF677" s="136"/>
      <c r="AG677" s="136"/>
      <c r="AH677" s="136"/>
      <c r="AI677" s="136"/>
      <c r="AJ677" s="136"/>
      <c r="AK677" s="136"/>
      <c r="AL677" s="136"/>
      <c r="AM677" s="136"/>
      <c r="AN677" s="136"/>
      <c r="AO677" s="136"/>
      <c r="AP677" s="136"/>
      <c r="AQ677" s="136"/>
      <c r="AR677" s="136"/>
      <c r="AS677" s="136"/>
      <c r="AT677" s="136"/>
      <c r="AU677" s="136"/>
      <c r="AV677" s="136"/>
      <c r="AW677" s="136"/>
      <c r="AX677" s="136"/>
      <c r="AY677" s="136"/>
      <c r="AZ677" s="136"/>
      <c r="BA677" s="136"/>
      <c r="BB677" s="136"/>
      <c r="BC677" s="136"/>
      <c r="BD677" s="136"/>
      <c r="BE677" s="136"/>
      <c r="BF677" s="136"/>
      <c r="BG677" s="136"/>
      <c r="BH677" s="136"/>
      <c r="BI677" s="136"/>
    </row>
    <row r="678" spans="1:61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  <c r="AA678" s="136"/>
      <c r="AB678" s="136"/>
      <c r="AC678" s="136"/>
      <c r="AD678" s="136"/>
      <c r="AE678" s="136"/>
      <c r="AF678" s="136"/>
      <c r="AG678" s="136"/>
      <c r="AH678" s="136"/>
      <c r="AI678" s="136"/>
      <c r="AJ678" s="136"/>
      <c r="AK678" s="136"/>
      <c r="AL678" s="136"/>
      <c r="AM678" s="136"/>
      <c r="AN678" s="136"/>
      <c r="AO678" s="136"/>
      <c r="AP678" s="136"/>
      <c r="AQ678" s="136"/>
      <c r="AR678" s="136"/>
      <c r="AS678" s="136"/>
      <c r="AT678" s="136"/>
      <c r="AU678" s="136"/>
      <c r="AV678" s="136"/>
      <c r="AW678" s="136"/>
      <c r="AX678" s="136"/>
      <c r="AY678" s="136"/>
      <c r="AZ678" s="136"/>
      <c r="BA678" s="136"/>
      <c r="BB678" s="136"/>
      <c r="BC678" s="136"/>
      <c r="BD678" s="136"/>
      <c r="BE678" s="136"/>
      <c r="BF678" s="136"/>
      <c r="BG678" s="136"/>
      <c r="BH678" s="136"/>
      <c r="BI678" s="136"/>
    </row>
    <row r="679" spans="1:61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  <c r="AA679" s="136"/>
      <c r="AB679" s="136"/>
      <c r="AC679" s="136"/>
      <c r="AD679" s="136"/>
      <c r="AE679" s="136"/>
      <c r="AF679" s="136"/>
      <c r="AG679" s="136"/>
      <c r="AH679" s="136"/>
      <c r="AI679" s="136"/>
      <c r="AJ679" s="136"/>
      <c r="AK679" s="136"/>
      <c r="AL679" s="136"/>
      <c r="AM679" s="136"/>
      <c r="AN679" s="136"/>
      <c r="AO679" s="136"/>
      <c r="AP679" s="136"/>
      <c r="AQ679" s="136"/>
      <c r="AR679" s="136"/>
      <c r="AS679" s="136"/>
      <c r="AT679" s="136"/>
      <c r="AU679" s="136"/>
      <c r="AV679" s="136"/>
      <c r="AW679" s="136"/>
      <c r="AX679" s="136"/>
      <c r="AY679" s="136"/>
      <c r="AZ679" s="136"/>
      <c r="BA679" s="136"/>
      <c r="BB679" s="136"/>
      <c r="BC679" s="136"/>
      <c r="BD679" s="136"/>
      <c r="BE679" s="136"/>
      <c r="BF679" s="136"/>
      <c r="BG679" s="136"/>
      <c r="BH679" s="136"/>
      <c r="BI679" s="136"/>
    </row>
    <row r="680" spans="1:61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  <c r="AA680" s="136"/>
      <c r="AB680" s="136"/>
      <c r="AC680" s="136"/>
      <c r="AD680" s="136"/>
      <c r="AE680" s="136"/>
      <c r="AF680" s="136"/>
      <c r="AG680" s="136"/>
      <c r="AH680" s="136"/>
      <c r="AI680" s="136"/>
      <c r="AJ680" s="136"/>
      <c r="AK680" s="136"/>
      <c r="AL680" s="136"/>
      <c r="AM680" s="136"/>
      <c r="AN680" s="136"/>
      <c r="AO680" s="136"/>
      <c r="AP680" s="136"/>
      <c r="AQ680" s="136"/>
      <c r="AR680" s="136"/>
      <c r="AS680" s="136"/>
      <c r="AT680" s="136"/>
      <c r="AU680" s="136"/>
      <c r="AV680" s="136"/>
      <c r="AW680" s="136"/>
      <c r="AX680" s="136"/>
      <c r="AY680" s="136"/>
      <c r="AZ680" s="136"/>
      <c r="BA680" s="136"/>
      <c r="BB680" s="136"/>
      <c r="BC680" s="136"/>
      <c r="BD680" s="136"/>
      <c r="BE680" s="136"/>
      <c r="BF680" s="136"/>
      <c r="BG680" s="136"/>
      <c r="BH680" s="136"/>
      <c r="BI680" s="136"/>
    </row>
    <row r="681" spans="1:61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  <c r="AA681" s="136"/>
      <c r="AB681" s="136"/>
      <c r="AC681" s="136"/>
      <c r="AD681" s="136"/>
      <c r="AE681" s="136"/>
      <c r="AF681" s="136"/>
      <c r="AG681" s="136"/>
      <c r="AH681" s="136"/>
      <c r="AI681" s="136"/>
      <c r="AJ681" s="136"/>
      <c r="AK681" s="136"/>
      <c r="AL681" s="136"/>
      <c r="AM681" s="136"/>
      <c r="AN681" s="136"/>
      <c r="AO681" s="136"/>
      <c r="AP681" s="136"/>
      <c r="AQ681" s="136"/>
      <c r="AR681" s="136"/>
      <c r="AS681" s="136"/>
      <c r="AT681" s="136"/>
      <c r="AU681" s="136"/>
      <c r="AV681" s="136"/>
      <c r="AW681" s="136"/>
      <c r="AX681" s="136"/>
      <c r="AY681" s="136"/>
      <c r="AZ681" s="136"/>
      <c r="BA681" s="136"/>
      <c r="BB681" s="136"/>
      <c r="BC681" s="136"/>
      <c r="BD681" s="136"/>
      <c r="BE681" s="136"/>
      <c r="BF681" s="136"/>
      <c r="BG681" s="136"/>
      <c r="BH681" s="136"/>
      <c r="BI681" s="136"/>
    </row>
    <row r="682" spans="1:61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  <c r="AA682" s="136"/>
      <c r="AB682" s="136"/>
      <c r="AC682" s="136"/>
      <c r="AD682" s="136"/>
      <c r="AE682" s="136"/>
      <c r="AF682" s="136"/>
      <c r="AG682" s="136"/>
      <c r="AH682" s="136"/>
      <c r="AI682" s="136"/>
      <c r="AJ682" s="136"/>
      <c r="AK682" s="136"/>
      <c r="AL682" s="136"/>
      <c r="AM682" s="136"/>
      <c r="AN682" s="136"/>
      <c r="AO682" s="136"/>
      <c r="AP682" s="136"/>
      <c r="AQ682" s="136"/>
      <c r="AR682" s="136"/>
      <c r="AS682" s="136"/>
      <c r="AT682" s="136"/>
      <c r="AU682" s="136"/>
      <c r="AV682" s="136"/>
      <c r="AW682" s="136"/>
      <c r="AX682" s="136"/>
      <c r="AY682" s="136"/>
      <c r="AZ682" s="136"/>
      <c r="BA682" s="136"/>
      <c r="BB682" s="136"/>
      <c r="BC682" s="136"/>
      <c r="BD682" s="136"/>
      <c r="BE682" s="136"/>
      <c r="BF682" s="136"/>
      <c r="BG682" s="136"/>
      <c r="BH682" s="136"/>
      <c r="BI682" s="136"/>
    </row>
    <row r="683" spans="1:61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  <c r="AA683" s="136"/>
      <c r="AB683" s="136"/>
      <c r="AC683" s="136"/>
      <c r="AD683" s="136"/>
      <c r="AE683" s="136"/>
      <c r="AF683" s="136"/>
      <c r="AG683" s="136"/>
      <c r="AH683" s="136"/>
      <c r="AI683" s="136"/>
      <c r="AJ683" s="136"/>
      <c r="AK683" s="136"/>
      <c r="AL683" s="136"/>
      <c r="AM683" s="136"/>
      <c r="AN683" s="136"/>
      <c r="AO683" s="136"/>
      <c r="AP683" s="136"/>
      <c r="AQ683" s="136"/>
      <c r="AR683" s="136"/>
      <c r="AS683" s="136"/>
      <c r="AT683" s="136"/>
      <c r="AU683" s="136"/>
      <c r="AV683" s="136"/>
      <c r="AW683" s="136"/>
      <c r="AX683" s="136"/>
      <c r="AY683" s="136"/>
      <c r="AZ683" s="136"/>
      <c r="BA683" s="136"/>
      <c r="BB683" s="136"/>
      <c r="BC683" s="136"/>
      <c r="BD683" s="136"/>
      <c r="BE683" s="136"/>
      <c r="BF683" s="136"/>
      <c r="BG683" s="136"/>
      <c r="BH683" s="136"/>
      <c r="BI683" s="136"/>
    </row>
    <row r="684" spans="1:61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  <c r="AA684" s="136"/>
      <c r="AB684" s="136"/>
      <c r="AC684" s="136"/>
      <c r="AD684" s="136"/>
      <c r="AE684" s="136"/>
      <c r="AF684" s="136"/>
      <c r="AG684" s="136"/>
      <c r="AH684" s="136"/>
      <c r="AI684" s="136"/>
      <c r="AJ684" s="136"/>
      <c r="AK684" s="136"/>
      <c r="AL684" s="136"/>
      <c r="AM684" s="136"/>
      <c r="AN684" s="136"/>
      <c r="AO684" s="136"/>
      <c r="AP684" s="136"/>
      <c r="AQ684" s="136"/>
      <c r="AR684" s="136"/>
      <c r="AS684" s="136"/>
      <c r="AT684" s="136"/>
      <c r="AU684" s="136"/>
      <c r="AV684" s="136"/>
      <c r="AW684" s="136"/>
      <c r="AX684" s="136"/>
      <c r="AY684" s="136"/>
      <c r="AZ684" s="136"/>
      <c r="BA684" s="136"/>
      <c r="BB684" s="136"/>
      <c r="BC684" s="136"/>
      <c r="BD684" s="136"/>
      <c r="BE684" s="136"/>
      <c r="BF684" s="136"/>
      <c r="BG684" s="136"/>
      <c r="BH684" s="136"/>
      <c r="BI684" s="136"/>
    </row>
    <row r="685" spans="1:61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  <c r="AA685" s="136"/>
      <c r="AB685" s="136"/>
      <c r="AC685" s="136"/>
      <c r="AD685" s="136"/>
      <c r="AE685" s="136"/>
      <c r="AF685" s="136"/>
      <c r="AG685" s="136"/>
      <c r="AH685" s="136"/>
      <c r="AI685" s="136"/>
      <c r="AJ685" s="136"/>
      <c r="AK685" s="136"/>
      <c r="AL685" s="136"/>
      <c r="AM685" s="136"/>
      <c r="AN685" s="136"/>
      <c r="AO685" s="136"/>
      <c r="AP685" s="136"/>
      <c r="AQ685" s="136"/>
      <c r="AR685" s="136"/>
      <c r="AS685" s="136"/>
      <c r="AT685" s="136"/>
      <c r="AU685" s="136"/>
      <c r="AV685" s="136"/>
      <c r="AW685" s="136"/>
      <c r="AX685" s="136"/>
      <c r="AY685" s="136"/>
      <c r="AZ685" s="136"/>
      <c r="BA685" s="136"/>
      <c r="BB685" s="136"/>
      <c r="BC685" s="136"/>
      <c r="BD685" s="136"/>
      <c r="BE685" s="136"/>
      <c r="BF685" s="136"/>
      <c r="BG685" s="136"/>
      <c r="BH685" s="136"/>
      <c r="BI685" s="136"/>
    </row>
    <row r="686" spans="1:61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  <c r="AA686" s="136"/>
      <c r="AB686" s="136"/>
      <c r="AC686" s="136"/>
      <c r="AD686" s="136"/>
      <c r="AE686" s="136"/>
      <c r="AF686" s="136"/>
      <c r="AG686" s="136"/>
      <c r="AH686" s="136"/>
      <c r="AI686" s="136"/>
      <c r="AJ686" s="136"/>
      <c r="AK686" s="136"/>
      <c r="AL686" s="136"/>
      <c r="AM686" s="136"/>
      <c r="AN686" s="136"/>
      <c r="AO686" s="136"/>
      <c r="AP686" s="136"/>
      <c r="AQ686" s="136"/>
      <c r="AR686" s="136"/>
      <c r="AS686" s="136"/>
      <c r="AT686" s="136"/>
      <c r="AU686" s="136"/>
      <c r="AV686" s="136"/>
      <c r="AW686" s="136"/>
      <c r="AX686" s="136"/>
      <c r="AY686" s="136"/>
      <c r="AZ686" s="136"/>
      <c r="BA686" s="136"/>
      <c r="BB686" s="136"/>
      <c r="BC686" s="136"/>
      <c r="BD686" s="136"/>
      <c r="BE686" s="136"/>
      <c r="BF686" s="136"/>
      <c r="BG686" s="136"/>
      <c r="BH686" s="136"/>
      <c r="BI686" s="136"/>
    </row>
    <row r="687" spans="1:61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  <c r="AA687" s="136"/>
      <c r="AB687" s="136"/>
      <c r="AC687" s="136"/>
      <c r="AD687" s="136"/>
      <c r="AE687" s="136"/>
      <c r="AF687" s="136"/>
      <c r="AG687" s="136"/>
      <c r="AH687" s="136"/>
      <c r="AI687" s="136"/>
      <c r="AJ687" s="136"/>
      <c r="AK687" s="136"/>
      <c r="AL687" s="136"/>
      <c r="AM687" s="136"/>
      <c r="AN687" s="136"/>
      <c r="AO687" s="136"/>
      <c r="AP687" s="136"/>
      <c r="AQ687" s="136"/>
      <c r="AR687" s="136"/>
      <c r="AS687" s="136"/>
      <c r="AT687" s="136"/>
      <c r="AU687" s="136"/>
      <c r="AV687" s="136"/>
      <c r="AW687" s="136"/>
      <c r="AX687" s="136"/>
      <c r="AY687" s="136"/>
      <c r="AZ687" s="136"/>
      <c r="BA687" s="136"/>
      <c r="BB687" s="136"/>
      <c r="BC687" s="136"/>
      <c r="BD687" s="136"/>
      <c r="BE687" s="136"/>
      <c r="BF687" s="136"/>
      <c r="BG687" s="136"/>
      <c r="BH687" s="136"/>
      <c r="BI687" s="136"/>
    </row>
    <row r="688" spans="1:61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  <c r="AA688" s="136"/>
      <c r="AB688" s="136"/>
      <c r="AC688" s="136"/>
      <c r="AD688" s="136"/>
      <c r="AE688" s="136"/>
      <c r="AF688" s="136"/>
      <c r="AG688" s="136"/>
      <c r="AH688" s="136"/>
      <c r="AI688" s="136"/>
      <c r="AJ688" s="136"/>
      <c r="AK688" s="136"/>
      <c r="AL688" s="136"/>
      <c r="AM688" s="136"/>
      <c r="AN688" s="136"/>
      <c r="AO688" s="136"/>
      <c r="AP688" s="136"/>
      <c r="AQ688" s="136"/>
      <c r="AR688" s="136"/>
      <c r="AS688" s="136"/>
      <c r="AT688" s="136"/>
      <c r="AU688" s="136"/>
      <c r="AV688" s="136"/>
      <c r="AW688" s="136"/>
      <c r="AX688" s="136"/>
      <c r="AY688" s="136"/>
      <c r="AZ688" s="136"/>
      <c r="BA688" s="136"/>
      <c r="BB688" s="136"/>
      <c r="BC688" s="136"/>
      <c r="BD688" s="136"/>
      <c r="BE688" s="136"/>
      <c r="BF688" s="136"/>
      <c r="BG688" s="136"/>
      <c r="BH688" s="136"/>
      <c r="BI688" s="136"/>
    </row>
    <row r="689" spans="1:61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  <c r="AA689" s="136"/>
      <c r="AB689" s="136"/>
      <c r="AC689" s="136"/>
      <c r="AD689" s="136"/>
      <c r="AE689" s="136"/>
      <c r="AF689" s="136"/>
      <c r="AG689" s="136"/>
      <c r="AH689" s="136"/>
      <c r="AI689" s="136"/>
      <c r="AJ689" s="136"/>
      <c r="AK689" s="136"/>
      <c r="AL689" s="136"/>
      <c r="AM689" s="136"/>
      <c r="AN689" s="136"/>
      <c r="AO689" s="136"/>
      <c r="AP689" s="136"/>
      <c r="AQ689" s="136"/>
      <c r="AR689" s="136"/>
      <c r="AS689" s="136"/>
      <c r="AT689" s="136"/>
      <c r="AU689" s="136"/>
      <c r="AV689" s="136"/>
      <c r="AW689" s="136"/>
      <c r="AX689" s="136"/>
      <c r="AY689" s="136"/>
      <c r="AZ689" s="136"/>
      <c r="BA689" s="136"/>
      <c r="BB689" s="136"/>
      <c r="BC689" s="136"/>
      <c r="BD689" s="136"/>
      <c r="BE689" s="136"/>
      <c r="BF689" s="136"/>
      <c r="BG689" s="136"/>
      <c r="BH689" s="136"/>
      <c r="BI689" s="136"/>
    </row>
    <row r="690" spans="1:61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  <c r="AA690" s="136"/>
      <c r="AB690" s="136"/>
      <c r="AC690" s="136"/>
      <c r="AD690" s="136"/>
      <c r="AE690" s="136"/>
      <c r="AF690" s="136"/>
      <c r="AG690" s="136"/>
      <c r="AH690" s="136"/>
      <c r="AI690" s="136"/>
      <c r="AJ690" s="136"/>
      <c r="AK690" s="136"/>
      <c r="AL690" s="136"/>
      <c r="AM690" s="136"/>
      <c r="AN690" s="136"/>
      <c r="AO690" s="136"/>
      <c r="AP690" s="136"/>
      <c r="AQ690" s="136"/>
      <c r="AR690" s="136"/>
      <c r="AS690" s="136"/>
      <c r="AT690" s="136"/>
      <c r="AU690" s="136"/>
      <c r="AV690" s="136"/>
      <c r="AW690" s="136"/>
      <c r="AX690" s="136"/>
      <c r="AY690" s="136"/>
      <c r="AZ690" s="136"/>
      <c r="BA690" s="136"/>
      <c r="BB690" s="136"/>
      <c r="BC690" s="136"/>
      <c r="BD690" s="136"/>
      <c r="BE690" s="136"/>
      <c r="BF690" s="136"/>
      <c r="BG690" s="136"/>
      <c r="BH690" s="136"/>
      <c r="BI690" s="136"/>
    </row>
    <row r="691" spans="1:61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  <c r="AA691" s="136"/>
      <c r="AB691" s="136"/>
      <c r="AC691" s="136"/>
      <c r="AD691" s="136"/>
      <c r="AE691" s="136"/>
      <c r="AF691" s="136"/>
      <c r="AG691" s="136"/>
      <c r="AH691" s="136"/>
      <c r="AI691" s="136"/>
      <c r="AJ691" s="136"/>
      <c r="AK691" s="136"/>
      <c r="AL691" s="136"/>
      <c r="AM691" s="136"/>
      <c r="AN691" s="136"/>
      <c r="AO691" s="136"/>
      <c r="AP691" s="136"/>
      <c r="AQ691" s="136"/>
      <c r="AR691" s="136"/>
      <c r="AS691" s="136"/>
      <c r="AT691" s="136"/>
      <c r="AU691" s="136"/>
      <c r="AV691" s="136"/>
      <c r="AW691" s="136"/>
      <c r="AX691" s="136"/>
      <c r="AY691" s="136"/>
      <c r="AZ691" s="136"/>
      <c r="BA691" s="136"/>
      <c r="BB691" s="136"/>
      <c r="BC691" s="136"/>
      <c r="BD691" s="136"/>
      <c r="BE691" s="136"/>
      <c r="BF691" s="136"/>
      <c r="BG691" s="136"/>
      <c r="BH691" s="136"/>
      <c r="BI691" s="136"/>
    </row>
    <row r="692" spans="1:61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  <c r="AA692" s="136"/>
      <c r="AB692" s="136"/>
      <c r="AC692" s="136"/>
      <c r="AD692" s="136"/>
      <c r="AE692" s="136"/>
      <c r="AF692" s="136"/>
      <c r="AG692" s="136"/>
      <c r="AH692" s="136"/>
      <c r="AI692" s="136"/>
      <c r="AJ692" s="136"/>
      <c r="AK692" s="136"/>
      <c r="AL692" s="136"/>
      <c r="AM692" s="136"/>
      <c r="AN692" s="136"/>
      <c r="AO692" s="136"/>
      <c r="AP692" s="136"/>
      <c r="AQ692" s="136"/>
      <c r="AR692" s="136"/>
      <c r="AS692" s="136"/>
      <c r="AT692" s="136"/>
      <c r="AU692" s="136"/>
      <c r="AV692" s="136"/>
      <c r="AW692" s="136"/>
      <c r="AX692" s="136"/>
      <c r="AY692" s="136"/>
      <c r="AZ692" s="136"/>
      <c r="BA692" s="136"/>
      <c r="BB692" s="136"/>
      <c r="BC692" s="136"/>
      <c r="BD692" s="136"/>
      <c r="BE692" s="136"/>
      <c r="BF692" s="136"/>
      <c r="BG692" s="136"/>
      <c r="BH692" s="136"/>
      <c r="BI692" s="136"/>
    </row>
    <row r="693" spans="1:61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  <c r="AA693" s="136"/>
      <c r="AB693" s="136"/>
      <c r="AC693" s="136"/>
      <c r="AD693" s="136"/>
      <c r="AE693" s="136"/>
      <c r="AF693" s="136"/>
      <c r="AG693" s="136"/>
      <c r="AH693" s="136"/>
      <c r="AI693" s="136"/>
      <c r="AJ693" s="136"/>
      <c r="AK693" s="136"/>
      <c r="AL693" s="136"/>
      <c r="AM693" s="136"/>
      <c r="AN693" s="136"/>
      <c r="AO693" s="136"/>
      <c r="AP693" s="136"/>
      <c r="AQ693" s="136"/>
      <c r="AR693" s="136"/>
      <c r="AS693" s="136"/>
      <c r="AT693" s="136"/>
      <c r="AU693" s="136"/>
      <c r="AV693" s="136"/>
      <c r="AW693" s="136"/>
      <c r="AX693" s="136"/>
      <c r="AY693" s="136"/>
      <c r="AZ693" s="136"/>
      <c r="BA693" s="136"/>
      <c r="BB693" s="136"/>
      <c r="BC693" s="136"/>
      <c r="BD693" s="136"/>
      <c r="BE693" s="136"/>
      <c r="BF693" s="136"/>
      <c r="BG693" s="136"/>
      <c r="BH693" s="136"/>
      <c r="BI693" s="136"/>
    </row>
    <row r="694" spans="1:61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  <c r="AA694" s="136"/>
      <c r="AB694" s="136"/>
      <c r="AC694" s="136"/>
      <c r="AD694" s="136"/>
      <c r="AE694" s="136"/>
      <c r="AF694" s="136"/>
      <c r="AG694" s="136"/>
      <c r="AH694" s="136"/>
      <c r="AI694" s="136"/>
      <c r="AJ694" s="136"/>
      <c r="AK694" s="136"/>
      <c r="AL694" s="136"/>
      <c r="AM694" s="136"/>
      <c r="AN694" s="136"/>
      <c r="AO694" s="136"/>
      <c r="AP694" s="136"/>
      <c r="AQ694" s="136"/>
      <c r="AR694" s="136"/>
      <c r="AS694" s="136"/>
      <c r="AT694" s="136"/>
      <c r="AU694" s="136"/>
      <c r="AV694" s="136"/>
      <c r="AW694" s="136"/>
      <c r="AX694" s="136"/>
      <c r="AY694" s="136"/>
      <c r="AZ694" s="136"/>
      <c r="BA694" s="136"/>
      <c r="BB694" s="136"/>
      <c r="BC694" s="136"/>
      <c r="BD694" s="136"/>
      <c r="BE694" s="136"/>
      <c r="BF694" s="136"/>
      <c r="BG694" s="136"/>
      <c r="BH694" s="136"/>
      <c r="BI694" s="136"/>
    </row>
    <row r="695" spans="1:61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  <c r="AA695" s="136"/>
      <c r="AB695" s="136"/>
      <c r="AC695" s="136"/>
      <c r="AD695" s="136"/>
      <c r="AE695" s="136"/>
      <c r="AF695" s="136"/>
      <c r="AG695" s="136"/>
      <c r="AH695" s="136"/>
      <c r="AI695" s="136"/>
      <c r="AJ695" s="136"/>
      <c r="AK695" s="136"/>
      <c r="AL695" s="136"/>
      <c r="AM695" s="136"/>
      <c r="AN695" s="136"/>
      <c r="AO695" s="136"/>
      <c r="AP695" s="136"/>
      <c r="AQ695" s="136"/>
      <c r="AR695" s="136"/>
      <c r="AS695" s="136"/>
      <c r="AT695" s="136"/>
      <c r="AU695" s="136"/>
      <c r="AV695" s="136"/>
      <c r="AW695" s="136"/>
      <c r="AX695" s="136"/>
      <c r="AY695" s="136"/>
      <c r="AZ695" s="136"/>
      <c r="BA695" s="136"/>
      <c r="BB695" s="136"/>
      <c r="BC695" s="136"/>
      <c r="BD695" s="136"/>
      <c r="BE695" s="136"/>
      <c r="BF695" s="136"/>
      <c r="BG695" s="136"/>
      <c r="BH695" s="136"/>
      <c r="BI695" s="136"/>
    </row>
    <row r="696" spans="1:61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  <c r="AA696" s="136"/>
      <c r="AB696" s="136"/>
      <c r="AC696" s="136"/>
      <c r="AD696" s="136"/>
      <c r="AE696" s="136"/>
      <c r="AF696" s="136"/>
      <c r="AG696" s="136"/>
      <c r="AH696" s="136"/>
      <c r="AI696" s="136"/>
      <c r="AJ696" s="136"/>
      <c r="AK696" s="136"/>
      <c r="AL696" s="136"/>
      <c r="AM696" s="136"/>
      <c r="AN696" s="136"/>
      <c r="AO696" s="136"/>
      <c r="AP696" s="136"/>
      <c r="AQ696" s="136"/>
      <c r="AR696" s="136"/>
      <c r="AS696" s="136"/>
      <c r="AT696" s="136"/>
      <c r="AU696" s="136"/>
      <c r="AV696" s="136"/>
      <c r="AW696" s="136"/>
      <c r="AX696" s="136"/>
      <c r="AY696" s="136"/>
      <c r="AZ696" s="136"/>
      <c r="BA696" s="136"/>
      <c r="BB696" s="136"/>
      <c r="BC696" s="136"/>
      <c r="BD696" s="136"/>
      <c r="BE696" s="136"/>
      <c r="BF696" s="136"/>
      <c r="BG696" s="136"/>
      <c r="BH696" s="136"/>
      <c r="BI696" s="136"/>
    </row>
    <row r="697" spans="1:61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  <c r="AA697" s="136"/>
      <c r="AB697" s="136"/>
      <c r="AC697" s="136"/>
      <c r="AD697" s="136"/>
      <c r="AE697" s="136"/>
      <c r="AF697" s="136"/>
      <c r="AG697" s="136"/>
      <c r="AH697" s="136"/>
      <c r="AI697" s="136"/>
      <c r="AJ697" s="136"/>
      <c r="AK697" s="136"/>
      <c r="AL697" s="136"/>
      <c r="AM697" s="136"/>
      <c r="AN697" s="136"/>
      <c r="AO697" s="136"/>
      <c r="AP697" s="136"/>
      <c r="AQ697" s="136"/>
      <c r="AR697" s="136"/>
      <c r="AS697" s="136"/>
      <c r="AT697" s="136"/>
      <c r="AU697" s="136"/>
      <c r="AV697" s="136"/>
      <c r="AW697" s="136"/>
      <c r="AX697" s="136"/>
      <c r="AY697" s="136"/>
      <c r="AZ697" s="136"/>
      <c r="BA697" s="136"/>
      <c r="BB697" s="136"/>
      <c r="BC697" s="136"/>
      <c r="BD697" s="136"/>
      <c r="BE697" s="136"/>
      <c r="BF697" s="136"/>
      <c r="BG697" s="136"/>
      <c r="BH697" s="136"/>
      <c r="BI697" s="136"/>
    </row>
    <row r="698" spans="1:61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  <c r="AA698" s="136"/>
      <c r="AB698" s="136"/>
      <c r="AC698" s="136"/>
      <c r="AD698" s="136"/>
      <c r="AE698" s="136"/>
      <c r="AF698" s="136"/>
      <c r="AG698" s="136"/>
      <c r="AH698" s="136"/>
      <c r="AI698" s="136"/>
      <c r="AJ698" s="136"/>
      <c r="AK698" s="136"/>
      <c r="AL698" s="136"/>
      <c r="AM698" s="136"/>
      <c r="AN698" s="136"/>
      <c r="AO698" s="136"/>
      <c r="AP698" s="136"/>
      <c r="AQ698" s="136"/>
      <c r="AR698" s="136"/>
      <c r="AS698" s="136"/>
      <c r="AT698" s="136"/>
      <c r="AU698" s="136"/>
      <c r="AV698" s="136"/>
      <c r="AW698" s="136"/>
      <c r="AX698" s="136"/>
      <c r="AY698" s="136"/>
      <c r="AZ698" s="136"/>
      <c r="BA698" s="136"/>
      <c r="BB698" s="136"/>
      <c r="BC698" s="136"/>
      <c r="BD698" s="136"/>
      <c r="BE698" s="136"/>
      <c r="BF698" s="136"/>
      <c r="BG698" s="136"/>
      <c r="BH698" s="136"/>
      <c r="BI698" s="136"/>
    </row>
    <row r="699" spans="1:61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  <c r="AA699" s="136"/>
      <c r="AB699" s="136"/>
      <c r="AC699" s="136"/>
      <c r="AD699" s="136"/>
      <c r="AE699" s="136"/>
      <c r="AF699" s="136"/>
      <c r="AG699" s="136"/>
      <c r="AH699" s="136"/>
      <c r="AI699" s="136"/>
      <c r="AJ699" s="136"/>
      <c r="AK699" s="136"/>
      <c r="AL699" s="136"/>
      <c r="AM699" s="136"/>
      <c r="AN699" s="136"/>
      <c r="AO699" s="136"/>
      <c r="AP699" s="136"/>
      <c r="AQ699" s="136"/>
      <c r="AR699" s="136"/>
      <c r="AS699" s="136"/>
      <c r="AT699" s="136"/>
      <c r="AU699" s="136"/>
      <c r="AV699" s="136"/>
      <c r="AW699" s="136"/>
      <c r="AX699" s="136"/>
      <c r="AY699" s="136"/>
      <c r="AZ699" s="136"/>
      <c r="BA699" s="136"/>
      <c r="BB699" s="136"/>
      <c r="BC699" s="136"/>
      <c r="BD699" s="136"/>
      <c r="BE699" s="136"/>
      <c r="BF699" s="136"/>
      <c r="BG699" s="136"/>
      <c r="BH699" s="136"/>
      <c r="BI699" s="136"/>
    </row>
    <row r="700" spans="1:61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  <c r="AA700" s="136"/>
      <c r="AB700" s="136"/>
      <c r="AC700" s="136"/>
      <c r="AD700" s="136"/>
      <c r="AE700" s="136"/>
      <c r="AF700" s="136"/>
      <c r="AG700" s="136"/>
      <c r="AH700" s="136"/>
      <c r="AI700" s="136"/>
      <c r="AJ700" s="136"/>
      <c r="AK700" s="136"/>
      <c r="AL700" s="136"/>
      <c r="AM700" s="136"/>
      <c r="AN700" s="136"/>
      <c r="AO700" s="136"/>
      <c r="AP700" s="136"/>
      <c r="AQ700" s="136"/>
      <c r="AR700" s="136"/>
      <c r="AS700" s="136"/>
      <c r="AT700" s="136"/>
      <c r="AU700" s="136"/>
      <c r="AV700" s="136"/>
      <c r="AW700" s="136"/>
      <c r="AX700" s="136"/>
      <c r="AY700" s="136"/>
      <c r="AZ700" s="136"/>
      <c r="BA700" s="136"/>
      <c r="BB700" s="136"/>
      <c r="BC700" s="136"/>
      <c r="BD700" s="136"/>
      <c r="BE700" s="136"/>
      <c r="BF700" s="136"/>
      <c r="BG700" s="136"/>
      <c r="BH700" s="136"/>
      <c r="BI700" s="136"/>
    </row>
    <row r="701" spans="1:61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6"/>
      <c r="BA701" s="136"/>
      <c r="BB701" s="136"/>
      <c r="BC701" s="136"/>
      <c r="BD701" s="136"/>
      <c r="BE701" s="136"/>
      <c r="BF701" s="136"/>
      <c r="BG701" s="136"/>
      <c r="BH701" s="136"/>
      <c r="BI701" s="136"/>
    </row>
    <row r="702" spans="1:61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  <c r="AA702" s="136"/>
      <c r="AB702" s="136"/>
      <c r="AC702" s="136"/>
      <c r="AD702" s="136"/>
      <c r="AE702" s="136"/>
      <c r="AF702" s="136"/>
      <c r="AG702" s="136"/>
      <c r="AH702" s="136"/>
      <c r="AI702" s="136"/>
      <c r="AJ702" s="136"/>
      <c r="AK702" s="136"/>
      <c r="AL702" s="136"/>
      <c r="AM702" s="136"/>
      <c r="AN702" s="136"/>
      <c r="AO702" s="136"/>
      <c r="AP702" s="136"/>
      <c r="AQ702" s="136"/>
      <c r="AR702" s="136"/>
      <c r="AS702" s="136"/>
      <c r="AT702" s="136"/>
      <c r="AU702" s="136"/>
      <c r="AV702" s="136"/>
      <c r="AW702" s="136"/>
      <c r="AX702" s="136"/>
      <c r="AY702" s="136"/>
      <c r="AZ702" s="136"/>
      <c r="BA702" s="136"/>
      <c r="BB702" s="136"/>
      <c r="BC702" s="136"/>
      <c r="BD702" s="136"/>
      <c r="BE702" s="136"/>
      <c r="BF702" s="136"/>
      <c r="BG702" s="136"/>
      <c r="BH702" s="136"/>
      <c r="BI702" s="136"/>
    </row>
    <row r="703" spans="1:61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  <c r="AA703" s="136"/>
      <c r="AB703" s="136"/>
      <c r="AC703" s="136"/>
      <c r="AD703" s="136"/>
      <c r="AE703" s="136"/>
      <c r="AF703" s="136"/>
      <c r="AG703" s="136"/>
      <c r="AH703" s="136"/>
      <c r="AI703" s="136"/>
      <c r="AJ703" s="136"/>
      <c r="AK703" s="136"/>
      <c r="AL703" s="136"/>
      <c r="AM703" s="136"/>
      <c r="AN703" s="136"/>
      <c r="AO703" s="136"/>
      <c r="AP703" s="136"/>
      <c r="AQ703" s="136"/>
      <c r="AR703" s="136"/>
      <c r="AS703" s="136"/>
      <c r="AT703" s="136"/>
      <c r="AU703" s="136"/>
      <c r="AV703" s="136"/>
      <c r="AW703" s="136"/>
      <c r="AX703" s="136"/>
      <c r="AY703" s="136"/>
      <c r="AZ703" s="136"/>
      <c r="BA703" s="136"/>
      <c r="BB703" s="136"/>
      <c r="BC703" s="136"/>
      <c r="BD703" s="136"/>
      <c r="BE703" s="136"/>
      <c r="BF703" s="136"/>
      <c r="BG703" s="136"/>
      <c r="BH703" s="136"/>
      <c r="BI703" s="136"/>
    </row>
    <row r="704" spans="1:61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  <c r="AA704" s="136"/>
      <c r="AB704" s="136"/>
      <c r="AC704" s="136"/>
      <c r="AD704" s="136"/>
      <c r="AE704" s="136"/>
      <c r="AF704" s="136"/>
      <c r="AG704" s="136"/>
      <c r="AH704" s="136"/>
      <c r="AI704" s="136"/>
      <c r="AJ704" s="136"/>
      <c r="AK704" s="136"/>
      <c r="AL704" s="136"/>
      <c r="AM704" s="136"/>
      <c r="AN704" s="136"/>
      <c r="AO704" s="136"/>
      <c r="AP704" s="136"/>
      <c r="AQ704" s="136"/>
      <c r="AR704" s="136"/>
      <c r="AS704" s="136"/>
      <c r="AT704" s="136"/>
      <c r="AU704" s="136"/>
      <c r="AV704" s="136"/>
      <c r="AW704" s="136"/>
      <c r="AX704" s="136"/>
      <c r="AY704" s="136"/>
      <c r="AZ704" s="136"/>
      <c r="BA704" s="136"/>
      <c r="BB704" s="136"/>
      <c r="BC704" s="136"/>
      <c r="BD704" s="136"/>
      <c r="BE704" s="136"/>
      <c r="BF704" s="136"/>
      <c r="BG704" s="136"/>
      <c r="BH704" s="136"/>
      <c r="BI704" s="136"/>
    </row>
    <row r="705" spans="1:61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  <c r="AA705" s="136"/>
      <c r="AB705" s="136"/>
      <c r="AC705" s="136"/>
      <c r="AD705" s="136"/>
      <c r="AE705" s="136"/>
      <c r="AF705" s="136"/>
      <c r="AG705" s="136"/>
      <c r="AH705" s="136"/>
      <c r="AI705" s="136"/>
      <c r="AJ705" s="136"/>
      <c r="AK705" s="136"/>
      <c r="AL705" s="136"/>
      <c r="AM705" s="136"/>
      <c r="AN705" s="136"/>
      <c r="AO705" s="136"/>
      <c r="AP705" s="136"/>
      <c r="AQ705" s="136"/>
      <c r="AR705" s="136"/>
      <c r="AS705" s="136"/>
      <c r="AT705" s="136"/>
      <c r="AU705" s="136"/>
      <c r="AV705" s="136"/>
      <c r="AW705" s="136"/>
      <c r="AX705" s="136"/>
      <c r="AY705" s="136"/>
      <c r="AZ705" s="136"/>
      <c r="BA705" s="136"/>
      <c r="BB705" s="136"/>
      <c r="BC705" s="136"/>
      <c r="BD705" s="136"/>
      <c r="BE705" s="136"/>
      <c r="BF705" s="136"/>
      <c r="BG705" s="136"/>
      <c r="BH705" s="136"/>
      <c r="BI705" s="136"/>
    </row>
    <row r="706" spans="1:61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  <c r="AA706" s="136"/>
      <c r="AB706" s="136"/>
      <c r="AC706" s="136"/>
      <c r="AD706" s="136"/>
      <c r="AE706" s="136"/>
      <c r="AF706" s="136"/>
      <c r="AG706" s="136"/>
      <c r="AH706" s="136"/>
      <c r="AI706" s="136"/>
      <c r="AJ706" s="136"/>
      <c r="AK706" s="136"/>
      <c r="AL706" s="136"/>
      <c r="AM706" s="136"/>
      <c r="AN706" s="136"/>
      <c r="AO706" s="136"/>
      <c r="AP706" s="136"/>
      <c r="AQ706" s="136"/>
      <c r="AR706" s="136"/>
      <c r="AS706" s="136"/>
      <c r="AT706" s="136"/>
      <c r="AU706" s="136"/>
      <c r="AV706" s="136"/>
      <c r="AW706" s="136"/>
      <c r="AX706" s="136"/>
      <c r="AY706" s="136"/>
      <c r="AZ706" s="136"/>
      <c r="BA706" s="136"/>
      <c r="BB706" s="136"/>
      <c r="BC706" s="136"/>
      <c r="BD706" s="136"/>
      <c r="BE706" s="136"/>
      <c r="BF706" s="136"/>
      <c r="BG706" s="136"/>
      <c r="BH706" s="136"/>
      <c r="BI706" s="136"/>
    </row>
    <row r="707" spans="1:61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  <c r="AA707" s="136"/>
      <c r="AB707" s="136"/>
      <c r="AC707" s="136"/>
      <c r="AD707" s="136"/>
      <c r="AE707" s="136"/>
      <c r="AF707" s="136"/>
      <c r="AG707" s="136"/>
      <c r="AH707" s="136"/>
      <c r="AI707" s="136"/>
      <c r="AJ707" s="136"/>
      <c r="AK707" s="136"/>
      <c r="AL707" s="136"/>
      <c r="AM707" s="136"/>
      <c r="AN707" s="136"/>
      <c r="AO707" s="136"/>
      <c r="AP707" s="136"/>
      <c r="AQ707" s="136"/>
      <c r="AR707" s="136"/>
      <c r="AS707" s="136"/>
      <c r="AT707" s="136"/>
      <c r="AU707" s="136"/>
      <c r="AV707" s="136"/>
      <c r="AW707" s="136"/>
      <c r="AX707" s="136"/>
      <c r="AY707" s="136"/>
      <c r="AZ707" s="136"/>
      <c r="BA707" s="136"/>
      <c r="BB707" s="136"/>
      <c r="BC707" s="136"/>
      <c r="BD707" s="136"/>
      <c r="BE707" s="136"/>
      <c r="BF707" s="136"/>
      <c r="BG707" s="136"/>
      <c r="BH707" s="136"/>
      <c r="BI707" s="136"/>
    </row>
    <row r="708" spans="1:61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  <c r="AA708" s="136"/>
      <c r="AB708" s="136"/>
      <c r="AC708" s="136"/>
      <c r="AD708" s="136"/>
      <c r="AE708" s="136"/>
      <c r="AF708" s="136"/>
      <c r="AG708" s="136"/>
      <c r="AH708" s="136"/>
      <c r="AI708" s="136"/>
      <c r="AJ708" s="136"/>
      <c r="AK708" s="136"/>
      <c r="AL708" s="136"/>
      <c r="AM708" s="136"/>
      <c r="AN708" s="136"/>
      <c r="AO708" s="136"/>
      <c r="AP708" s="136"/>
      <c r="AQ708" s="136"/>
      <c r="AR708" s="136"/>
      <c r="AS708" s="136"/>
      <c r="AT708" s="136"/>
      <c r="AU708" s="136"/>
      <c r="AV708" s="136"/>
      <c r="AW708" s="136"/>
      <c r="AX708" s="136"/>
      <c r="AY708" s="136"/>
      <c r="AZ708" s="136"/>
      <c r="BA708" s="136"/>
      <c r="BB708" s="136"/>
      <c r="BC708" s="136"/>
      <c r="BD708" s="136"/>
      <c r="BE708" s="136"/>
      <c r="BF708" s="136"/>
      <c r="BG708" s="136"/>
      <c r="BH708" s="136"/>
      <c r="BI708" s="136"/>
    </row>
    <row r="709" spans="1:61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  <c r="AA709" s="136"/>
      <c r="AB709" s="136"/>
      <c r="AC709" s="136"/>
      <c r="AD709" s="136"/>
      <c r="AE709" s="136"/>
      <c r="AF709" s="136"/>
      <c r="AG709" s="136"/>
      <c r="AH709" s="136"/>
      <c r="AI709" s="136"/>
      <c r="AJ709" s="136"/>
      <c r="AK709" s="136"/>
      <c r="AL709" s="136"/>
      <c r="AM709" s="136"/>
      <c r="AN709" s="136"/>
      <c r="AO709" s="136"/>
      <c r="AP709" s="136"/>
      <c r="AQ709" s="136"/>
      <c r="AR709" s="136"/>
      <c r="AS709" s="136"/>
      <c r="AT709" s="136"/>
      <c r="AU709" s="136"/>
      <c r="AV709" s="136"/>
      <c r="AW709" s="136"/>
      <c r="AX709" s="136"/>
      <c r="AY709" s="136"/>
      <c r="AZ709" s="136"/>
      <c r="BA709" s="136"/>
      <c r="BB709" s="136"/>
      <c r="BC709" s="136"/>
      <c r="BD709" s="136"/>
      <c r="BE709" s="136"/>
      <c r="BF709" s="136"/>
      <c r="BG709" s="136"/>
      <c r="BH709" s="136"/>
      <c r="BI709" s="136"/>
    </row>
    <row r="710" spans="1:61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  <c r="AA710" s="136"/>
      <c r="AB710" s="136"/>
      <c r="AC710" s="136"/>
      <c r="AD710" s="136"/>
      <c r="AE710" s="136"/>
      <c r="AF710" s="136"/>
      <c r="AG710" s="136"/>
      <c r="AH710" s="136"/>
      <c r="AI710" s="136"/>
      <c r="AJ710" s="136"/>
      <c r="AK710" s="136"/>
      <c r="AL710" s="136"/>
      <c r="AM710" s="136"/>
      <c r="AN710" s="136"/>
      <c r="AO710" s="136"/>
      <c r="AP710" s="136"/>
      <c r="AQ710" s="136"/>
      <c r="AR710" s="136"/>
      <c r="AS710" s="136"/>
      <c r="AT710" s="136"/>
      <c r="AU710" s="136"/>
      <c r="AV710" s="136"/>
      <c r="AW710" s="136"/>
      <c r="AX710" s="136"/>
      <c r="AY710" s="136"/>
      <c r="AZ710" s="136"/>
      <c r="BA710" s="136"/>
      <c r="BB710" s="136"/>
      <c r="BC710" s="136"/>
      <c r="BD710" s="136"/>
      <c r="BE710" s="136"/>
      <c r="BF710" s="136"/>
      <c r="BG710" s="136"/>
      <c r="BH710" s="136"/>
      <c r="BI710" s="136"/>
    </row>
    <row r="711" spans="1:61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  <c r="AA711" s="136"/>
      <c r="AB711" s="136"/>
      <c r="AC711" s="136"/>
      <c r="AD711" s="136"/>
      <c r="AE711" s="136"/>
      <c r="AF711" s="136"/>
      <c r="AG711" s="136"/>
      <c r="AH711" s="136"/>
      <c r="AI711" s="136"/>
      <c r="AJ711" s="136"/>
      <c r="AK711" s="136"/>
      <c r="AL711" s="136"/>
      <c r="AM711" s="136"/>
      <c r="AN711" s="136"/>
      <c r="AO711" s="136"/>
      <c r="AP711" s="136"/>
      <c r="AQ711" s="136"/>
      <c r="AR711" s="136"/>
      <c r="AS711" s="136"/>
      <c r="AT711" s="136"/>
      <c r="AU711" s="136"/>
      <c r="AV711" s="136"/>
      <c r="AW711" s="136"/>
      <c r="AX711" s="136"/>
      <c r="AY711" s="136"/>
      <c r="AZ711" s="136"/>
      <c r="BA711" s="136"/>
      <c r="BB711" s="136"/>
      <c r="BC711" s="136"/>
      <c r="BD711" s="136"/>
      <c r="BE711" s="136"/>
      <c r="BF711" s="136"/>
      <c r="BG711" s="136"/>
      <c r="BH711" s="136"/>
      <c r="BI711" s="136"/>
    </row>
    <row r="712" spans="1:61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  <c r="AA712" s="136"/>
      <c r="AB712" s="136"/>
      <c r="AC712" s="136"/>
      <c r="AD712" s="136"/>
      <c r="AE712" s="136"/>
      <c r="AF712" s="136"/>
      <c r="AG712" s="136"/>
      <c r="AH712" s="136"/>
      <c r="AI712" s="136"/>
      <c r="AJ712" s="136"/>
      <c r="AK712" s="136"/>
      <c r="AL712" s="136"/>
      <c r="AM712" s="136"/>
      <c r="AN712" s="136"/>
      <c r="AO712" s="136"/>
      <c r="AP712" s="136"/>
      <c r="AQ712" s="136"/>
      <c r="AR712" s="136"/>
      <c r="AS712" s="136"/>
      <c r="AT712" s="136"/>
      <c r="AU712" s="136"/>
      <c r="AV712" s="136"/>
      <c r="AW712" s="136"/>
      <c r="AX712" s="136"/>
      <c r="AY712" s="136"/>
      <c r="AZ712" s="136"/>
      <c r="BA712" s="136"/>
      <c r="BB712" s="136"/>
      <c r="BC712" s="136"/>
      <c r="BD712" s="136"/>
      <c r="BE712" s="136"/>
      <c r="BF712" s="136"/>
      <c r="BG712" s="136"/>
      <c r="BH712" s="136"/>
      <c r="BI712" s="136"/>
    </row>
    <row r="713" spans="1:61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  <c r="AA713" s="136"/>
      <c r="AB713" s="136"/>
      <c r="AC713" s="136"/>
      <c r="AD713" s="136"/>
      <c r="AE713" s="136"/>
      <c r="AF713" s="136"/>
      <c r="AG713" s="136"/>
      <c r="AH713" s="136"/>
      <c r="AI713" s="136"/>
      <c r="AJ713" s="136"/>
      <c r="AK713" s="136"/>
      <c r="AL713" s="136"/>
      <c r="AM713" s="136"/>
      <c r="AN713" s="136"/>
      <c r="AO713" s="136"/>
      <c r="AP713" s="136"/>
      <c r="AQ713" s="136"/>
      <c r="AR713" s="136"/>
      <c r="AS713" s="136"/>
      <c r="AT713" s="136"/>
      <c r="AU713" s="136"/>
      <c r="AV713" s="136"/>
      <c r="AW713" s="136"/>
      <c r="AX713" s="136"/>
      <c r="AY713" s="136"/>
      <c r="AZ713" s="136"/>
      <c r="BA713" s="136"/>
      <c r="BB713" s="136"/>
      <c r="BC713" s="136"/>
      <c r="BD713" s="136"/>
      <c r="BE713" s="136"/>
      <c r="BF713" s="136"/>
      <c r="BG713" s="136"/>
      <c r="BH713" s="136"/>
      <c r="BI713" s="136"/>
    </row>
    <row r="714" spans="1:61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  <c r="AA714" s="136"/>
      <c r="AB714" s="136"/>
      <c r="AC714" s="136"/>
      <c r="AD714" s="136"/>
      <c r="AE714" s="136"/>
      <c r="AF714" s="136"/>
      <c r="AG714" s="136"/>
      <c r="AH714" s="136"/>
      <c r="AI714" s="136"/>
      <c r="AJ714" s="136"/>
      <c r="AK714" s="136"/>
      <c r="AL714" s="136"/>
      <c r="AM714" s="136"/>
      <c r="AN714" s="136"/>
      <c r="AO714" s="136"/>
      <c r="AP714" s="136"/>
      <c r="AQ714" s="136"/>
      <c r="AR714" s="136"/>
      <c r="AS714" s="136"/>
      <c r="AT714" s="136"/>
      <c r="AU714" s="136"/>
      <c r="AV714" s="136"/>
      <c r="AW714" s="136"/>
      <c r="AX714" s="136"/>
      <c r="AY714" s="136"/>
      <c r="AZ714" s="136"/>
      <c r="BA714" s="136"/>
      <c r="BB714" s="136"/>
      <c r="BC714" s="136"/>
      <c r="BD714" s="136"/>
      <c r="BE714" s="136"/>
      <c r="BF714" s="136"/>
      <c r="BG714" s="136"/>
      <c r="BH714" s="136"/>
      <c r="BI714" s="136"/>
    </row>
    <row r="715" spans="1:61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  <c r="AA715" s="136"/>
      <c r="AB715" s="136"/>
      <c r="AC715" s="136"/>
      <c r="AD715" s="136"/>
      <c r="AE715" s="136"/>
      <c r="AF715" s="136"/>
      <c r="AG715" s="136"/>
      <c r="AH715" s="136"/>
      <c r="AI715" s="136"/>
      <c r="AJ715" s="136"/>
      <c r="AK715" s="136"/>
      <c r="AL715" s="136"/>
      <c r="AM715" s="136"/>
      <c r="AN715" s="136"/>
      <c r="AO715" s="136"/>
      <c r="AP715" s="136"/>
      <c r="AQ715" s="136"/>
      <c r="AR715" s="136"/>
      <c r="AS715" s="136"/>
      <c r="AT715" s="136"/>
      <c r="AU715" s="136"/>
      <c r="AV715" s="136"/>
      <c r="AW715" s="136"/>
      <c r="AX715" s="136"/>
      <c r="AY715" s="136"/>
      <c r="AZ715" s="136"/>
      <c r="BA715" s="136"/>
      <c r="BB715" s="136"/>
      <c r="BC715" s="136"/>
      <c r="BD715" s="136"/>
      <c r="BE715" s="136"/>
      <c r="BF715" s="136"/>
      <c r="BG715" s="136"/>
      <c r="BH715" s="136"/>
      <c r="BI715" s="136"/>
    </row>
    <row r="716" spans="1:61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  <c r="AA716" s="136"/>
      <c r="AB716" s="136"/>
      <c r="AC716" s="136"/>
      <c r="AD716" s="136"/>
      <c r="AE716" s="136"/>
      <c r="AF716" s="136"/>
      <c r="AG716" s="136"/>
      <c r="AH716" s="136"/>
      <c r="AI716" s="136"/>
      <c r="AJ716" s="136"/>
      <c r="AK716" s="136"/>
      <c r="AL716" s="136"/>
      <c r="AM716" s="136"/>
      <c r="AN716" s="136"/>
      <c r="AO716" s="136"/>
      <c r="AP716" s="136"/>
      <c r="AQ716" s="136"/>
      <c r="AR716" s="136"/>
      <c r="AS716" s="136"/>
      <c r="AT716" s="136"/>
      <c r="AU716" s="136"/>
      <c r="AV716" s="136"/>
      <c r="AW716" s="136"/>
      <c r="AX716" s="136"/>
      <c r="AY716" s="136"/>
      <c r="AZ716" s="136"/>
      <c r="BA716" s="136"/>
      <c r="BB716" s="136"/>
      <c r="BC716" s="136"/>
      <c r="BD716" s="136"/>
      <c r="BE716" s="136"/>
      <c r="BF716" s="136"/>
      <c r="BG716" s="136"/>
      <c r="BH716" s="136"/>
      <c r="BI716" s="136"/>
    </row>
    <row r="717" spans="1:61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  <c r="AA717" s="136"/>
      <c r="AB717" s="136"/>
      <c r="AC717" s="136"/>
      <c r="AD717" s="136"/>
      <c r="AE717" s="136"/>
      <c r="AF717" s="136"/>
      <c r="AG717" s="136"/>
      <c r="AH717" s="136"/>
      <c r="AI717" s="136"/>
      <c r="AJ717" s="136"/>
      <c r="AK717" s="136"/>
      <c r="AL717" s="136"/>
      <c r="AM717" s="136"/>
      <c r="AN717" s="136"/>
      <c r="AO717" s="136"/>
      <c r="AP717" s="136"/>
      <c r="AQ717" s="136"/>
      <c r="AR717" s="136"/>
      <c r="AS717" s="136"/>
      <c r="AT717" s="136"/>
      <c r="AU717" s="136"/>
      <c r="AV717" s="136"/>
      <c r="AW717" s="136"/>
      <c r="AX717" s="136"/>
      <c r="AY717" s="136"/>
      <c r="AZ717" s="136"/>
      <c r="BA717" s="136"/>
      <c r="BB717" s="136"/>
      <c r="BC717" s="136"/>
      <c r="BD717" s="136"/>
      <c r="BE717" s="136"/>
      <c r="BF717" s="136"/>
      <c r="BG717" s="136"/>
      <c r="BH717" s="136"/>
      <c r="BI717" s="136"/>
    </row>
    <row r="718" spans="1:61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  <c r="AA718" s="136"/>
      <c r="AB718" s="136"/>
      <c r="AC718" s="136"/>
      <c r="AD718" s="136"/>
      <c r="AE718" s="136"/>
      <c r="AF718" s="136"/>
      <c r="AG718" s="136"/>
      <c r="AH718" s="136"/>
      <c r="AI718" s="136"/>
      <c r="AJ718" s="136"/>
      <c r="AK718" s="136"/>
      <c r="AL718" s="136"/>
      <c r="AM718" s="136"/>
      <c r="AN718" s="136"/>
      <c r="AO718" s="136"/>
      <c r="AP718" s="136"/>
      <c r="AQ718" s="136"/>
      <c r="AR718" s="136"/>
      <c r="AS718" s="136"/>
      <c r="AT718" s="136"/>
      <c r="AU718" s="136"/>
      <c r="AV718" s="136"/>
      <c r="AW718" s="136"/>
      <c r="AX718" s="136"/>
      <c r="AY718" s="136"/>
      <c r="AZ718" s="136"/>
      <c r="BA718" s="136"/>
      <c r="BB718" s="136"/>
      <c r="BC718" s="136"/>
      <c r="BD718" s="136"/>
      <c r="BE718" s="136"/>
      <c r="BF718" s="136"/>
      <c r="BG718" s="136"/>
      <c r="BH718" s="136"/>
      <c r="BI718" s="136"/>
    </row>
    <row r="719" spans="1:61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  <c r="AA719" s="136"/>
      <c r="AB719" s="136"/>
      <c r="AC719" s="136"/>
      <c r="AD719" s="136"/>
      <c r="AE719" s="136"/>
      <c r="AF719" s="136"/>
      <c r="AG719" s="136"/>
      <c r="AH719" s="136"/>
      <c r="AI719" s="136"/>
      <c r="AJ719" s="136"/>
      <c r="AK719" s="136"/>
      <c r="AL719" s="136"/>
      <c r="AM719" s="136"/>
      <c r="AN719" s="136"/>
      <c r="AO719" s="136"/>
      <c r="AP719" s="136"/>
      <c r="AQ719" s="136"/>
      <c r="AR719" s="136"/>
      <c r="AS719" s="136"/>
      <c r="AT719" s="136"/>
      <c r="AU719" s="136"/>
      <c r="AV719" s="136"/>
      <c r="AW719" s="136"/>
      <c r="AX719" s="136"/>
      <c r="AY719" s="136"/>
      <c r="AZ719" s="136"/>
      <c r="BA719" s="136"/>
      <c r="BB719" s="136"/>
      <c r="BC719" s="136"/>
      <c r="BD719" s="136"/>
      <c r="BE719" s="136"/>
      <c r="BF719" s="136"/>
      <c r="BG719" s="136"/>
      <c r="BH719" s="136"/>
      <c r="BI719" s="136"/>
    </row>
    <row r="720" spans="1:61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  <c r="AA720" s="136"/>
      <c r="AB720" s="136"/>
      <c r="AC720" s="136"/>
      <c r="AD720" s="136"/>
      <c r="AE720" s="136"/>
      <c r="AF720" s="136"/>
      <c r="AG720" s="136"/>
      <c r="AH720" s="136"/>
      <c r="AI720" s="136"/>
      <c r="AJ720" s="136"/>
      <c r="AK720" s="136"/>
      <c r="AL720" s="136"/>
      <c r="AM720" s="136"/>
      <c r="AN720" s="136"/>
      <c r="AO720" s="136"/>
      <c r="AP720" s="136"/>
      <c r="AQ720" s="136"/>
      <c r="AR720" s="136"/>
      <c r="AS720" s="136"/>
      <c r="AT720" s="136"/>
      <c r="AU720" s="136"/>
      <c r="AV720" s="136"/>
      <c r="AW720" s="136"/>
      <c r="AX720" s="136"/>
      <c r="AY720" s="136"/>
      <c r="AZ720" s="136"/>
      <c r="BA720" s="136"/>
      <c r="BB720" s="136"/>
      <c r="BC720" s="136"/>
      <c r="BD720" s="136"/>
      <c r="BE720" s="136"/>
      <c r="BF720" s="136"/>
      <c r="BG720" s="136"/>
      <c r="BH720" s="136"/>
      <c r="BI720" s="136"/>
    </row>
    <row r="721" spans="1:61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  <c r="AA721" s="136"/>
      <c r="AB721" s="136"/>
      <c r="AC721" s="136"/>
      <c r="AD721" s="136"/>
      <c r="AE721" s="136"/>
      <c r="AF721" s="136"/>
      <c r="AG721" s="136"/>
      <c r="AH721" s="136"/>
      <c r="AI721" s="136"/>
      <c r="AJ721" s="136"/>
      <c r="AK721" s="136"/>
      <c r="AL721" s="136"/>
      <c r="AM721" s="136"/>
      <c r="AN721" s="136"/>
      <c r="AO721" s="136"/>
      <c r="AP721" s="136"/>
      <c r="AQ721" s="136"/>
      <c r="AR721" s="136"/>
      <c r="AS721" s="136"/>
      <c r="AT721" s="136"/>
      <c r="AU721" s="136"/>
      <c r="AV721" s="136"/>
      <c r="AW721" s="136"/>
      <c r="AX721" s="136"/>
      <c r="AY721" s="136"/>
      <c r="AZ721" s="136"/>
      <c r="BA721" s="136"/>
      <c r="BB721" s="136"/>
      <c r="BC721" s="136"/>
      <c r="BD721" s="136"/>
      <c r="BE721" s="136"/>
      <c r="BF721" s="136"/>
      <c r="BG721" s="136"/>
      <c r="BH721" s="136"/>
      <c r="BI721" s="136"/>
    </row>
    <row r="722" spans="1:61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  <c r="AA722" s="136"/>
      <c r="AB722" s="136"/>
      <c r="AC722" s="136"/>
      <c r="AD722" s="136"/>
      <c r="AE722" s="136"/>
      <c r="AF722" s="136"/>
      <c r="AG722" s="136"/>
      <c r="AH722" s="136"/>
      <c r="AI722" s="136"/>
      <c r="AJ722" s="136"/>
      <c r="AK722" s="136"/>
      <c r="AL722" s="136"/>
      <c r="AM722" s="136"/>
      <c r="AN722" s="136"/>
      <c r="AO722" s="136"/>
      <c r="AP722" s="136"/>
      <c r="AQ722" s="136"/>
      <c r="AR722" s="136"/>
      <c r="AS722" s="136"/>
      <c r="AT722" s="136"/>
      <c r="AU722" s="136"/>
      <c r="AV722" s="136"/>
      <c r="AW722" s="136"/>
      <c r="AX722" s="136"/>
      <c r="AY722" s="136"/>
      <c r="AZ722" s="136"/>
      <c r="BA722" s="136"/>
      <c r="BB722" s="136"/>
      <c r="BC722" s="136"/>
      <c r="BD722" s="136"/>
      <c r="BE722" s="136"/>
      <c r="BF722" s="136"/>
      <c r="BG722" s="136"/>
      <c r="BH722" s="136"/>
      <c r="BI722" s="136"/>
    </row>
    <row r="723" spans="1:61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  <c r="AA723" s="136"/>
      <c r="AB723" s="136"/>
      <c r="AC723" s="136"/>
      <c r="AD723" s="136"/>
      <c r="AE723" s="136"/>
      <c r="AF723" s="136"/>
      <c r="AG723" s="136"/>
      <c r="AH723" s="136"/>
      <c r="AI723" s="136"/>
      <c r="AJ723" s="136"/>
      <c r="AK723" s="136"/>
      <c r="AL723" s="136"/>
      <c r="AM723" s="136"/>
      <c r="AN723" s="136"/>
      <c r="AO723" s="136"/>
      <c r="AP723" s="136"/>
      <c r="AQ723" s="136"/>
      <c r="AR723" s="136"/>
      <c r="AS723" s="136"/>
      <c r="AT723" s="136"/>
      <c r="AU723" s="136"/>
      <c r="AV723" s="136"/>
      <c r="AW723" s="136"/>
      <c r="AX723" s="136"/>
      <c r="AY723" s="136"/>
      <c r="AZ723" s="136"/>
      <c r="BA723" s="136"/>
      <c r="BB723" s="136"/>
      <c r="BC723" s="136"/>
      <c r="BD723" s="136"/>
      <c r="BE723" s="136"/>
      <c r="BF723" s="136"/>
      <c r="BG723" s="136"/>
      <c r="BH723" s="136"/>
      <c r="BI723" s="136"/>
    </row>
    <row r="724" spans="1:61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  <c r="AA724" s="136"/>
      <c r="AB724" s="136"/>
      <c r="AC724" s="136"/>
      <c r="AD724" s="136"/>
      <c r="AE724" s="136"/>
      <c r="AF724" s="136"/>
      <c r="AG724" s="136"/>
      <c r="AH724" s="136"/>
      <c r="AI724" s="136"/>
      <c r="AJ724" s="136"/>
      <c r="AK724" s="136"/>
      <c r="AL724" s="136"/>
      <c r="AM724" s="136"/>
      <c r="AN724" s="136"/>
      <c r="AO724" s="136"/>
      <c r="AP724" s="136"/>
      <c r="AQ724" s="136"/>
      <c r="AR724" s="136"/>
      <c r="AS724" s="136"/>
      <c r="AT724" s="136"/>
      <c r="AU724" s="136"/>
      <c r="AV724" s="136"/>
      <c r="AW724" s="136"/>
      <c r="AX724" s="136"/>
      <c r="AY724" s="136"/>
      <c r="AZ724" s="136"/>
      <c r="BA724" s="136"/>
      <c r="BB724" s="136"/>
      <c r="BC724" s="136"/>
      <c r="BD724" s="136"/>
      <c r="BE724" s="136"/>
      <c r="BF724" s="136"/>
      <c r="BG724" s="136"/>
      <c r="BH724" s="136"/>
      <c r="BI724" s="136"/>
    </row>
    <row r="725" spans="1:61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  <c r="AA725" s="136"/>
      <c r="AB725" s="136"/>
      <c r="AC725" s="136"/>
      <c r="AD725" s="136"/>
      <c r="AE725" s="136"/>
      <c r="AF725" s="136"/>
      <c r="AG725" s="136"/>
      <c r="AH725" s="136"/>
      <c r="AI725" s="136"/>
      <c r="AJ725" s="136"/>
      <c r="AK725" s="136"/>
      <c r="AL725" s="136"/>
      <c r="AM725" s="136"/>
      <c r="AN725" s="136"/>
      <c r="AO725" s="136"/>
      <c r="AP725" s="136"/>
      <c r="AQ725" s="136"/>
      <c r="AR725" s="136"/>
      <c r="AS725" s="136"/>
      <c r="AT725" s="136"/>
      <c r="AU725" s="136"/>
      <c r="AV725" s="136"/>
      <c r="AW725" s="136"/>
      <c r="AX725" s="136"/>
      <c r="AY725" s="136"/>
      <c r="AZ725" s="136"/>
      <c r="BA725" s="136"/>
      <c r="BB725" s="136"/>
      <c r="BC725" s="136"/>
      <c r="BD725" s="136"/>
      <c r="BE725" s="136"/>
      <c r="BF725" s="136"/>
      <c r="BG725" s="136"/>
      <c r="BH725" s="136"/>
      <c r="BI725" s="136"/>
    </row>
    <row r="726" spans="1:61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  <c r="AA726" s="136"/>
      <c r="AB726" s="136"/>
      <c r="AC726" s="136"/>
      <c r="AD726" s="136"/>
      <c r="AE726" s="136"/>
      <c r="AF726" s="136"/>
      <c r="AG726" s="136"/>
      <c r="AH726" s="136"/>
      <c r="AI726" s="136"/>
      <c r="AJ726" s="136"/>
      <c r="AK726" s="136"/>
      <c r="AL726" s="136"/>
      <c r="AM726" s="136"/>
      <c r="AN726" s="136"/>
      <c r="AO726" s="136"/>
      <c r="AP726" s="136"/>
      <c r="AQ726" s="136"/>
      <c r="AR726" s="136"/>
      <c r="AS726" s="136"/>
      <c r="AT726" s="136"/>
      <c r="AU726" s="136"/>
      <c r="AV726" s="136"/>
      <c r="AW726" s="136"/>
      <c r="AX726" s="136"/>
      <c r="AY726" s="136"/>
      <c r="AZ726" s="136"/>
      <c r="BA726" s="136"/>
      <c r="BB726" s="136"/>
      <c r="BC726" s="136"/>
      <c r="BD726" s="136"/>
      <c r="BE726" s="136"/>
      <c r="BF726" s="136"/>
      <c r="BG726" s="136"/>
      <c r="BH726" s="136"/>
      <c r="BI726" s="136"/>
    </row>
    <row r="727" spans="1:61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  <c r="AA727" s="136"/>
      <c r="AB727" s="136"/>
      <c r="AC727" s="136"/>
      <c r="AD727" s="136"/>
      <c r="AE727" s="136"/>
      <c r="AF727" s="136"/>
      <c r="AG727" s="136"/>
      <c r="AH727" s="136"/>
      <c r="AI727" s="136"/>
      <c r="AJ727" s="136"/>
      <c r="AK727" s="136"/>
      <c r="AL727" s="136"/>
      <c r="AM727" s="136"/>
      <c r="AN727" s="136"/>
      <c r="AO727" s="136"/>
      <c r="AP727" s="136"/>
      <c r="AQ727" s="136"/>
      <c r="AR727" s="136"/>
      <c r="AS727" s="136"/>
      <c r="AT727" s="136"/>
      <c r="AU727" s="136"/>
      <c r="AV727" s="136"/>
      <c r="AW727" s="136"/>
      <c r="AX727" s="136"/>
      <c r="AY727" s="136"/>
      <c r="AZ727" s="136"/>
      <c r="BA727" s="136"/>
      <c r="BB727" s="136"/>
      <c r="BC727" s="136"/>
      <c r="BD727" s="136"/>
      <c r="BE727" s="136"/>
      <c r="BF727" s="136"/>
      <c r="BG727" s="136"/>
      <c r="BH727" s="136"/>
      <c r="BI727" s="136"/>
    </row>
    <row r="728" spans="1:61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  <c r="AA728" s="136"/>
      <c r="AB728" s="136"/>
      <c r="AC728" s="136"/>
      <c r="AD728" s="136"/>
      <c r="AE728" s="136"/>
      <c r="AF728" s="136"/>
      <c r="AG728" s="136"/>
      <c r="AH728" s="136"/>
      <c r="AI728" s="136"/>
      <c r="AJ728" s="136"/>
      <c r="AK728" s="136"/>
      <c r="AL728" s="136"/>
      <c r="AM728" s="136"/>
      <c r="AN728" s="136"/>
      <c r="AO728" s="136"/>
      <c r="AP728" s="136"/>
      <c r="AQ728" s="136"/>
      <c r="AR728" s="136"/>
      <c r="AS728" s="136"/>
      <c r="AT728" s="136"/>
      <c r="AU728" s="136"/>
      <c r="AV728" s="136"/>
      <c r="AW728" s="136"/>
      <c r="AX728" s="136"/>
      <c r="AY728" s="136"/>
      <c r="AZ728" s="136"/>
      <c r="BA728" s="136"/>
      <c r="BB728" s="136"/>
      <c r="BC728" s="136"/>
      <c r="BD728" s="136"/>
      <c r="BE728" s="136"/>
      <c r="BF728" s="136"/>
      <c r="BG728" s="136"/>
      <c r="BH728" s="136"/>
      <c r="BI728" s="136"/>
    </row>
    <row r="729" spans="1:61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  <c r="AA729" s="136"/>
      <c r="AB729" s="136"/>
      <c r="AC729" s="136"/>
      <c r="AD729" s="136"/>
      <c r="AE729" s="136"/>
      <c r="AF729" s="136"/>
      <c r="AG729" s="136"/>
      <c r="AH729" s="136"/>
      <c r="AI729" s="136"/>
      <c r="AJ729" s="136"/>
      <c r="AK729" s="136"/>
      <c r="AL729" s="136"/>
      <c r="AM729" s="136"/>
      <c r="AN729" s="136"/>
      <c r="AO729" s="136"/>
      <c r="AP729" s="136"/>
      <c r="AQ729" s="136"/>
      <c r="AR729" s="136"/>
      <c r="AS729" s="136"/>
      <c r="AT729" s="136"/>
      <c r="AU729" s="136"/>
      <c r="AV729" s="136"/>
      <c r="AW729" s="136"/>
      <c r="AX729" s="136"/>
      <c r="AY729" s="136"/>
      <c r="AZ729" s="136"/>
      <c r="BA729" s="136"/>
      <c r="BB729" s="136"/>
      <c r="BC729" s="136"/>
      <c r="BD729" s="136"/>
      <c r="BE729" s="136"/>
      <c r="BF729" s="136"/>
      <c r="BG729" s="136"/>
      <c r="BH729" s="136"/>
      <c r="BI729" s="136"/>
    </row>
    <row r="730" spans="1:61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  <c r="AA730" s="136"/>
      <c r="AB730" s="136"/>
      <c r="AC730" s="136"/>
      <c r="AD730" s="136"/>
      <c r="AE730" s="136"/>
      <c r="AF730" s="136"/>
      <c r="AG730" s="136"/>
      <c r="AH730" s="136"/>
      <c r="AI730" s="136"/>
      <c r="AJ730" s="136"/>
      <c r="AK730" s="136"/>
      <c r="AL730" s="136"/>
      <c r="AM730" s="136"/>
      <c r="AN730" s="136"/>
      <c r="AO730" s="136"/>
      <c r="AP730" s="136"/>
      <c r="AQ730" s="136"/>
      <c r="AR730" s="136"/>
      <c r="AS730" s="136"/>
      <c r="AT730" s="136"/>
      <c r="AU730" s="136"/>
      <c r="AV730" s="136"/>
      <c r="AW730" s="136"/>
      <c r="AX730" s="136"/>
      <c r="AY730" s="136"/>
      <c r="AZ730" s="136"/>
      <c r="BA730" s="136"/>
      <c r="BB730" s="136"/>
      <c r="BC730" s="136"/>
      <c r="BD730" s="136"/>
      <c r="BE730" s="136"/>
      <c r="BF730" s="136"/>
      <c r="BG730" s="136"/>
      <c r="BH730" s="136"/>
      <c r="BI730" s="136"/>
    </row>
    <row r="731" spans="1:61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  <c r="AA731" s="136"/>
      <c r="AB731" s="136"/>
      <c r="AC731" s="136"/>
      <c r="AD731" s="136"/>
      <c r="AE731" s="136"/>
      <c r="AF731" s="136"/>
      <c r="AG731" s="136"/>
      <c r="AH731" s="136"/>
      <c r="AI731" s="136"/>
      <c r="AJ731" s="136"/>
      <c r="AK731" s="136"/>
      <c r="AL731" s="136"/>
      <c r="AM731" s="136"/>
      <c r="AN731" s="136"/>
      <c r="AO731" s="136"/>
      <c r="AP731" s="136"/>
      <c r="AQ731" s="136"/>
      <c r="AR731" s="136"/>
      <c r="AS731" s="136"/>
      <c r="AT731" s="136"/>
      <c r="AU731" s="136"/>
      <c r="AV731" s="136"/>
      <c r="AW731" s="136"/>
      <c r="AX731" s="136"/>
      <c r="AY731" s="136"/>
      <c r="AZ731" s="136"/>
      <c r="BA731" s="136"/>
      <c r="BB731" s="136"/>
      <c r="BC731" s="136"/>
      <c r="BD731" s="136"/>
      <c r="BE731" s="136"/>
      <c r="BF731" s="136"/>
      <c r="BG731" s="136"/>
      <c r="BH731" s="136"/>
      <c r="BI731" s="136"/>
    </row>
    <row r="732" spans="1:61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  <c r="AA732" s="136"/>
      <c r="AB732" s="136"/>
      <c r="AC732" s="136"/>
      <c r="AD732" s="136"/>
      <c r="AE732" s="136"/>
      <c r="AF732" s="136"/>
      <c r="AG732" s="136"/>
      <c r="AH732" s="136"/>
      <c r="AI732" s="136"/>
      <c r="AJ732" s="136"/>
      <c r="AK732" s="136"/>
      <c r="AL732" s="136"/>
      <c r="AM732" s="136"/>
      <c r="AN732" s="136"/>
      <c r="AO732" s="136"/>
      <c r="AP732" s="136"/>
      <c r="AQ732" s="136"/>
      <c r="AR732" s="136"/>
      <c r="AS732" s="136"/>
      <c r="AT732" s="136"/>
      <c r="AU732" s="136"/>
      <c r="AV732" s="136"/>
      <c r="AW732" s="136"/>
      <c r="AX732" s="136"/>
      <c r="AY732" s="136"/>
      <c r="AZ732" s="136"/>
      <c r="BA732" s="136"/>
      <c r="BB732" s="136"/>
      <c r="BC732" s="136"/>
      <c r="BD732" s="136"/>
      <c r="BE732" s="136"/>
      <c r="BF732" s="136"/>
      <c r="BG732" s="136"/>
      <c r="BH732" s="136"/>
      <c r="BI732" s="136"/>
    </row>
    <row r="733" spans="1:61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  <c r="AA733" s="136"/>
      <c r="AB733" s="136"/>
      <c r="AC733" s="136"/>
      <c r="AD733" s="136"/>
      <c r="AE733" s="136"/>
      <c r="AF733" s="136"/>
      <c r="AG733" s="136"/>
      <c r="AH733" s="136"/>
      <c r="AI733" s="136"/>
      <c r="AJ733" s="136"/>
      <c r="AK733" s="136"/>
      <c r="AL733" s="136"/>
      <c r="AM733" s="136"/>
      <c r="AN733" s="136"/>
      <c r="AO733" s="136"/>
      <c r="AP733" s="136"/>
      <c r="AQ733" s="136"/>
      <c r="AR733" s="136"/>
      <c r="AS733" s="136"/>
      <c r="AT733" s="136"/>
      <c r="AU733" s="136"/>
      <c r="AV733" s="136"/>
      <c r="AW733" s="136"/>
      <c r="AX733" s="136"/>
      <c r="AY733" s="136"/>
      <c r="AZ733" s="136"/>
      <c r="BA733" s="136"/>
      <c r="BB733" s="136"/>
      <c r="BC733" s="136"/>
      <c r="BD733" s="136"/>
      <c r="BE733" s="136"/>
      <c r="BF733" s="136"/>
      <c r="BG733" s="136"/>
      <c r="BH733" s="136"/>
      <c r="BI733" s="136"/>
    </row>
    <row r="734" spans="1:61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  <c r="AA734" s="136"/>
      <c r="AB734" s="136"/>
      <c r="AC734" s="136"/>
      <c r="AD734" s="136"/>
      <c r="AE734" s="136"/>
      <c r="AF734" s="136"/>
      <c r="AG734" s="136"/>
      <c r="AH734" s="136"/>
      <c r="AI734" s="136"/>
      <c r="AJ734" s="136"/>
      <c r="AK734" s="136"/>
      <c r="AL734" s="136"/>
      <c r="AM734" s="136"/>
      <c r="AN734" s="136"/>
      <c r="AO734" s="136"/>
      <c r="AP734" s="136"/>
      <c r="AQ734" s="136"/>
      <c r="AR734" s="136"/>
      <c r="AS734" s="136"/>
      <c r="AT734" s="136"/>
      <c r="AU734" s="136"/>
      <c r="AV734" s="136"/>
      <c r="AW734" s="136"/>
      <c r="AX734" s="136"/>
      <c r="AY734" s="136"/>
      <c r="AZ734" s="136"/>
      <c r="BA734" s="136"/>
      <c r="BB734" s="136"/>
      <c r="BC734" s="136"/>
      <c r="BD734" s="136"/>
      <c r="BE734" s="136"/>
      <c r="BF734" s="136"/>
      <c r="BG734" s="136"/>
      <c r="BH734" s="136"/>
      <c r="BI734" s="136"/>
    </row>
    <row r="735" spans="1:61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  <c r="AA735" s="136"/>
      <c r="AB735" s="136"/>
      <c r="AC735" s="136"/>
      <c r="AD735" s="136"/>
      <c r="AE735" s="136"/>
      <c r="AF735" s="136"/>
      <c r="AG735" s="136"/>
      <c r="AH735" s="136"/>
      <c r="AI735" s="136"/>
      <c r="AJ735" s="136"/>
      <c r="AK735" s="136"/>
      <c r="AL735" s="136"/>
      <c r="AM735" s="136"/>
      <c r="AN735" s="136"/>
      <c r="AO735" s="136"/>
      <c r="AP735" s="136"/>
      <c r="AQ735" s="136"/>
      <c r="AR735" s="136"/>
      <c r="AS735" s="136"/>
      <c r="AT735" s="136"/>
      <c r="AU735" s="136"/>
      <c r="AV735" s="136"/>
      <c r="AW735" s="136"/>
      <c r="AX735" s="136"/>
      <c r="AY735" s="136"/>
      <c r="AZ735" s="136"/>
      <c r="BA735" s="136"/>
      <c r="BB735" s="136"/>
      <c r="BC735" s="136"/>
      <c r="BD735" s="136"/>
      <c r="BE735" s="136"/>
      <c r="BF735" s="136"/>
      <c r="BG735" s="136"/>
      <c r="BH735" s="136"/>
      <c r="BI735" s="136"/>
    </row>
    <row r="736" spans="1:61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  <c r="AA736" s="136"/>
      <c r="AB736" s="136"/>
      <c r="AC736" s="136"/>
      <c r="AD736" s="136"/>
      <c r="AE736" s="136"/>
      <c r="AF736" s="136"/>
      <c r="AG736" s="136"/>
      <c r="AH736" s="136"/>
      <c r="AI736" s="136"/>
      <c r="AJ736" s="136"/>
      <c r="AK736" s="136"/>
      <c r="AL736" s="136"/>
      <c r="AM736" s="136"/>
      <c r="AN736" s="136"/>
      <c r="AO736" s="136"/>
      <c r="AP736" s="136"/>
      <c r="AQ736" s="136"/>
      <c r="AR736" s="136"/>
      <c r="AS736" s="136"/>
      <c r="AT736" s="136"/>
      <c r="AU736" s="136"/>
      <c r="AV736" s="136"/>
      <c r="AW736" s="136"/>
      <c r="AX736" s="136"/>
      <c r="AY736" s="136"/>
      <c r="AZ736" s="136"/>
      <c r="BA736" s="136"/>
      <c r="BB736" s="136"/>
      <c r="BC736" s="136"/>
      <c r="BD736" s="136"/>
      <c r="BE736" s="136"/>
      <c r="BF736" s="136"/>
      <c r="BG736" s="136"/>
      <c r="BH736" s="136"/>
      <c r="BI736" s="136"/>
    </row>
    <row r="737" spans="1:61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  <c r="AA737" s="136"/>
      <c r="AB737" s="136"/>
      <c r="AC737" s="136"/>
      <c r="AD737" s="136"/>
      <c r="AE737" s="136"/>
      <c r="AF737" s="136"/>
      <c r="AG737" s="136"/>
      <c r="AH737" s="136"/>
      <c r="AI737" s="136"/>
      <c r="AJ737" s="136"/>
      <c r="AK737" s="136"/>
      <c r="AL737" s="136"/>
      <c r="AM737" s="136"/>
      <c r="AN737" s="136"/>
      <c r="AO737" s="136"/>
      <c r="AP737" s="136"/>
      <c r="AQ737" s="136"/>
      <c r="AR737" s="136"/>
      <c r="AS737" s="136"/>
      <c r="AT737" s="136"/>
      <c r="AU737" s="136"/>
      <c r="AV737" s="136"/>
      <c r="AW737" s="136"/>
      <c r="AX737" s="136"/>
      <c r="AY737" s="136"/>
      <c r="AZ737" s="136"/>
      <c r="BA737" s="136"/>
      <c r="BB737" s="136"/>
      <c r="BC737" s="136"/>
      <c r="BD737" s="136"/>
      <c r="BE737" s="136"/>
      <c r="BF737" s="136"/>
      <c r="BG737" s="136"/>
      <c r="BH737" s="136"/>
      <c r="BI737" s="136"/>
    </row>
    <row r="738" spans="1:61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  <c r="AA738" s="136"/>
      <c r="AB738" s="136"/>
      <c r="AC738" s="136"/>
      <c r="AD738" s="136"/>
      <c r="AE738" s="136"/>
      <c r="AF738" s="136"/>
      <c r="AG738" s="136"/>
      <c r="AH738" s="136"/>
      <c r="AI738" s="136"/>
      <c r="AJ738" s="136"/>
      <c r="AK738" s="136"/>
      <c r="AL738" s="136"/>
      <c r="AM738" s="136"/>
      <c r="AN738" s="136"/>
      <c r="AO738" s="136"/>
      <c r="AP738" s="136"/>
      <c r="AQ738" s="136"/>
      <c r="AR738" s="136"/>
      <c r="AS738" s="136"/>
      <c r="AT738" s="136"/>
      <c r="AU738" s="136"/>
      <c r="AV738" s="136"/>
      <c r="AW738" s="136"/>
      <c r="AX738" s="136"/>
      <c r="AY738" s="136"/>
      <c r="AZ738" s="136"/>
      <c r="BA738" s="136"/>
      <c r="BB738" s="136"/>
      <c r="BC738" s="136"/>
      <c r="BD738" s="136"/>
      <c r="BE738" s="136"/>
      <c r="BF738" s="136"/>
      <c r="BG738" s="136"/>
      <c r="BH738" s="136"/>
      <c r="BI738" s="136"/>
    </row>
    <row r="739" spans="1:61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  <c r="AA739" s="136"/>
      <c r="AB739" s="136"/>
      <c r="AC739" s="136"/>
      <c r="AD739" s="136"/>
      <c r="AE739" s="136"/>
      <c r="AF739" s="136"/>
      <c r="AG739" s="136"/>
      <c r="AH739" s="136"/>
      <c r="AI739" s="136"/>
      <c r="AJ739" s="136"/>
      <c r="AK739" s="136"/>
      <c r="AL739" s="136"/>
      <c r="AM739" s="136"/>
      <c r="AN739" s="136"/>
      <c r="AO739" s="136"/>
      <c r="AP739" s="136"/>
      <c r="AQ739" s="136"/>
      <c r="AR739" s="136"/>
      <c r="AS739" s="136"/>
      <c r="AT739" s="136"/>
      <c r="AU739" s="136"/>
      <c r="AV739" s="136"/>
      <c r="AW739" s="136"/>
      <c r="AX739" s="136"/>
      <c r="AY739" s="136"/>
      <c r="AZ739" s="136"/>
      <c r="BA739" s="136"/>
      <c r="BB739" s="136"/>
      <c r="BC739" s="136"/>
      <c r="BD739" s="136"/>
      <c r="BE739" s="136"/>
      <c r="BF739" s="136"/>
      <c r="BG739" s="136"/>
      <c r="BH739" s="136"/>
      <c r="BI739" s="136"/>
    </row>
    <row r="740" spans="1:61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  <c r="AA740" s="136"/>
      <c r="AB740" s="136"/>
      <c r="AC740" s="136"/>
      <c r="AD740" s="136"/>
      <c r="AE740" s="136"/>
      <c r="AF740" s="136"/>
      <c r="AG740" s="136"/>
      <c r="AH740" s="136"/>
      <c r="AI740" s="136"/>
      <c r="AJ740" s="136"/>
      <c r="AK740" s="136"/>
      <c r="AL740" s="136"/>
      <c r="AM740" s="136"/>
      <c r="AN740" s="136"/>
      <c r="AO740" s="136"/>
      <c r="AP740" s="136"/>
      <c r="AQ740" s="136"/>
      <c r="AR740" s="136"/>
      <c r="AS740" s="136"/>
      <c r="AT740" s="136"/>
      <c r="AU740" s="136"/>
      <c r="AV740" s="136"/>
      <c r="AW740" s="136"/>
      <c r="AX740" s="136"/>
      <c r="AY740" s="136"/>
      <c r="AZ740" s="136"/>
      <c r="BA740" s="136"/>
      <c r="BB740" s="136"/>
      <c r="BC740" s="136"/>
      <c r="BD740" s="136"/>
      <c r="BE740" s="136"/>
      <c r="BF740" s="136"/>
      <c r="BG740" s="136"/>
      <c r="BH740" s="136"/>
      <c r="BI740" s="136"/>
    </row>
    <row r="741" spans="1:61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  <c r="AA741" s="136"/>
      <c r="AB741" s="136"/>
      <c r="AC741" s="136"/>
      <c r="AD741" s="136"/>
      <c r="AE741" s="136"/>
      <c r="AF741" s="136"/>
      <c r="AG741" s="136"/>
      <c r="AH741" s="136"/>
      <c r="AI741" s="136"/>
      <c r="AJ741" s="136"/>
      <c r="AK741" s="136"/>
      <c r="AL741" s="136"/>
      <c r="AM741" s="136"/>
      <c r="AN741" s="136"/>
      <c r="AO741" s="136"/>
      <c r="AP741" s="136"/>
      <c r="AQ741" s="136"/>
      <c r="AR741" s="136"/>
      <c r="AS741" s="136"/>
      <c r="AT741" s="136"/>
      <c r="AU741" s="136"/>
      <c r="AV741" s="136"/>
      <c r="AW741" s="136"/>
      <c r="AX741" s="136"/>
      <c r="AY741" s="136"/>
      <c r="AZ741" s="136"/>
      <c r="BA741" s="136"/>
      <c r="BB741" s="136"/>
      <c r="BC741" s="136"/>
      <c r="BD741" s="136"/>
      <c r="BE741" s="136"/>
      <c r="BF741" s="136"/>
      <c r="BG741" s="136"/>
      <c r="BH741" s="136"/>
      <c r="BI741" s="136"/>
    </row>
    <row r="742" spans="1:61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  <c r="AA742" s="136"/>
      <c r="AB742" s="136"/>
      <c r="AC742" s="136"/>
      <c r="AD742" s="136"/>
      <c r="AE742" s="136"/>
      <c r="AF742" s="136"/>
      <c r="AG742" s="136"/>
      <c r="AH742" s="136"/>
      <c r="AI742" s="136"/>
      <c r="AJ742" s="136"/>
      <c r="AK742" s="136"/>
      <c r="AL742" s="136"/>
      <c r="AM742" s="136"/>
      <c r="AN742" s="136"/>
      <c r="AO742" s="136"/>
      <c r="AP742" s="136"/>
      <c r="AQ742" s="136"/>
      <c r="AR742" s="136"/>
      <c r="AS742" s="136"/>
      <c r="AT742" s="136"/>
      <c r="AU742" s="136"/>
      <c r="AV742" s="136"/>
      <c r="AW742" s="136"/>
      <c r="AX742" s="136"/>
      <c r="AY742" s="136"/>
      <c r="AZ742" s="136"/>
      <c r="BA742" s="136"/>
      <c r="BB742" s="136"/>
      <c r="BC742" s="136"/>
      <c r="BD742" s="136"/>
      <c r="BE742" s="136"/>
      <c r="BF742" s="136"/>
      <c r="BG742" s="136"/>
      <c r="BH742" s="136"/>
      <c r="BI742" s="136"/>
    </row>
    <row r="743" spans="1:61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6"/>
      <c r="BA743" s="136"/>
      <c r="BB743" s="136"/>
      <c r="BC743" s="136"/>
      <c r="BD743" s="136"/>
      <c r="BE743" s="136"/>
      <c r="BF743" s="136"/>
      <c r="BG743" s="136"/>
      <c r="BH743" s="136"/>
      <c r="BI743" s="136"/>
    </row>
    <row r="744" spans="1:61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  <c r="AA744" s="136"/>
      <c r="AB744" s="136"/>
      <c r="AC744" s="136"/>
      <c r="AD744" s="136"/>
      <c r="AE744" s="136"/>
      <c r="AF744" s="136"/>
      <c r="AG744" s="136"/>
      <c r="AH744" s="136"/>
      <c r="AI744" s="136"/>
      <c r="AJ744" s="136"/>
      <c r="AK744" s="136"/>
      <c r="AL744" s="136"/>
      <c r="AM744" s="136"/>
      <c r="AN744" s="136"/>
      <c r="AO744" s="136"/>
      <c r="AP744" s="136"/>
      <c r="AQ744" s="136"/>
      <c r="AR744" s="136"/>
      <c r="AS744" s="136"/>
      <c r="AT744" s="136"/>
      <c r="AU744" s="136"/>
      <c r="AV744" s="136"/>
      <c r="AW744" s="136"/>
      <c r="AX744" s="136"/>
      <c r="AY744" s="136"/>
      <c r="AZ744" s="136"/>
      <c r="BA744" s="136"/>
      <c r="BB744" s="136"/>
      <c r="BC744" s="136"/>
      <c r="BD744" s="136"/>
      <c r="BE744" s="136"/>
      <c r="BF744" s="136"/>
      <c r="BG744" s="136"/>
      <c r="BH744" s="136"/>
      <c r="BI744" s="136"/>
    </row>
    <row r="745" spans="1:61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  <c r="AA745" s="136"/>
      <c r="AB745" s="136"/>
      <c r="AC745" s="136"/>
      <c r="AD745" s="136"/>
      <c r="AE745" s="136"/>
      <c r="AF745" s="136"/>
      <c r="AG745" s="136"/>
      <c r="AH745" s="136"/>
      <c r="AI745" s="136"/>
      <c r="AJ745" s="136"/>
      <c r="AK745" s="136"/>
      <c r="AL745" s="136"/>
      <c r="AM745" s="136"/>
      <c r="AN745" s="136"/>
      <c r="AO745" s="136"/>
      <c r="AP745" s="136"/>
      <c r="AQ745" s="136"/>
      <c r="AR745" s="136"/>
      <c r="AS745" s="136"/>
      <c r="AT745" s="136"/>
      <c r="AU745" s="136"/>
      <c r="AV745" s="136"/>
      <c r="AW745" s="136"/>
      <c r="AX745" s="136"/>
      <c r="AY745" s="136"/>
      <c r="AZ745" s="136"/>
      <c r="BA745" s="136"/>
      <c r="BB745" s="136"/>
      <c r="BC745" s="136"/>
      <c r="BD745" s="136"/>
      <c r="BE745" s="136"/>
      <c r="BF745" s="136"/>
      <c r="BG745" s="136"/>
      <c r="BH745" s="136"/>
      <c r="BI745" s="136"/>
    </row>
    <row r="746" spans="1:61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  <c r="AA746" s="136"/>
      <c r="AB746" s="136"/>
      <c r="AC746" s="136"/>
      <c r="AD746" s="136"/>
      <c r="AE746" s="136"/>
      <c r="AF746" s="136"/>
      <c r="AG746" s="136"/>
      <c r="AH746" s="136"/>
      <c r="AI746" s="136"/>
      <c r="AJ746" s="136"/>
      <c r="AK746" s="136"/>
      <c r="AL746" s="136"/>
      <c r="AM746" s="136"/>
      <c r="AN746" s="136"/>
      <c r="AO746" s="136"/>
      <c r="AP746" s="136"/>
      <c r="AQ746" s="136"/>
      <c r="AR746" s="136"/>
      <c r="AS746" s="136"/>
      <c r="AT746" s="136"/>
      <c r="AU746" s="136"/>
      <c r="AV746" s="136"/>
      <c r="AW746" s="136"/>
      <c r="AX746" s="136"/>
      <c r="AY746" s="136"/>
      <c r="AZ746" s="136"/>
      <c r="BA746" s="136"/>
      <c r="BB746" s="136"/>
      <c r="BC746" s="136"/>
      <c r="BD746" s="136"/>
      <c r="BE746" s="136"/>
      <c r="BF746" s="136"/>
      <c r="BG746" s="136"/>
      <c r="BH746" s="136"/>
      <c r="BI746" s="136"/>
    </row>
    <row r="747" spans="1:61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  <c r="AA747" s="136"/>
      <c r="AB747" s="136"/>
      <c r="AC747" s="136"/>
      <c r="AD747" s="136"/>
      <c r="AE747" s="136"/>
      <c r="AF747" s="136"/>
      <c r="AG747" s="136"/>
      <c r="AH747" s="136"/>
      <c r="AI747" s="136"/>
      <c r="AJ747" s="136"/>
      <c r="AK747" s="136"/>
      <c r="AL747" s="136"/>
      <c r="AM747" s="136"/>
      <c r="AN747" s="136"/>
      <c r="AO747" s="136"/>
      <c r="AP747" s="136"/>
      <c r="AQ747" s="136"/>
      <c r="AR747" s="136"/>
      <c r="AS747" s="136"/>
      <c r="AT747" s="136"/>
      <c r="AU747" s="136"/>
      <c r="AV747" s="136"/>
      <c r="AW747" s="136"/>
      <c r="AX747" s="136"/>
      <c r="AY747" s="136"/>
      <c r="AZ747" s="136"/>
      <c r="BA747" s="136"/>
      <c r="BB747" s="136"/>
      <c r="BC747" s="136"/>
      <c r="BD747" s="136"/>
      <c r="BE747" s="136"/>
      <c r="BF747" s="136"/>
      <c r="BG747" s="136"/>
      <c r="BH747" s="136"/>
      <c r="BI747" s="136"/>
    </row>
    <row r="748" spans="1:61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  <c r="AA748" s="136"/>
      <c r="AB748" s="136"/>
      <c r="AC748" s="136"/>
      <c r="AD748" s="136"/>
      <c r="AE748" s="136"/>
      <c r="AF748" s="136"/>
      <c r="AG748" s="136"/>
      <c r="AH748" s="136"/>
      <c r="AI748" s="136"/>
      <c r="AJ748" s="136"/>
      <c r="AK748" s="136"/>
      <c r="AL748" s="136"/>
      <c r="AM748" s="136"/>
      <c r="AN748" s="136"/>
      <c r="AO748" s="136"/>
      <c r="AP748" s="136"/>
      <c r="AQ748" s="136"/>
      <c r="AR748" s="136"/>
      <c r="AS748" s="136"/>
      <c r="AT748" s="136"/>
      <c r="AU748" s="136"/>
      <c r="AV748" s="136"/>
      <c r="AW748" s="136"/>
      <c r="AX748" s="136"/>
      <c r="AY748" s="136"/>
      <c r="AZ748" s="136"/>
      <c r="BA748" s="136"/>
      <c r="BB748" s="136"/>
      <c r="BC748" s="136"/>
      <c r="BD748" s="136"/>
      <c r="BE748" s="136"/>
      <c r="BF748" s="136"/>
      <c r="BG748" s="136"/>
      <c r="BH748" s="136"/>
      <c r="BI748" s="136"/>
    </row>
    <row r="749" spans="1:61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  <c r="AA749" s="136"/>
      <c r="AB749" s="136"/>
      <c r="AC749" s="136"/>
      <c r="AD749" s="136"/>
      <c r="AE749" s="136"/>
      <c r="AF749" s="136"/>
      <c r="AG749" s="136"/>
      <c r="AH749" s="136"/>
      <c r="AI749" s="136"/>
      <c r="AJ749" s="136"/>
      <c r="AK749" s="136"/>
      <c r="AL749" s="136"/>
      <c r="AM749" s="136"/>
      <c r="AN749" s="136"/>
      <c r="AO749" s="136"/>
      <c r="AP749" s="136"/>
      <c r="AQ749" s="136"/>
      <c r="AR749" s="136"/>
      <c r="AS749" s="136"/>
      <c r="AT749" s="136"/>
      <c r="AU749" s="136"/>
      <c r="AV749" s="136"/>
      <c r="AW749" s="136"/>
      <c r="AX749" s="136"/>
      <c r="AY749" s="136"/>
      <c r="AZ749" s="136"/>
      <c r="BA749" s="136"/>
      <c r="BB749" s="136"/>
      <c r="BC749" s="136"/>
      <c r="BD749" s="136"/>
      <c r="BE749" s="136"/>
      <c r="BF749" s="136"/>
      <c r="BG749" s="136"/>
      <c r="BH749" s="136"/>
      <c r="BI749" s="136"/>
    </row>
    <row r="750" spans="1:61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  <c r="AA750" s="136"/>
      <c r="AB750" s="136"/>
      <c r="AC750" s="136"/>
      <c r="AD750" s="136"/>
      <c r="AE750" s="136"/>
      <c r="AF750" s="136"/>
      <c r="AG750" s="136"/>
      <c r="AH750" s="136"/>
      <c r="AI750" s="136"/>
      <c r="AJ750" s="136"/>
      <c r="AK750" s="136"/>
      <c r="AL750" s="136"/>
      <c r="AM750" s="136"/>
      <c r="AN750" s="136"/>
      <c r="AO750" s="136"/>
      <c r="AP750" s="136"/>
      <c r="AQ750" s="136"/>
      <c r="AR750" s="136"/>
      <c r="AS750" s="136"/>
      <c r="AT750" s="136"/>
      <c r="AU750" s="136"/>
      <c r="AV750" s="136"/>
      <c r="AW750" s="136"/>
      <c r="AX750" s="136"/>
      <c r="AY750" s="136"/>
      <c r="AZ750" s="136"/>
      <c r="BA750" s="136"/>
      <c r="BB750" s="136"/>
      <c r="BC750" s="136"/>
      <c r="BD750" s="136"/>
      <c r="BE750" s="136"/>
      <c r="BF750" s="136"/>
      <c r="BG750" s="136"/>
      <c r="BH750" s="136"/>
      <c r="BI750" s="136"/>
    </row>
    <row r="751" spans="1:61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  <c r="AA751" s="136"/>
      <c r="AB751" s="136"/>
      <c r="AC751" s="136"/>
      <c r="AD751" s="136"/>
      <c r="AE751" s="136"/>
      <c r="AF751" s="136"/>
      <c r="AG751" s="136"/>
      <c r="AH751" s="136"/>
      <c r="AI751" s="136"/>
      <c r="AJ751" s="136"/>
      <c r="AK751" s="136"/>
      <c r="AL751" s="136"/>
      <c r="AM751" s="136"/>
      <c r="AN751" s="136"/>
      <c r="AO751" s="136"/>
      <c r="AP751" s="136"/>
      <c r="AQ751" s="136"/>
      <c r="AR751" s="136"/>
      <c r="AS751" s="136"/>
      <c r="AT751" s="136"/>
      <c r="AU751" s="136"/>
      <c r="AV751" s="136"/>
      <c r="AW751" s="136"/>
      <c r="AX751" s="136"/>
      <c r="AY751" s="136"/>
      <c r="AZ751" s="136"/>
      <c r="BA751" s="136"/>
      <c r="BB751" s="136"/>
      <c r="BC751" s="136"/>
      <c r="BD751" s="136"/>
      <c r="BE751" s="136"/>
      <c r="BF751" s="136"/>
      <c r="BG751" s="136"/>
      <c r="BH751" s="136"/>
      <c r="BI751" s="136"/>
    </row>
    <row r="752" spans="1:61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  <c r="AA752" s="136"/>
      <c r="AB752" s="136"/>
      <c r="AC752" s="136"/>
      <c r="AD752" s="136"/>
      <c r="AE752" s="136"/>
      <c r="AF752" s="136"/>
      <c r="AG752" s="136"/>
      <c r="AH752" s="136"/>
      <c r="AI752" s="136"/>
      <c r="AJ752" s="136"/>
      <c r="AK752" s="136"/>
      <c r="AL752" s="136"/>
      <c r="AM752" s="136"/>
      <c r="AN752" s="136"/>
      <c r="AO752" s="136"/>
      <c r="AP752" s="136"/>
      <c r="AQ752" s="136"/>
      <c r="AR752" s="136"/>
      <c r="AS752" s="136"/>
      <c r="AT752" s="136"/>
      <c r="AU752" s="136"/>
      <c r="AV752" s="136"/>
      <c r="AW752" s="136"/>
      <c r="AX752" s="136"/>
      <c r="AY752" s="136"/>
      <c r="AZ752" s="136"/>
      <c r="BA752" s="136"/>
      <c r="BB752" s="136"/>
      <c r="BC752" s="136"/>
      <c r="BD752" s="136"/>
      <c r="BE752" s="136"/>
      <c r="BF752" s="136"/>
      <c r="BG752" s="136"/>
      <c r="BH752" s="136"/>
      <c r="BI752" s="136"/>
    </row>
    <row r="753" spans="1:61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  <c r="AA753" s="136"/>
      <c r="AB753" s="136"/>
      <c r="AC753" s="136"/>
      <c r="AD753" s="136"/>
      <c r="AE753" s="136"/>
      <c r="AF753" s="136"/>
      <c r="AG753" s="136"/>
      <c r="AH753" s="136"/>
      <c r="AI753" s="136"/>
      <c r="AJ753" s="136"/>
      <c r="AK753" s="136"/>
      <c r="AL753" s="136"/>
      <c r="AM753" s="136"/>
      <c r="AN753" s="136"/>
      <c r="AO753" s="136"/>
      <c r="AP753" s="136"/>
      <c r="AQ753" s="136"/>
      <c r="AR753" s="136"/>
      <c r="AS753" s="136"/>
      <c r="AT753" s="136"/>
      <c r="AU753" s="136"/>
      <c r="AV753" s="136"/>
      <c r="AW753" s="136"/>
      <c r="AX753" s="136"/>
      <c r="AY753" s="136"/>
      <c r="AZ753" s="136"/>
      <c r="BA753" s="136"/>
      <c r="BB753" s="136"/>
      <c r="BC753" s="136"/>
      <c r="BD753" s="136"/>
      <c r="BE753" s="136"/>
      <c r="BF753" s="136"/>
      <c r="BG753" s="136"/>
      <c r="BH753" s="136"/>
      <c r="BI753" s="136"/>
    </row>
    <row r="754" spans="1:61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  <c r="AA754" s="136"/>
      <c r="AB754" s="136"/>
      <c r="AC754" s="136"/>
      <c r="AD754" s="136"/>
      <c r="AE754" s="136"/>
      <c r="AF754" s="136"/>
      <c r="AG754" s="136"/>
      <c r="AH754" s="136"/>
      <c r="AI754" s="136"/>
      <c r="AJ754" s="136"/>
      <c r="AK754" s="136"/>
      <c r="AL754" s="136"/>
      <c r="AM754" s="136"/>
      <c r="AN754" s="136"/>
      <c r="AO754" s="136"/>
      <c r="AP754" s="136"/>
      <c r="AQ754" s="136"/>
      <c r="AR754" s="136"/>
      <c r="AS754" s="136"/>
      <c r="AT754" s="136"/>
      <c r="AU754" s="136"/>
      <c r="AV754" s="136"/>
      <c r="AW754" s="136"/>
      <c r="AX754" s="136"/>
      <c r="AY754" s="136"/>
      <c r="AZ754" s="136"/>
      <c r="BA754" s="136"/>
      <c r="BB754" s="136"/>
      <c r="BC754" s="136"/>
      <c r="BD754" s="136"/>
      <c r="BE754" s="136"/>
      <c r="BF754" s="136"/>
      <c r="BG754" s="136"/>
      <c r="BH754" s="136"/>
      <c r="BI754" s="136"/>
    </row>
    <row r="755" spans="1:61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  <c r="AA755" s="136"/>
      <c r="AB755" s="136"/>
      <c r="AC755" s="136"/>
      <c r="AD755" s="136"/>
      <c r="AE755" s="136"/>
      <c r="AF755" s="136"/>
      <c r="AG755" s="136"/>
      <c r="AH755" s="136"/>
      <c r="AI755" s="136"/>
      <c r="AJ755" s="136"/>
      <c r="AK755" s="136"/>
      <c r="AL755" s="136"/>
      <c r="AM755" s="136"/>
      <c r="AN755" s="136"/>
      <c r="AO755" s="136"/>
      <c r="AP755" s="136"/>
      <c r="AQ755" s="136"/>
      <c r="AR755" s="136"/>
      <c r="AS755" s="136"/>
      <c r="AT755" s="136"/>
      <c r="AU755" s="136"/>
      <c r="AV755" s="136"/>
      <c r="AW755" s="136"/>
      <c r="AX755" s="136"/>
      <c r="AY755" s="136"/>
      <c r="AZ755" s="136"/>
      <c r="BA755" s="136"/>
      <c r="BB755" s="136"/>
      <c r="BC755" s="136"/>
      <c r="BD755" s="136"/>
      <c r="BE755" s="136"/>
      <c r="BF755" s="136"/>
      <c r="BG755" s="136"/>
      <c r="BH755" s="136"/>
      <c r="BI755" s="136"/>
    </row>
    <row r="756" spans="1:61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  <c r="AA756" s="136"/>
      <c r="AB756" s="136"/>
      <c r="AC756" s="136"/>
      <c r="AD756" s="136"/>
      <c r="AE756" s="136"/>
      <c r="AF756" s="136"/>
      <c r="AG756" s="136"/>
      <c r="AH756" s="136"/>
      <c r="AI756" s="136"/>
      <c r="AJ756" s="136"/>
      <c r="AK756" s="136"/>
      <c r="AL756" s="136"/>
      <c r="AM756" s="136"/>
      <c r="AN756" s="136"/>
      <c r="AO756" s="136"/>
      <c r="AP756" s="136"/>
      <c r="AQ756" s="136"/>
      <c r="AR756" s="136"/>
      <c r="AS756" s="136"/>
      <c r="AT756" s="136"/>
      <c r="AU756" s="136"/>
      <c r="AV756" s="136"/>
      <c r="AW756" s="136"/>
      <c r="AX756" s="136"/>
      <c r="AY756" s="136"/>
      <c r="AZ756" s="136"/>
      <c r="BA756" s="136"/>
      <c r="BB756" s="136"/>
      <c r="BC756" s="136"/>
      <c r="BD756" s="136"/>
      <c r="BE756" s="136"/>
      <c r="BF756" s="136"/>
      <c r="BG756" s="136"/>
      <c r="BH756" s="136"/>
      <c r="BI756" s="136"/>
    </row>
    <row r="757" spans="1:61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  <c r="AA757" s="136"/>
      <c r="AB757" s="136"/>
      <c r="AC757" s="136"/>
      <c r="AD757" s="136"/>
      <c r="AE757" s="136"/>
      <c r="AF757" s="136"/>
      <c r="AG757" s="136"/>
      <c r="AH757" s="136"/>
      <c r="AI757" s="136"/>
      <c r="AJ757" s="136"/>
      <c r="AK757" s="136"/>
      <c r="AL757" s="136"/>
      <c r="AM757" s="136"/>
      <c r="AN757" s="136"/>
      <c r="AO757" s="136"/>
      <c r="AP757" s="136"/>
      <c r="AQ757" s="136"/>
      <c r="AR757" s="136"/>
      <c r="AS757" s="136"/>
      <c r="AT757" s="136"/>
      <c r="AU757" s="136"/>
      <c r="AV757" s="136"/>
      <c r="AW757" s="136"/>
      <c r="AX757" s="136"/>
      <c r="AY757" s="136"/>
      <c r="AZ757" s="136"/>
      <c r="BA757" s="136"/>
      <c r="BB757" s="136"/>
      <c r="BC757" s="136"/>
      <c r="BD757" s="136"/>
      <c r="BE757" s="136"/>
      <c r="BF757" s="136"/>
      <c r="BG757" s="136"/>
      <c r="BH757" s="136"/>
      <c r="BI757" s="136"/>
    </row>
    <row r="758" spans="1:61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  <c r="AQ758" s="136"/>
      <c r="AR758" s="136"/>
      <c r="AS758" s="136"/>
      <c r="AT758" s="136"/>
      <c r="AU758" s="136"/>
      <c r="AV758" s="136"/>
      <c r="AW758" s="136"/>
      <c r="AX758" s="136"/>
      <c r="AY758" s="136"/>
      <c r="AZ758" s="136"/>
      <c r="BA758" s="136"/>
      <c r="BB758" s="136"/>
      <c r="BC758" s="136"/>
      <c r="BD758" s="136"/>
      <c r="BE758" s="136"/>
      <c r="BF758" s="136"/>
      <c r="BG758" s="136"/>
      <c r="BH758" s="136"/>
      <c r="BI758" s="136"/>
    </row>
    <row r="759" spans="1:61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  <c r="AA759" s="136"/>
      <c r="AB759" s="136"/>
      <c r="AC759" s="136"/>
      <c r="AD759" s="136"/>
      <c r="AE759" s="136"/>
      <c r="AF759" s="136"/>
      <c r="AG759" s="136"/>
      <c r="AH759" s="136"/>
      <c r="AI759" s="136"/>
      <c r="AJ759" s="136"/>
      <c r="AK759" s="136"/>
      <c r="AL759" s="136"/>
      <c r="AM759" s="136"/>
      <c r="AN759" s="136"/>
      <c r="AO759" s="136"/>
      <c r="AP759" s="136"/>
      <c r="AQ759" s="136"/>
      <c r="AR759" s="136"/>
      <c r="AS759" s="136"/>
      <c r="AT759" s="136"/>
      <c r="AU759" s="136"/>
      <c r="AV759" s="136"/>
      <c r="AW759" s="136"/>
      <c r="AX759" s="136"/>
      <c r="AY759" s="136"/>
      <c r="AZ759" s="136"/>
      <c r="BA759" s="136"/>
      <c r="BB759" s="136"/>
      <c r="BC759" s="136"/>
      <c r="BD759" s="136"/>
      <c r="BE759" s="136"/>
      <c r="BF759" s="136"/>
      <c r="BG759" s="136"/>
      <c r="BH759" s="136"/>
      <c r="BI759" s="136"/>
    </row>
    <row r="760" spans="1:61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  <c r="AA760" s="136"/>
      <c r="AB760" s="136"/>
      <c r="AC760" s="136"/>
      <c r="AD760" s="136"/>
      <c r="AE760" s="136"/>
      <c r="AF760" s="136"/>
      <c r="AG760" s="136"/>
      <c r="AH760" s="136"/>
      <c r="AI760" s="136"/>
      <c r="AJ760" s="136"/>
      <c r="AK760" s="136"/>
      <c r="AL760" s="136"/>
      <c r="AM760" s="136"/>
      <c r="AN760" s="136"/>
      <c r="AO760" s="136"/>
      <c r="AP760" s="136"/>
      <c r="AQ760" s="136"/>
      <c r="AR760" s="136"/>
      <c r="AS760" s="136"/>
      <c r="AT760" s="136"/>
      <c r="AU760" s="136"/>
      <c r="AV760" s="136"/>
      <c r="AW760" s="136"/>
      <c r="AX760" s="136"/>
      <c r="AY760" s="136"/>
      <c r="AZ760" s="136"/>
      <c r="BA760" s="136"/>
      <c r="BB760" s="136"/>
      <c r="BC760" s="136"/>
      <c r="BD760" s="136"/>
      <c r="BE760" s="136"/>
      <c r="BF760" s="136"/>
      <c r="BG760" s="136"/>
      <c r="BH760" s="136"/>
      <c r="BI760" s="136"/>
    </row>
    <row r="761" spans="1:61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  <c r="AA761" s="136"/>
      <c r="AB761" s="136"/>
      <c r="AC761" s="136"/>
      <c r="AD761" s="136"/>
      <c r="AE761" s="136"/>
      <c r="AF761" s="136"/>
      <c r="AG761" s="136"/>
      <c r="AH761" s="136"/>
      <c r="AI761" s="136"/>
      <c r="AJ761" s="136"/>
      <c r="AK761" s="136"/>
      <c r="AL761" s="136"/>
      <c r="AM761" s="136"/>
      <c r="AN761" s="136"/>
      <c r="AO761" s="136"/>
      <c r="AP761" s="136"/>
      <c r="AQ761" s="136"/>
      <c r="AR761" s="136"/>
      <c r="AS761" s="136"/>
      <c r="AT761" s="136"/>
      <c r="AU761" s="136"/>
      <c r="AV761" s="136"/>
      <c r="AW761" s="136"/>
      <c r="AX761" s="136"/>
      <c r="AY761" s="136"/>
      <c r="AZ761" s="136"/>
      <c r="BA761" s="136"/>
      <c r="BB761" s="136"/>
      <c r="BC761" s="136"/>
      <c r="BD761" s="136"/>
      <c r="BE761" s="136"/>
      <c r="BF761" s="136"/>
      <c r="BG761" s="136"/>
      <c r="BH761" s="136"/>
      <c r="BI761" s="136"/>
    </row>
    <row r="762" spans="1:61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  <c r="AA762" s="136"/>
      <c r="AB762" s="136"/>
      <c r="AC762" s="136"/>
      <c r="AD762" s="136"/>
      <c r="AE762" s="136"/>
      <c r="AF762" s="136"/>
      <c r="AG762" s="136"/>
      <c r="AH762" s="136"/>
      <c r="AI762" s="136"/>
      <c r="AJ762" s="136"/>
      <c r="AK762" s="136"/>
      <c r="AL762" s="136"/>
      <c r="AM762" s="136"/>
      <c r="AN762" s="136"/>
      <c r="AO762" s="136"/>
      <c r="AP762" s="136"/>
      <c r="AQ762" s="136"/>
      <c r="AR762" s="136"/>
      <c r="AS762" s="136"/>
      <c r="AT762" s="136"/>
      <c r="AU762" s="136"/>
      <c r="AV762" s="136"/>
      <c r="AW762" s="136"/>
      <c r="AX762" s="136"/>
      <c r="AY762" s="136"/>
      <c r="AZ762" s="136"/>
      <c r="BA762" s="136"/>
      <c r="BB762" s="136"/>
      <c r="BC762" s="136"/>
      <c r="BD762" s="136"/>
      <c r="BE762" s="136"/>
      <c r="BF762" s="136"/>
      <c r="BG762" s="136"/>
      <c r="BH762" s="136"/>
      <c r="BI762" s="136"/>
    </row>
    <row r="763" spans="1:61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  <c r="AA763" s="136"/>
      <c r="AB763" s="136"/>
      <c r="AC763" s="136"/>
      <c r="AD763" s="136"/>
      <c r="AE763" s="136"/>
      <c r="AF763" s="136"/>
      <c r="AG763" s="136"/>
      <c r="AH763" s="136"/>
      <c r="AI763" s="136"/>
      <c r="AJ763" s="136"/>
      <c r="AK763" s="136"/>
      <c r="AL763" s="136"/>
      <c r="AM763" s="136"/>
      <c r="AN763" s="136"/>
      <c r="AO763" s="136"/>
      <c r="AP763" s="136"/>
      <c r="AQ763" s="136"/>
      <c r="AR763" s="136"/>
      <c r="AS763" s="136"/>
      <c r="AT763" s="136"/>
      <c r="AU763" s="136"/>
      <c r="AV763" s="136"/>
      <c r="AW763" s="136"/>
      <c r="AX763" s="136"/>
      <c r="AY763" s="136"/>
      <c r="AZ763" s="136"/>
      <c r="BA763" s="136"/>
      <c r="BB763" s="136"/>
      <c r="BC763" s="136"/>
      <c r="BD763" s="136"/>
      <c r="BE763" s="136"/>
      <c r="BF763" s="136"/>
      <c r="BG763" s="136"/>
      <c r="BH763" s="136"/>
      <c r="BI763" s="136"/>
    </row>
    <row r="764" spans="1:61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  <c r="AA764" s="136"/>
      <c r="AB764" s="136"/>
      <c r="AC764" s="136"/>
      <c r="AD764" s="136"/>
      <c r="AE764" s="136"/>
      <c r="AF764" s="136"/>
      <c r="AG764" s="136"/>
      <c r="AH764" s="136"/>
      <c r="AI764" s="136"/>
      <c r="AJ764" s="136"/>
      <c r="AK764" s="136"/>
      <c r="AL764" s="136"/>
      <c r="AM764" s="136"/>
      <c r="AN764" s="136"/>
      <c r="AO764" s="136"/>
      <c r="AP764" s="136"/>
      <c r="AQ764" s="136"/>
      <c r="AR764" s="136"/>
      <c r="AS764" s="136"/>
      <c r="AT764" s="136"/>
      <c r="AU764" s="136"/>
      <c r="AV764" s="136"/>
      <c r="AW764" s="136"/>
      <c r="AX764" s="136"/>
      <c r="AY764" s="136"/>
      <c r="AZ764" s="136"/>
      <c r="BA764" s="136"/>
      <c r="BB764" s="136"/>
      <c r="BC764" s="136"/>
      <c r="BD764" s="136"/>
      <c r="BE764" s="136"/>
      <c r="BF764" s="136"/>
      <c r="BG764" s="136"/>
      <c r="BH764" s="136"/>
      <c r="BI764" s="136"/>
    </row>
    <row r="765" spans="1:61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  <c r="AA765" s="136"/>
      <c r="AB765" s="136"/>
      <c r="AC765" s="136"/>
      <c r="AD765" s="136"/>
      <c r="AE765" s="136"/>
      <c r="AF765" s="136"/>
      <c r="AG765" s="136"/>
      <c r="AH765" s="136"/>
      <c r="AI765" s="136"/>
      <c r="AJ765" s="136"/>
      <c r="AK765" s="136"/>
      <c r="AL765" s="136"/>
      <c r="AM765" s="136"/>
      <c r="AN765" s="136"/>
      <c r="AO765" s="136"/>
      <c r="AP765" s="136"/>
      <c r="AQ765" s="136"/>
      <c r="AR765" s="136"/>
      <c r="AS765" s="136"/>
      <c r="AT765" s="136"/>
      <c r="AU765" s="136"/>
      <c r="AV765" s="136"/>
      <c r="AW765" s="136"/>
      <c r="AX765" s="136"/>
      <c r="AY765" s="136"/>
      <c r="AZ765" s="136"/>
      <c r="BA765" s="136"/>
      <c r="BB765" s="136"/>
      <c r="BC765" s="136"/>
      <c r="BD765" s="136"/>
      <c r="BE765" s="136"/>
      <c r="BF765" s="136"/>
      <c r="BG765" s="136"/>
      <c r="BH765" s="136"/>
      <c r="BI765" s="136"/>
    </row>
    <row r="766" spans="1:61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  <c r="AA766" s="136"/>
      <c r="AB766" s="136"/>
      <c r="AC766" s="136"/>
      <c r="AD766" s="136"/>
      <c r="AE766" s="136"/>
      <c r="AF766" s="136"/>
      <c r="AG766" s="136"/>
      <c r="AH766" s="136"/>
      <c r="AI766" s="136"/>
      <c r="AJ766" s="136"/>
      <c r="AK766" s="136"/>
      <c r="AL766" s="136"/>
      <c r="AM766" s="136"/>
      <c r="AN766" s="136"/>
      <c r="AO766" s="136"/>
      <c r="AP766" s="136"/>
      <c r="AQ766" s="136"/>
      <c r="AR766" s="136"/>
      <c r="AS766" s="136"/>
      <c r="AT766" s="136"/>
      <c r="AU766" s="136"/>
      <c r="AV766" s="136"/>
      <c r="AW766" s="136"/>
      <c r="AX766" s="136"/>
      <c r="AY766" s="136"/>
      <c r="AZ766" s="136"/>
      <c r="BA766" s="136"/>
      <c r="BB766" s="136"/>
      <c r="BC766" s="136"/>
      <c r="BD766" s="136"/>
      <c r="BE766" s="136"/>
      <c r="BF766" s="136"/>
      <c r="BG766" s="136"/>
      <c r="BH766" s="136"/>
      <c r="BI766" s="136"/>
    </row>
    <row r="767" spans="1:61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  <c r="AA767" s="136"/>
      <c r="AB767" s="136"/>
      <c r="AC767" s="136"/>
      <c r="AD767" s="136"/>
      <c r="AE767" s="136"/>
      <c r="AF767" s="136"/>
      <c r="AG767" s="136"/>
      <c r="AH767" s="136"/>
      <c r="AI767" s="136"/>
      <c r="AJ767" s="136"/>
      <c r="AK767" s="136"/>
      <c r="AL767" s="136"/>
      <c r="AM767" s="136"/>
      <c r="AN767" s="136"/>
      <c r="AO767" s="136"/>
      <c r="AP767" s="136"/>
      <c r="AQ767" s="136"/>
      <c r="AR767" s="136"/>
      <c r="AS767" s="136"/>
      <c r="AT767" s="136"/>
      <c r="AU767" s="136"/>
      <c r="AV767" s="136"/>
      <c r="AW767" s="136"/>
      <c r="AX767" s="136"/>
      <c r="AY767" s="136"/>
      <c r="AZ767" s="136"/>
      <c r="BA767" s="136"/>
      <c r="BB767" s="136"/>
      <c r="BC767" s="136"/>
      <c r="BD767" s="136"/>
      <c r="BE767" s="136"/>
      <c r="BF767" s="136"/>
      <c r="BG767" s="136"/>
      <c r="BH767" s="136"/>
      <c r="BI767" s="136"/>
    </row>
    <row r="768" spans="1:61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  <c r="AA768" s="136"/>
      <c r="AB768" s="136"/>
      <c r="AC768" s="136"/>
      <c r="AD768" s="136"/>
      <c r="AE768" s="136"/>
      <c r="AF768" s="136"/>
      <c r="AG768" s="136"/>
      <c r="AH768" s="136"/>
      <c r="AI768" s="136"/>
      <c r="AJ768" s="136"/>
      <c r="AK768" s="136"/>
      <c r="AL768" s="136"/>
      <c r="AM768" s="136"/>
      <c r="AN768" s="136"/>
      <c r="AO768" s="136"/>
      <c r="AP768" s="136"/>
      <c r="AQ768" s="136"/>
      <c r="AR768" s="136"/>
      <c r="AS768" s="136"/>
      <c r="AT768" s="136"/>
      <c r="AU768" s="136"/>
      <c r="AV768" s="136"/>
      <c r="AW768" s="136"/>
      <c r="AX768" s="136"/>
      <c r="AY768" s="136"/>
      <c r="AZ768" s="136"/>
      <c r="BA768" s="136"/>
      <c r="BB768" s="136"/>
      <c r="BC768" s="136"/>
      <c r="BD768" s="136"/>
      <c r="BE768" s="136"/>
      <c r="BF768" s="136"/>
      <c r="BG768" s="136"/>
      <c r="BH768" s="136"/>
      <c r="BI768" s="136"/>
    </row>
    <row r="769" spans="1:61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  <c r="AA769" s="136"/>
      <c r="AB769" s="136"/>
      <c r="AC769" s="136"/>
      <c r="AD769" s="136"/>
      <c r="AE769" s="136"/>
      <c r="AF769" s="136"/>
      <c r="AG769" s="136"/>
      <c r="AH769" s="136"/>
      <c r="AI769" s="136"/>
      <c r="AJ769" s="136"/>
      <c r="AK769" s="136"/>
      <c r="AL769" s="136"/>
      <c r="AM769" s="136"/>
      <c r="AN769" s="136"/>
      <c r="AO769" s="136"/>
      <c r="AP769" s="136"/>
      <c r="AQ769" s="136"/>
      <c r="AR769" s="136"/>
      <c r="AS769" s="136"/>
      <c r="AT769" s="136"/>
      <c r="AU769" s="136"/>
      <c r="AV769" s="136"/>
      <c r="AW769" s="136"/>
      <c r="AX769" s="136"/>
      <c r="AY769" s="136"/>
      <c r="AZ769" s="136"/>
      <c r="BA769" s="136"/>
      <c r="BB769" s="136"/>
      <c r="BC769" s="136"/>
      <c r="BD769" s="136"/>
      <c r="BE769" s="136"/>
      <c r="BF769" s="136"/>
      <c r="BG769" s="136"/>
      <c r="BH769" s="136"/>
      <c r="BI769" s="136"/>
    </row>
    <row r="770" spans="1:61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  <c r="AA770" s="136"/>
      <c r="AB770" s="136"/>
      <c r="AC770" s="136"/>
      <c r="AD770" s="136"/>
      <c r="AE770" s="136"/>
      <c r="AF770" s="136"/>
      <c r="AG770" s="136"/>
      <c r="AH770" s="136"/>
      <c r="AI770" s="136"/>
      <c r="AJ770" s="136"/>
      <c r="AK770" s="136"/>
      <c r="AL770" s="136"/>
      <c r="AM770" s="136"/>
      <c r="AN770" s="136"/>
      <c r="AO770" s="136"/>
      <c r="AP770" s="136"/>
      <c r="AQ770" s="136"/>
      <c r="AR770" s="136"/>
      <c r="AS770" s="136"/>
      <c r="AT770" s="136"/>
      <c r="AU770" s="136"/>
      <c r="AV770" s="136"/>
      <c r="AW770" s="136"/>
      <c r="AX770" s="136"/>
      <c r="AY770" s="136"/>
      <c r="AZ770" s="136"/>
      <c r="BA770" s="136"/>
      <c r="BB770" s="136"/>
      <c r="BC770" s="136"/>
      <c r="BD770" s="136"/>
      <c r="BE770" s="136"/>
      <c r="BF770" s="136"/>
      <c r="BG770" s="136"/>
      <c r="BH770" s="136"/>
      <c r="BI770" s="136"/>
    </row>
    <row r="771" spans="1:61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  <c r="AA771" s="136"/>
      <c r="AB771" s="136"/>
      <c r="AC771" s="136"/>
      <c r="AD771" s="136"/>
      <c r="AE771" s="136"/>
      <c r="AF771" s="136"/>
      <c r="AG771" s="136"/>
      <c r="AH771" s="136"/>
      <c r="AI771" s="136"/>
      <c r="AJ771" s="136"/>
      <c r="AK771" s="136"/>
      <c r="AL771" s="136"/>
      <c r="AM771" s="136"/>
      <c r="AN771" s="136"/>
      <c r="AO771" s="136"/>
      <c r="AP771" s="136"/>
      <c r="AQ771" s="136"/>
      <c r="AR771" s="136"/>
      <c r="AS771" s="136"/>
      <c r="AT771" s="136"/>
      <c r="AU771" s="136"/>
      <c r="AV771" s="136"/>
      <c r="AW771" s="136"/>
      <c r="AX771" s="136"/>
      <c r="AY771" s="136"/>
      <c r="AZ771" s="136"/>
      <c r="BA771" s="136"/>
      <c r="BB771" s="136"/>
      <c r="BC771" s="136"/>
      <c r="BD771" s="136"/>
      <c r="BE771" s="136"/>
      <c r="BF771" s="136"/>
      <c r="BG771" s="136"/>
      <c r="BH771" s="136"/>
      <c r="BI771" s="136"/>
    </row>
    <row r="772" spans="1:61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  <c r="AA772" s="136"/>
      <c r="AB772" s="136"/>
      <c r="AC772" s="136"/>
      <c r="AD772" s="136"/>
      <c r="AE772" s="136"/>
      <c r="AF772" s="136"/>
      <c r="AG772" s="136"/>
      <c r="AH772" s="136"/>
      <c r="AI772" s="136"/>
      <c r="AJ772" s="136"/>
      <c r="AK772" s="136"/>
      <c r="AL772" s="136"/>
      <c r="AM772" s="136"/>
      <c r="AN772" s="136"/>
      <c r="AO772" s="136"/>
      <c r="AP772" s="136"/>
      <c r="AQ772" s="136"/>
      <c r="AR772" s="136"/>
      <c r="AS772" s="136"/>
      <c r="AT772" s="136"/>
      <c r="AU772" s="136"/>
      <c r="AV772" s="136"/>
      <c r="AW772" s="136"/>
      <c r="AX772" s="136"/>
      <c r="AY772" s="136"/>
      <c r="AZ772" s="136"/>
      <c r="BA772" s="136"/>
      <c r="BB772" s="136"/>
      <c r="BC772" s="136"/>
      <c r="BD772" s="136"/>
      <c r="BE772" s="136"/>
      <c r="BF772" s="136"/>
      <c r="BG772" s="136"/>
      <c r="BH772" s="136"/>
      <c r="BI772" s="136"/>
    </row>
    <row r="773" spans="1:61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  <c r="AA773" s="136"/>
      <c r="AB773" s="136"/>
      <c r="AC773" s="136"/>
      <c r="AD773" s="136"/>
      <c r="AE773" s="136"/>
      <c r="AF773" s="136"/>
      <c r="AG773" s="136"/>
      <c r="AH773" s="136"/>
      <c r="AI773" s="136"/>
      <c r="AJ773" s="136"/>
      <c r="AK773" s="136"/>
      <c r="AL773" s="136"/>
      <c r="AM773" s="136"/>
      <c r="AN773" s="136"/>
      <c r="AO773" s="136"/>
      <c r="AP773" s="136"/>
      <c r="AQ773" s="136"/>
      <c r="AR773" s="136"/>
      <c r="AS773" s="136"/>
      <c r="AT773" s="136"/>
      <c r="AU773" s="136"/>
      <c r="AV773" s="136"/>
      <c r="AW773" s="136"/>
      <c r="AX773" s="136"/>
      <c r="AY773" s="136"/>
      <c r="AZ773" s="136"/>
      <c r="BA773" s="136"/>
      <c r="BB773" s="136"/>
      <c r="BC773" s="136"/>
      <c r="BD773" s="136"/>
      <c r="BE773" s="136"/>
      <c r="BF773" s="136"/>
      <c r="BG773" s="136"/>
      <c r="BH773" s="136"/>
      <c r="BI773" s="136"/>
    </row>
    <row r="774" spans="1:61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  <c r="AA774" s="136"/>
      <c r="AB774" s="136"/>
      <c r="AC774" s="136"/>
      <c r="AD774" s="136"/>
      <c r="AE774" s="136"/>
      <c r="AF774" s="136"/>
      <c r="AG774" s="136"/>
      <c r="AH774" s="136"/>
      <c r="AI774" s="136"/>
      <c r="AJ774" s="136"/>
      <c r="AK774" s="136"/>
      <c r="AL774" s="136"/>
      <c r="AM774" s="136"/>
      <c r="AN774" s="136"/>
      <c r="AO774" s="136"/>
      <c r="AP774" s="136"/>
      <c r="AQ774" s="136"/>
      <c r="AR774" s="136"/>
      <c r="AS774" s="136"/>
      <c r="AT774" s="136"/>
      <c r="AU774" s="136"/>
      <c r="AV774" s="136"/>
      <c r="AW774" s="136"/>
      <c r="AX774" s="136"/>
      <c r="AY774" s="136"/>
      <c r="AZ774" s="136"/>
      <c r="BA774" s="136"/>
      <c r="BB774" s="136"/>
      <c r="BC774" s="136"/>
      <c r="BD774" s="136"/>
      <c r="BE774" s="136"/>
      <c r="BF774" s="136"/>
      <c r="BG774" s="136"/>
      <c r="BH774" s="136"/>
      <c r="BI774" s="136"/>
    </row>
    <row r="775" spans="1:61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  <c r="AA775" s="136"/>
      <c r="AB775" s="136"/>
      <c r="AC775" s="136"/>
      <c r="AD775" s="136"/>
      <c r="AE775" s="136"/>
      <c r="AF775" s="136"/>
      <c r="AG775" s="136"/>
      <c r="AH775" s="136"/>
      <c r="AI775" s="136"/>
      <c r="AJ775" s="136"/>
      <c r="AK775" s="136"/>
      <c r="AL775" s="136"/>
      <c r="AM775" s="136"/>
      <c r="AN775" s="136"/>
      <c r="AO775" s="136"/>
      <c r="AP775" s="136"/>
      <c r="AQ775" s="136"/>
      <c r="AR775" s="136"/>
      <c r="AS775" s="136"/>
      <c r="AT775" s="136"/>
      <c r="AU775" s="136"/>
      <c r="AV775" s="136"/>
      <c r="AW775" s="136"/>
      <c r="AX775" s="136"/>
      <c r="AY775" s="136"/>
      <c r="AZ775" s="136"/>
      <c r="BA775" s="136"/>
      <c r="BB775" s="136"/>
      <c r="BC775" s="136"/>
      <c r="BD775" s="136"/>
      <c r="BE775" s="136"/>
      <c r="BF775" s="136"/>
      <c r="BG775" s="136"/>
      <c r="BH775" s="136"/>
      <c r="BI775" s="136"/>
    </row>
    <row r="776" spans="1:61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  <c r="AA776" s="136"/>
      <c r="AB776" s="136"/>
      <c r="AC776" s="136"/>
      <c r="AD776" s="136"/>
      <c r="AE776" s="136"/>
      <c r="AF776" s="136"/>
      <c r="AG776" s="136"/>
      <c r="AH776" s="136"/>
      <c r="AI776" s="136"/>
      <c r="AJ776" s="136"/>
      <c r="AK776" s="136"/>
      <c r="AL776" s="136"/>
      <c r="AM776" s="136"/>
      <c r="AN776" s="136"/>
      <c r="AO776" s="136"/>
      <c r="AP776" s="136"/>
      <c r="AQ776" s="136"/>
      <c r="AR776" s="136"/>
      <c r="AS776" s="136"/>
      <c r="AT776" s="136"/>
      <c r="AU776" s="136"/>
      <c r="AV776" s="136"/>
      <c r="AW776" s="136"/>
      <c r="AX776" s="136"/>
      <c r="AY776" s="136"/>
      <c r="AZ776" s="136"/>
      <c r="BA776" s="136"/>
      <c r="BB776" s="136"/>
      <c r="BC776" s="136"/>
      <c r="BD776" s="136"/>
      <c r="BE776" s="136"/>
      <c r="BF776" s="136"/>
      <c r="BG776" s="136"/>
      <c r="BH776" s="136"/>
      <c r="BI776" s="136"/>
    </row>
    <row r="777" spans="1:61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  <c r="AA777" s="136"/>
      <c r="AB777" s="136"/>
      <c r="AC777" s="136"/>
      <c r="AD777" s="136"/>
      <c r="AE777" s="136"/>
      <c r="AF777" s="136"/>
      <c r="AG777" s="136"/>
      <c r="AH777" s="136"/>
      <c r="AI777" s="136"/>
      <c r="AJ777" s="136"/>
      <c r="AK777" s="136"/>
      <c r="AL777" s="136"/>
      <c r="AM777" s="136"/>
      <c r="AN777" s="136"/>
      <c r="AO777" s="136"/>
      <c r="AP777" s="136"/>
      <c r="AQ777" s="136"/>
      <c r="AR777" s="136"/>
      <c r="AS777" s="136"/>
      <c r="AT777" s="136"/>
      <c r="AU777" s="136"/>
      <c r="AV777" s="136"/>
      <c r="AW777" s="136"/>
      <c r="AX777" s="136"/>
      <c r="AY777" s="136"/>
      <c r="AZ777" s="136"/>
      <c r="BA777" s="136"/>
      <c r="BB777" s="136"/>
      <c r="BC777" s="136"/>
      <c r="BD777" s="136"/>
      <c r="BE777" s="136"/>
      <c r="BF777" s="136"/>
      <c r="BG777" s="136"/>
      <c r="BH777" s="136"/>
      <c r="BI777" s="136"/>
    </row>
    <row r="778" spans="1:61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  <c r="AA778" s="136"/>
      <c r="AB778" s="136"/>
      <c r="AC778" s="136"/>
      <c r="AD778" s="136"/>
      <c r="AE778" s="136"/>
      <c r="AF778" s="136"/>
      <c r="AG778" s="136"/>
      <c r="AH778" s="136"/>
      <c r="AI778" s="136"/>
      <c r="AJ778" s="136"/>
      <c r="AK778" s="136"/>
      <c r="AL778" s="136"/>
      <c r="AM778" s="136"/>
      <c r="AN778" s="136"/>
      <c r="AO778" s="136"/>
      <c r="AP778" s="136"/>
      <c r="AQ778" s="136"/>
      <c r="AR778" s="136"/>
      <c r="AS778" s="136"/>
      <c r="AT778" s="136"/>
      <c r="AU778" s="136"/>
      <c r="AV778" s="136"/>
      <c r="AW778" s="136"/>
      <c r="AX778" s="136"/>
      <c r="AY778" s="136"/>
      <c r="AZ778" s="136"/>
      <c r="BA778" s="136"/>
      <c r="BB778" s="136"/>
      <c r="BC778" s="136"/>
      <c r="BD778" s="136"/>
      <c r="BE778" s="136"/>
      <c r="BF778" s="136"/>
      <c r="BG778" s="136"/>
      <c r="BH778" s="136"/>
      <c r="BI778" s="136"/>
    </row>
    <row r="779" spans="1:61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  <c r="AA779" s="136"/>
      <c r="AB779" s="136"/>
      <c r="AC779" s="136"/>
      <c r="AD779" s="136"/>
      <c r="AE779" s="136"/>
      <c r="AF779" s="136"/>
      <c r="AG779" s="136"/>
      <c r="AH779" s="136"/>
      <c r="AI779" s="136"/>
      <c r="AJ779" s="136"/>
      <c r="AK779" s="136"/>
      <c r="AL779" s="136"/>
      <c r="AM779" s="136"/>
      <c r="AN779" s="136"/>
      <c r="AO779" s="136"/>
      <c r="AP779" s="136"/>
      <c r="AQ779" s="136"/>
      <c r="AR779" s="136"/>
      <c r="AS779" s="136"/>
      <c r="AT779" s="136"/>
      <c r="AU779" s="136"/>
      <c r="AV779" s="136"/>
      <c r="AW779" s="136"/>
      <c r="AX779" s="136"/>
      <c r="AY779" s="136"/>
      <c r="AZ779" s="136"/>
      <c r="BA779" s="136"/>
      <c r="BB779" s="136"/>
      <c r="BC779" s="136"/>
      <c r="BD779" s="136"/>
      <c r="BE779" s="136"/>
      <c r="BF779" s="136"/>
      <c r="BG779" s="136"/>
      <c r="BH779" s="136"/>
      <c r="BI779" s="136"/>
    </row>
    <row r="780" spans="1:61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  <c r="AA780" s="136"/>
      <c r="AB780" s="136"/>
      <c r="AC780" s="136"/>
      <c r="AD780" s="136"/>
      <c r="AE780" s="136"/>
      <c r="AF780" s="136"/>
      <c r="AG780" s="136"/>
      <c r="AH780" s="136"/>
      <c r="AI780" s="136"/>
      <c r="AJ780" s="136"/>
      <c r="AK780" s="136"/>
      <c r="AL780" s="136"/>
      <c r="AM780" s="136"/>
      <c r="AN780" s="136"/>
      <c r="AO780" s="136"/>
      <c r="AP780" s="136"/>
      <c r="AQ780" s="136"/>
      <c r="AR780" s="136"/>
      <c r="AS780" s="136"/>
      <c r="AT780" s="136"/>
      <c r="AU780" s="136"/>
      <c r="AV780" s="136"/>
      <c r="AW780" s="136"/>
      <c r="AX780" s="136"/>
      <c r="AY780" s="136"/>
      <c r="AZ780" s="136"/>
      <c r="BA780" s="136"/>
      <c r="BB780" s="136"/>
      <c r="BC780" s="136"/>
      <c r="BD780" s="136"/>
      <c r="BE780" s="136"/>
      <c r="BF780" s="136"/>
      <c r="BG780" s="136"/>
      <c r="BH780" s="136"/>
      <c r="BI780" s="136"/>
    </row>
    <row r="781" spans="1:61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  <c r="AA781" s="136"/>
      <c r="AB781" s="136"/>
      <c r="AC781" s="136"/>
      <c r="AD781" s="136"/>
      <c r="AE781" s="136"/>
      <c r="AF781" s="136"/>
      <c r="AG781" s="136"/>
      <c r="AH781" s="136"/>
      <c r="AI781" s="136"/>
      <c r="AJ781" s="136"/>
      <c r="AK781" s="136"/>
      <c r="AL781" s="136"/>
      <c r="AM781" s="136"/>
      <c r="AN781" s="136"/>
      <c r="AO781" s="136"/>
      <c r="AP781" s="136"/>
      <c r="AQ781" s="136"/>
      <c r="AR781" s="136"/>
      <c r="AS781" s="136"/>
      <c r="AT781" s="136"/>
      <c r="AU781" s="136"/>
      <c r="AV781" s="136"/>
      <c r="AW781" s="136"/>
      <c r="AX781" s="136"/>
      <c r="AY781" s="136"/>
      <c r="AZ781" s="136"/>
      <c r="BA781" s="136"/>
      <c r="BB781" s="136"/>
      <c r="BC781" s="136"/>
      <c r="BD781" s="136"/>
      <c r="BE781" s="136"/>
      <c r="BF781" s="136"/>
      <c r="BG781" s="136"/>
      <c r="BH781" s="136"/>
      <c r="BI781" s="136"/>
    </row>
    <row r="782" spans="1:61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  <c r="AA782" s="136"/>
      <c r="AB782" s="136"/>
      <c r="AC782" s="136"/>
      <c r="AD782" s="136"/>
      <c r="AE782" s="136"/>
      <c r="AF782" s="136"/>
      <c r="AG782" s="136"/>
      <c r="AH782" s="136"/>
      <c r="AI782" s="136"/>
      <c r="AJ782" s="136"/>
      <c r="AK782" s="136"/>
      <c r="AL782" s="136"/>
      <c r="AM782" s="136"/>
      <c r="AN782" s="136"/>
      <c r="AO782" s="136"/>
      <c r="AP782" s="136"/>
      <c r="AQ782" s="136"/>
      <c r="AR782" s="136"/>
      <c r="AS782" s="136"/>
      <c r="AT782" s="136"/>
      <c r="AU782" s="136"/>
      <c r="AV782" s="136"/>
      <c r="AW782" s="136"/>
      <c r="AX782" s="136"/>
      <c r="AY782" s="136"/>
      <c r="AZ782" s="136"/>
      <c r="BA782" s="136"/>
      <c r="BB782" s="136"/>
      <c r="BC782" s="136"/>
      <c r="BD782" s="136"/>
      <c r="BE782" s="136"/>
      <c r="BF782" s="136"/>
      <c r="BG782" s="136"/>
      <c r="BH782" s="136"/>
      <c r="BI782" s="136"/>
    </row>
    <row r="783" spans="1:61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  <c r="AA783" s="136"/>
      <c r="AB783" s="136"/>
      <c r="AC783" s="136"/>
      <c r="AD783" s="136"/>
      <c r="AE783" s="136"/>
      <c r="AF783" s="136"/>
      <c r="AG783" s="136"/>
      <c r="AH783" s="136"/>
      <c r="AI783" s="136"/>
      <c r="AJ783" s="136"/>
      <c r="AK783" s="136"/>
      <c r="AL783" s="136"/>
      <c r="AM783" s="136"/>
      <c r="AN783" s="136"/>
      <c r="AO783" s="136"/>
      <c r="AP783" s="136"/>
      <c r="AQ783" s="136"/>
      <c r="AR783" s="136"/>
      <c r="AS783" s="136"/>
      <c r="AT783" s="136"/>
      <c r="AU783" s="136"/>
      <c r="AV783" s="136"/>
      <c r="AW783" s="136"/>
      <c r="AX783" s="136"/>
      <c r="AY783" s="136"/>
      <c r="AZ783" s="136"/>
      <c r="BA783" s="136"/>
      <c r="BB783" s="136"/>
      <c r="BC783" s="136"/>
      <c r="BD783" s="136"/>
      <c r="BE783" s="136"/>
      <c r="BF783" s="136"/>
      <c r="BG783" s="136"/>
      <c r="BH783" s="136"/>
      <c r="BI783" s="136"/>
    </row>
    <row r="784" spans="1:61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  <c r="AA784" s="136"/>
      <c r="AB784" s="136"/>
      <c r="AC784" s="136"/>
      <c r="AD784" s="136"/>
      <c r="AE784" s="136"/>
      <c r="AF784" s="136"/>
      <c r="AG784" s="136"/>
      <c r="AH784" s="136"/>
      <c r="AI784" s="136"/>
      <c r="AJ784" s="136"/>
      <c r="AK784" s="136"/>
      <c r="AL784" s="136"/>
      <c r="AM784" s="136"/>
      <c r="AN784" s="136"/>
      <c r="AO784" s="136"/>
      <c r="AP784" s="136"/>
      <c r="AQ784" s="136"/>
      <c r="AR784" s="136"/>
      <c r="AS784" s="136"/>
      <c r="AT784" s="136"/>
      <c r="AU784" s="136"/>
      <c r="AV784" s="136"/>
      <c r="AW784" s="136"/>
      <c r="AX784" s="136"/>
      <c r="AY784" s="136"/>
      <c r="AZ784" s="136"/>
      <c r="BA784" s="136"/>
      <c r="BB784" s="136"/>
      <c r="BC784" s="136"/>
      <c r="BD784" s="136"/>
      <c r="BE784" s="136"/>
      <c r="BF784" s="136"/>
      <c r="BG784" s="136"/>
      <c r="BH784" s="136"/>
      <c r="BI784" s="136"/>
    </row>
    <row r="785" spans="1:61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6"/>
      <c r="BA785" s="136"/>
      <c r="BB785" s="136"/>
      <c r="BC785" s="136"/>
      <c r="BD785" s="136"/>
      <c r="BE785" s="136"/>
      <c r="BF785" s="136"/>
      <c r="BG785" s="136"/>
      <c r="BH785" s="136"/>
      <c r="BI785" s="136"/>
    </row>
    <row r="786" spans="1:61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  <c r="AA786" s="136"/>
      <c r="AB786" s="136"/>
      <c r="AC786" s="136"/>
      <c r="AD786" s="136"/>
      <c r="AE786" s="136"/>
      <c r="AF786" s="136"/>
      <c r="AG786" s="136"/>
      <c r="AH786" s="136"/>
      <c r="AI786" s="136"/>
      <c r="AJ786" s="136"/>
      <c r="AK786" s="136"/>
      <c r="AL786" s="136"/>
      <c r="AM786" s="136"/>
      <c r="AN786" s="136"/>
      <c r="AO786" s="136"/>
      <c r="AP786" s="136"/>
      <c r="AQ786" s="136"/>
      <c r="AR786" s="136"/>
      <c r="AS786" s="136"/>
      <c r="AT786" s="136"/>
      <c r="AU786" s="136"/>
      <c r="AV786" s="136"/>
      <c r="AW786" s="136"/>
      <c r="AX786" s="136"/>
      <c r="AY786" s="136"/>
      <c r="AZ786" s="136"/>
      <c r="BA786" s="136"/>
      <c r="BB786" s="136"/>
      <c r="BC786" s="136"/>
      <c r="BD786" s="136"/>
      <c r="BE786" s="136"/>
      <c r="BF786" s="136"/>
      <c r="BG786" s="136"/>
      <c r="BH786" s="136"/>
      <c r="BI786" s="136"/>
    </row>
    <row r="787" spans="1:61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  <c r="AA787" s="136"/>
      <c r="AB787" s="136"/>
      <c r="AC787" s="136"/>
      <c r="AD787" s="136"/>
      <c r="AE787" s="136"/>
      <c r="AF787" s="136"/>
      <c r="AG787" s="136"/>
      <c r="AH787" s="136"/>
      <c r="AI787" s="136"/>
      <c r="AJ787" s="136"/>
      <c r="AK787" s="136"/>
      <c r="AL787" s="136"/>
      <c r="AM787" s="136"/>
      <c r="AN787" s="136"/>
      <c r="AO787" s="136"/>
      <c r="AP787" s="136"/>
      <c r="AQ787" s="136"/>
      <c r="AR787" s="136"/>
      <c r="AS787" s="136"/>
      <c r="AT787" s="136"/>
      <c r="AU787" s="136"/>
      <c r="AV787" s="136"/>
      <c r="AW787" s="136"/>
      <c r="AX787" s="136"/>
      <c r="AY787" s="136"/>
      <c r="AZ787" s="136"/>
      <c r="BA787" s="136"/>
      <c r="BB787" s="136"/>
      <c r="BC787" s="136"/>
      <c r="BD787" s="136"/>
      <c r="BE787" s="136"/>
      <c r="BF787" s="136"/>
      <c r="BG787" s="136"/>
      <c r="BH787" s="136"/>
      <c r="BI787" s="136"/>
    </row>
    <row r="788" spans="1:61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  <c r="AA788" s="136"/>
      <c r="AB788" s="136"/>
      <c r="AC788" s="136"/>
      <c r="AD788" s="136"/>
      <c r="AE788" s="136"/>
      <c r="AF788" s="136"/>
      <c r="AG788" s="136"/>
      <c r="AH788" s="136"/>
      <c r="AI788" s="136"/>
      <c r="AJ788" s="136"/>
      <c r="AK788" s="136"/>
      <c r="AL788" s="136"/>
      <c r="AM788" s="136"/>
      <c r="AN788" s="136"/>
      <c r="AO788" s="136"/>
      <c r="AP788" s="136"/>
      <c r="AQ788" s="136"/>
      <c r="AR788" s="136"/>
      <c r="AS788" s="136"/>
      <c r="AT788" s="136"/>
      <c r="AU788" s="136"/>
      <c r="AV788" s="136"/>
      <c r="AW788" s="136"/>
      <c r="AX788" s="136"/>
      <c r="AY788" s="136"/>
      <c r="AZ788" s="136"/>
      <c r="BA788" s="136"/>
      <c r="BB788" s="136"/>
      <c r="BC788" s="136"/>
      <c r="BD788" s="136"/>
      <c r="BE788" s="136"/>
      <c r="BF788" s="136"/>
      <c r="BG788" s="136"/>
      <c r="BH788" s="136"/>
      <c r="BI788" s="136"/>
    </row>
    <row r="789" spans="1:61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  <c r="AA789" s="136"/>
      <c r="AB789" s="136"/>
      <c r="AC789" s="136"/>
      <c r="AD789" s="136"/>
      <c r="AE789" s="136"/>
      <c r="AF789" s="136"/>
      <c r="AG789" s="136"/>
      <c r="AH789" s="136"/>
      <c r="AI789" s="136"/>
      <c r="AJ789" s="136"/>
      <c r="AK789" s="136"/>
      <c r="AL789" s="136"/>
      <c r="AM789" s="136"/>
      <c r="AN789" s="136"/>
      <c r="AO789" s="136"/>
      <c r="AP789" s="136"/>
      <c r="AQ789" s="136"/>
      <c r="AR789" s="136"/>
      <c r="AS789" s="136"/>
      <c r="AT789" s="136"/>
      <c r="AU789" s="136"/>
      <c r="AV789" s="136"/>
      <c r="AW789" s="136"/>
      <c r="AX789" s="136"/>
      <c r="AY789" s="136"/>
      <c r="AZ789" s="136"/>
      <c r="BA789" s="136"/>
      <c r="BB789" s="136"/>
      <c r="BC789" s="136"/>
      <c r="BD789" s="136"/>
      <c r="BE789" s="136"/>
      <c r="BF789" s="136"/>
      <c r="BG789" s="136"/>
      <c r="BH789" s="136"/>
      <c r="BI789" s="136"/>
    </row>
    <row r="790" spans="1:61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  <c r="AA790" s="136"/>
      <c r="AB790" s="136"/>
      <c r="AC790" s="136"/>
      <c r="AD790" s="136"/>
      <c r="AE790" s="136"/>
      <c r="AF790" s="136"/>
      <c r="AG790" s="136"/>
      <c r="AH790" s="136"/>
      <c r="AI790" s="136"/>
      <c r="AJ790" s="136"/>
      <c r="AK790" s="136"/>
      <c r="AL790" s="136"/>
      <c r="AM790" s="136"/>
      <c r="AN790" s="136"/>
      <c r="AO790" s="136"/>
      <c r="AP790" s="136"/>
      <c r="AQ790" s="136"/>
      <c r="AR790" s="136"/>
      <c r="AS790" s="136"/>
      <c r="AT790" s="136"/>
      <c r="AU790" s="136"/>
      <c r="AV790" s="136"/>
      <c r="AW790" s="136"/>
      <c r="AX790" s="136"/>
      <c r="AY790" s="136"/>
      <c r="AZ790" s="136"/>
      <c r="BA790" s="136"/>
      <c r="BB790" s="136"/>
      <c r="BC790" s="136"/>
      <c r="BD790" s="136"/>
      <c r="BE790" s="136"/>
      <c r="BF790" s="136"/>
      <c r="BG790" s="136"/>
      <c r="BH790" s="136"/>
      <c r="BI790" s="136"/>
    </row>
    <row r="791" spans="1:61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  <c r="AA791" s="136"/>
      <c r="AB791" s="136"/>
      <c r="AC791" s="136"/>
      <c r="AD791" s="136"/>
      <c r="AE791" s="136"/>
      <c r="AF791" s="136"/>
      <c r="AG791" s="136"/>
      <c r="AH791" s="136"/>
      <c r="AI791" s="136"/>
      <c r="AJ791" s="136"/>
      <c r="AK791" s="136"/>
      <c r="AL791" s="136"/>
      <c r="AM791" s="136"/>
      <c r="AN791" s="136"/>
      <c r="AO791" s="136"/>
      <c r="AP791" s="136"/>
      <c r="AQ791" s="136"/>
      <c r="AR791" s="136"/>
      <c r="AS791" s="136"/>
      <c r="AT791" s="136"/>
      <c r="AU791" s="136"/>
      <c r="AV791" s="136"/>
      <c r="AW791" s="136"/>
      <c r="AX791" s="136"/>
      <c r="AY791" s="136"/>
      <c r="AZ791" s="136"/>
      <c r="BA791" s="136"/>
      <c r="BB791" s="136"/>
      <c r="BC791" s="136"/>
      <c r="BD791" s="136"/>
      <c r="BE791" s="136"/>
      <c r="BF791" s="136"/>
      <c r="BG791" s="136"/>
      <c r="BH791" s="136"/>
      <c r="BI791" s="136"/>
    </row>
    <row r="792" spans="1:61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  <c r="AA792" s="136"/>
      <c r="AB792" s="136"/>
      <c r="AC792" s="136"/>
      <c r="AD792" s="136"/>
      <c r="AE792" s="136"/>
      <c r="AF792" s="136"/>
      <c r="AG792" s="136"/>
      <c r="AH792" s="136"/>
      <c r="AI792" s="136"/>
      <c r="AJ792" s="136"/>
      <c r="AK792" s="136"/>
      <c r="AL792" s="136"/>
      <c r="AM792" s="136"/>
      <c r="AN792" s="136"/>
      <c r="AO792" s="136"/>
      <c r="AP792" s="136"/>
      <c r="AQ792" s="136"/>
      <c r="AR792" s="136"/>
      <c r="AS792" s="136"/>
      <c r="AT792" s="136"/>
      <c r="AU792" s="136"/>
      <c r="AV792" s="136"/>
      <c r="AW792" s="136"/>
      <c r="AX792" s="136"/>
      <c r="AY792" s="136"/>
      <c r="AZ792" s="136"/>
      <c r="BA792" s="136"/>
      <c r="BB792" s="136"/>
      <c r="BC792" s="136"/>
      <c r="BD792" s="136"/>
      <c r="BE792" s="136"/>
      <c r="BF792" s="136"/>
      <c r="BG792" s="136"/>
      <c r="BH792" s="136"/>
      <c r="BI792" s="136"/>
    </row>
    <row r="793" spans="1:61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  <c r="AA793" s="136"/>
      <c r="AB793" s="136"/>
      <c r="AC793" s="136"/>
      <c r="AD793" s="136"/>
      <c r="AE793" s="136"/>
      <c r="AF793" s="136"/>
      <c r="AG793" s="136"/>
      <c r="AH793" s="136"/>
      <c r="AI793" s="136"/>
      <c r="AJ793" s="136"/>
      <c r="AK793" s="136"/>
      <c r="AL793" s="136"/>
      <c r="AM793" s="136"/>
      <c r="AN793" s="136"/>
      <c r="AO793" s="136"/>
      <c r="AP793" s="136"/>
      <c r="AQ793" s="136"/>
      <c r="AR793" s="136"/>
      <c r="AS793" s="136"/>
      <c r="AT793" s="136"/>
      <c r="AU793" s="136"/>
      <c r="AV793" s="136"/>
      <c r="AW793" s="136"/>
      <c r="AX793" s="136"/>
      <c r="AY793" s="136"/>
      <c r="AZ793" s="136"/>
      <c r="BA793" s="136"/>
      <c r="BB793" s="136"/>
      <c r="BC793" s="136"/>
      <c r="BD793" s="136"/>
      <c r="BE793" s="136"/>
      <c r="BF793" s="136"/>
      <c r="BG793" s="136"/>
      <c r="BH793" s="136"/>
      <c r="BI793" s="136"/>
    </row>
    <row r="794" spans="1:61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  <c r="AA794" s="136"/>
      <c r="AB794" s="136"/>
      <c r="AC794" s="136"/>
      <c r="AD794" s="136"/>
      <c r="AE794" s="136"/>
      <c r="AF794" s="136"/>
      <c r="AG794" s="136"/>
      <c r="AH794" s="136"/>
      <c r="AI794" s="136"/>
      <c r="AJ794" s="136"/>
      <c r="AK794" s="136"/>
      <c r="AL794" s="136"/>
      <c r="AM794" s="136"/>
      <c r="AN794" s="136"/>
      <c r="AO794" s="136"/>
      <c r="AP794" s="136"/>
      <c r="AQ794" s="136"/>
      <c r="AR794" s="136"/>
      <c r="AS794" s="136"/>
      <c r="AT794" s="136"/>
      <c r="AU794" s="136"/>
      <c r="AV794" s="136"/>
      <c r="AW794" s="136"/>
      <c r="AX794" s="136"/>
      <c r="AY794" s="136"/>
      <c r="AZ794" s="136"/>
      <c r="BA794" s="136"/>
      <c r="BB794" s="136"/>
      <c r="BC794" s="136"/>
      <c r="BD794" s="136"/>
      <c r="BE794" s="136"/>
      <c r="BF794" s="136"/>
      <c r="BG794" s="136"/>
      <c r="BH794" s="136"/>
      <c r="BI794" s="136"/>
    </row>
    <row r="795" spans="1:61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  <c r="AA795" s="136"/>
      <c r="AB795" s="136"/>
      <c r="AC795" s="136"/>
      <c r="AD795" s="136"/>
      <c r="AE795" s="136"/>
      <c r="AF795" s="136"/>
      <c r="AG795" s="136"/>
      <c r="AH795" s="136"/>
      <c r="AI795" s="136"/>
      <c r="AJ795" s="136"/>
      <c r="AK795" s="136"/>
      <c r="AL795" s="136"/>
      <c r="AM795" s="136"/>
      <c r="AN795" s="136"/>
      <c r="AO795" s="136"/>
      <c r="AP795" s="136"/>
      <c r="AQ795" s="136"/>
      <c r="AR795" s="136"/>
      <c r="AS795" s="136"/>
      <c r="AT795" s="136"/>
      <c r="AU795" s="136"/>
      <c r="AV795" s="136"/>
      <c r="AW795" s="136"/>
      <c r="AX795" s="136"/>
      <c r="AY795" s="136"/>
      <c r="AZ795" s="136"/>
      <c r="BA795" s="136"/>
      <c r="BB795" s="136"/>
      <c r="BC795" s="136"/>
      <c r="BD795" s="136"/>
      <c r="BE795" s="136"/>
      <c r="BF795" s="136"/>
      <c r="BG795" s="136"/>
      <c r="BH795" s="136"/>
      <c r="BI795" s="136"/>
    </row>
    <row r="796" spans="1:61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  <c r="AA796" s="136"/>
      <c r="AB796" s="136"/>
      <c r="AC796" s="136"/>
      <c r="AD796" s="136"/>
      <c r="AE796" s="136"/>
      <c r="AF796" s="136"/>
      <c r="AG796" s="136"/>
      <c r="AH796" s="136"/>
      <c r="AI796" s="136"/>
      <c r="AJ796" s="136"/>
      <c r="AK796" s="136"/>
      <c r="AL796" s="136"/>
      <c r="AM796" s="136"/>
      <c r="AN796" s="136"/>
      <c r="AO796" s="136"/>
      <c r="AP796" s="136"/>
      <c r="AQ796" s="136"/>
      <c r="AR796" s="136"/>
      <c r="AS796" s="136"/>
      <c r="AT796" s="136"/>
      <c r="AU796" s="136"/>
      <c r="AV796" s="136"/>
      <c r="AW796" s="136"/>
      <c r="AX796" s="136"/>
      <c r="AY796" s="136"/>
      <c r="AZ796" s="136"/>
      <c r="BA796" s="136"/>
      <c r="BB796" s="136"/>
      <c r="BC796" s="136"/>
      <c r="BD796" s="136"/>
      <c r="BE796" s="136"/>
      <c r="BF796" s="136"/>
      <c r="BG796" s="136"/>
      <c r="BH796" s="136"/>
      <c r="BI796" s="136"/>
    </row>
    <row r="797" spans="1:61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  <c r="AA797" s="136"/>
      <c r="AB797" s="136"/>
      <c r="AC797" s="136"/>
      <c r="AD797" s="136"/>
      <c r="AE797" s="136"/>
      <c r="AF797" s="136"/>
      <c r="AG797" s="136"/>
      <c r="AH797" s="136"/>
      <c r="AI797" s="136"/>
      <c r="AJ797" s="136"/>
      <c r="AK797" s="136"/>
      <c r="AL797" s="136"/>
      <c r="AM797" s="136"/>
      <c r="AN797" s="136"/>
      <c r="AO797" s="136"/>
      <c r="AP797" s="136"/>
      <c r="AQ797" s="136"/>
      <c r="AR797" s="136"/>
      <c r="AS797" s="136"/>
      <c r="AT797" s="136"/>
      <c r="AU797" s="136"/>
      <c r="AV797" s="136"/>
      <c r="AW797" s="136"/>
      <c r="AX797" s="136"/>
      <c r="AY797" s="136"/>
      <c r="AZ797" s="136"/>
      <c r="BA797" s="136"/>
      <c r="BB797" s="136"/>
      <c r="BC797" s="136"/>
      <c r="BD797" s="136"/>
      <c r="BE797" s="136"/>
      <c r="BF797" s="136"/>
      <c r="BG797" s="136"/>
      <c r="BH797" s="136"/>
      <c r="BI797" s="136"/>
    </row>
    <row r="798" spans="1:61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  <c r="AA798" s="136"/>
      <c r="AB798" s="136"/>
      <c r="AC798" s="136"/>
      <c r="AD798" s="136"/>
      <c r="AE798" s="136"/>
      <c r="AF798" s="136"/>
      <c r="AG798" s="136"/>
      <c r="AH798" s="136"/>
      <c r="AI798" s="136"/>
      <c r="AJ798" s="136"/>
      <c r="AK798" s="136"/>
      <c r="AL798" s="136"/>
      <c r="AM798" s="136"/>
      <c r="AN798" s="136"/>
      <c r="AO798" s="136"/>
      <c r="AP798" s="136"/>
      <c r="AQ798" s="136"/>
      <c r="AR798" s="136"/>
      <c r="AS798" s="136"/>
      <c r="AT798" s="136"/>
      <c r="AU798" s="136"/>
      <c r="AV798" s="136"/>
      <c r="AW798" s="136"/>
      <c r="AX798" s="136"/>
      <c r="AY798" s="136"/>
      <c r="AZ798" s="136"/>
      <c r="BA798" s="136"/>
      <c r="BB798" s="136"/>
      <c r="BC798" s="136"/>
      <c r="BD798" s="136"/>
      <c r="BE798" s="136"/>
      <c r="BF798" s="136"/>
      <c r="BG798" s="136"/>
      <c r="BH798" s="136"/>
      <c r="BI798" s="136"/>
    </row>
    <row r="799" spans="1:61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  <c r="AA799" s="136"/>
      <c r="AB799" s="136"/>
      <c r="AC799" s="136"/>
      <c r="AD799" s="136"/>
      <c r="AE799" s="136"/>
      <c r="AF799" s="136"/>
      <c r="AG799" s="136"/>
      <c r="AH799" s="136"/>
      <c r="AI799" s="136"/>
      <c r="AJ799" s="136"/>
      <c r="AK799" s="136"/>
      <c r="AL799" s="136"/>
      <c r="AM799" s="136"/>
      <c r="AN799" s="136"/>
      <c r="AO799" s="136"/>
      <c r="AP799" s="136"/>
      <c r="AQ799" s="136"/>
      <c r="AR799" s="136"/>
      <c r="AS799" s="136"/>
      <c r="AT799" s="136"/>
      <c r="AU799" s="136"/>
      <c r="AV799" s="136"/>
      <c r="AW799" s="136"/>
      <c r="AX799" s="136"/>
      <c r="AY799" s="136"/>
      <c r="AZ799" s="136"/>
      <c r="BA799" s="136"/>
      <c r="BB799" s="136"/>
      <c r="BC799" s="136"/>
      <c r="BD799" s="136"/>
      <c r="BE799" s="136"/>
      <c r="BF799" s="136"/>
      <c r="BG799" s="136"/>
      <c r="BH799" s="136"/>
      <c r="BI799" s="136"/>
    </row>
    <row r="800" spans="1:61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  <c r="AA800" s="136"/>
      <c r="AB800" s="136"/>
      <c r="AC800" s="136"/>
      <c r="AD800" s="136"/>
      <c r="AE800" s="136"/>
      <c r="AF800" s="136"/>
      <c r="AG800" s="136"/>
      <c r="AH800" s="136"/>
      <c r="AI800" s="136"/>
      <c r="AJ800" s="136"/>
      <c r="AK800" s="136"/>
      <c r="AL800" s="136"/>
      <c r="AM800" s="136"/>
      <c r="AN800" s="136"/>
      <c r="AO800" s="136"/>
      <c r="AP800" s="136"/>
      <c r="AQ800" s="136"/>
      <c r="AR800" s="136"/>
      <c r="AS800" s="136"/>
      <c r="AT800" s="136"/>
      <c r="AU800" s="136"/>
      <c r="AV800" s="136"/>
      <c r="AW800" s="136"/>
      <c r="AX800" s="136"/>
      <c r="AY800" s="136"/>
      <c r="AZ800" s="136"/>
      <c r="BA800" s="136"/>
      <c r="BB800" s="136"/>
      <c r="BC800" s="136"/>
      <c r="BD800" s="136"/>
      <c r="BE800" s="136"/>
      <c r="BF800" s="136"/>
      <c r="BG800" s="136"/>
      <c r="BH800" s="136"/>
      <c r="BI800" s="136"/>
    </row>
    <row r="801" spans="1:61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  <c r="AA801" s="136"/>
      <c r="AB801" s="136"/>
      <c r="AC801" s="136"/>
      <c r="AD801" s="136"/>
      <c r="AE801" s="136"/>
      <c r="AF801" s="136"/>
      <c r="AG801" s="136"/>
      <c r="AH801" s="136"/>
      <c r="AI801" s="136"/>
      <c r="AJ801" s="136"/>
      <c r="AK801" s="136"/>
      <c r="AL801" s="136"/>
      <c r="AM801" s="136"/>
      <c r="AN801" s="136"/>
      <c r="AO801" s="136"/>
      <c r="AP801" s="136"/>
      <c r="AQ801" s="136"/>
      <c r="AR801" s="136"/>
      <c r="AS801" s="136"/>
      <c r="AT801" s="136"/>
      <c r="AU801" s="136"/>
      <c r="AV801" s="136"/>
      <c r="AW801" s="136"/>
      <c r="AX801" s="136"/>
      <c r="AY801" s="136"/>
      <c r="AZ801" s="136"/>
      <c r="BA801" s="136"/>
      <c r="BB801" s="136"/>
      <c r="BC801" s="136"/>
      <c r="BD801" s="136"/>
      <c r="BE801" s="136"/>
      <c r="BF801" s="136"/>
      <c r="BG801" s="136"/>
      <c r="BH801" s="136"/>
      <c r="BI801" s="136"/>
    </row>
    <row r="802" spans="1:61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  <c r="AA802" s="136"/>
      <c r="AB802" s="136"/>
      <c r="AC802" s="136"/>
      <c r="AD802" s="136"/>
      <c r="AE802" s="136"/>
      <c r="AF802" s="136"/>
      <c r="AG802" s="136"/>
      <c r="AH802" s="136"/>
      <c r="AI802" s="136"/>
      <c r="AJ802" s="136"/>
      <c r="AK802" s="136"/>
      <c r="AL802" s="136"/>
      <c r="AM802" s="136"/>
      <c r="AN802" s="136"/>
      <c r="AO802" s="136"/>
      <c r="AP802" s="136"/>
      <c r="AQ802" s="136"/>
      <c r="AR802" s="136"/>
      <c r="AS802" s="136"/>
      <c r="AT802" s="136"/>
      <c r="AU802" s="136"/>
      <c r="AV802" s="136"/>
      <c r="AW802" s="136"/>
      <c r="AX802" s="136"/>
      <c r="AY802" s="136"/>
      <c r="AZ802" s="136"/>
      <c r="BA802" s="136"/>
      <c r="BB802" s="136"/>
      <c r="BC802" s="136"/>
      <c r="BD802" s="136"/>
      <c r="BE802" s="136"/>
      <c r="BF802" s="136"/>
      <c r="BG802" s="136"/>
      <c r="BH802" s="136"/>
      <c r="BI802" s="136"/>
    </row>
    <row r="803" spans="1:61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  <c r="AA803" s="136"/>
      <c r="AB803" s="136"/>
      <c r="AC803" s="136"/>
      <c r="AD803" s="136"/>
      <c r="AE803" s="136"/>
      <c r="AF803" s="136"/>
      <c r="AG803" s="136"/>
      <c r="AH803" s="136"/>
      <c r="AI803" s="136"/>
      <c r="AJ803" s="136"/>
      <c r="AK803" s="136"/>
      <c r="AL803" s="136"/>
      <c r="AM803" s="136"/>
      <c r="AN803" s="136"/>
      <c r="AO803" s="136"/>
      <c r="AP803" s="136"/>
      <c r="AQ803" s="136"/>
      <c r="AR803" s="136"/>
      <c r="AS803" s="136"/>
      <c r="AT803" s="136"/>
      <c r="AU803" s="136"/>
      <c r="AV803" s="136"/>
      <c r="AW803" s="136"/>
      <c r="AX803" s="136"/>
      <c r="AY803" s="136"/>
      <c r="AZ803" s="136"/>
      <c r="BA803" s="136"/>
      <c r="BB803" s="136"/>
      <c r="BC803" s="136"/>
      <c r="BD803" s="136"/>
      <c r="BE803" s="136"/>
      <c r="BF803" s="136"/>
      <c r="BG803" s="136"/>
      <c r="BH803" s="136"/>
      <c r="BI803" s="136"/>
    </row>
    <row r="804" spans="1:61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  <c r="AA804" s="136"/>
      <c r="AB804" s="136"/>
      <c r="AC804" s="136"/>
      <c r="AD804" s="136"/>
      <c r="AE804" s="136"/>
      <c r="AF804" s="136"/>
      <c r="AG804" s="136"/>
      <c r="AH804" s="136"/>
      <c r="AI804" s="136"/>
      <c r="AJ804" s="136"/>
      <c r="AK804" s="136"/>
      <c r="AL804" s="136"/>
      <c r="AM804" s="136"/>
      <c r="AN804" s="136"/>
      <c r="AO804" s="136"/>
      <c r="AP804" s="136"/>
      <c r="AQ804" s="136"/>
      <c r="AR804" s="136"/>
      <c r="AS804" s="136"/>
      <c r="AT804" s="136"/>
      <c r="AU804" s="136"/>
      <c r="AV804" s="136"/>
      <c r="AW804" s="136"/>
      <c r="AX804" s="136"/>
      <c r="AY804" s="136"/>
      <c r="AZ804" s="136"/>
      <c r="BA804" s="136"/>
      <c r="BB804" s="136"/>
      <c r="BC804" s="136"/>
      <c r="BD804" s="136"/>
      <c r="BE804" s="136"/>
      <c r="BF804" s="136"/>
      <c r="BG804" s="136"/>
      <c r="BH804" s="136"/>
      <c r="BI804" s="136"/>
    </row>
    <row r="805" spans="1:61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  <c r="AA805" s="136"/>
      <c r="AB805" s="136"/>
      <c r="AC805" s="136"/>
      <c r="AD805" s="136"/>
      <c r="AE805" s="136"/>
      <c r="AF805" s="136"/>
      <c r="AG805" s="136"/>
      <c r="AH805" s="136"/>
      <c r="AI805" s="136"/>
      <c r="AJ805" s="136"/>
      <c r="AK805" s="136"/>
      <c r="AL805" s="136"/>
      <c r="AM805" s="136"/>
      <c r="AN805" s="136"/>
      <c r="AO805" s="136"/>
      <c r="AP805" s="136"/>
      <c r="AQ805" s="136"/>
      <c r="AR805" s="136"/>
      <c r="AS805" s="136"/>
      <c r="AT805" s="136"/>
      <c r="AU805" s="136"/>
      <c r="AV805" s="136"/>
      <c r="AW805" s="136"/>
      <c r="AX805" s="136"/>
      <c r="AY805" s="136"/>
      <c r="AZ805" s="136"/>
      <c r="BA805" s="136"/>
      <c r="BB805" s="136"/>
      <c r="BC805" s="136"/>
      <c r="BD805" s="136"/>
      <c r="BE805" s="136"/>
      <c r="BF805" s="136"/>
      <c r="BG805" s="136"/>
      <c r="BH805" s="136"/>
      <c r="BI805" s="136"/>
    </row>
    <row r="806" spans="1:61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  <c r="AA806" s="136"/>
      <c r="AB806" s="136"/>
      <c r="AC806" s="136"/>
      <c r="AD806" s="136"/>
      <c r="AE806" s="136"/>
      <c r="AF806" s="136"/>
      <c r="AG806" s="136"/>
      <c r="AH806" s="136"/>
      <c r="AI806" s="136"/>
      <c r="AJ806" s="136"/>
      <c r="AK806" s="136"/>
      <c r="AL806" s="136"/>
      <c r="AM806" s="136"/>
      <c r="AN806" s="136"/>
      <c r="AO806" s="136"/>
      <c r="AP806" s="136"/>
      <c r="AQ806" s="136"/>
      <c r="AR806" s="136"/>
      <c r="AS806" s="136"/>
      <c r="AT806" s="136"/>
      <c r="AU806" s="136"/>
      <c r="AV806" s="136"/>
      <c r="AW806" s="136"/>
      <c r="AX806" s="136"/>
      <c r="AY806" s="136"/>
      <c r="AZ806" s="136"/>
      <c r="BA806" s="136"/>
      <c r="BB806" s="136"/>
      <c r="BC806" s="136"/>
      <c r="BD806" s="136"/>
      <c r="BE806" s="136"/>
      <c r="BF806" s="136"/>
      <c r="BG806" s="136"/>
      <c r="BH806" s="136"/>
      <c r="BI806" s="136"/>
    </row>
    <row r="807" spans="1:61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  <c r="AA807" s="136"/>
      <c r="AB807" s="136"/>
      <c r="AC807" s="136"/>
      <c r="AD807" s="136"/>
      <c r="AE807" s="136"/>
      <c r="AF807" s="136"/>
      <c r="AG807" s="136"/>
      <c r="AH807" s="136"/>
      <c r="AI807" s="136"/>
      <c r="AJ807" s="136"/>
      <c r="AK807" s="136"/>
      <c r="AL807" s="136"/>
      <c r="AM807" s="136"/>
      <c r="AN807" s="136"/>
      <c r="AO807" s="136"/>
      <c r="AP807" s="136"/>
      <c r="AQ807" s="136"/>
      <c r="AR807" s="136"/>
      <c r="AS807" s="136"/>
      <c r="AT807" s="136"/>
      <c r="AU807" s="136"/>
      <c r="AV807" s="136"/>
      <c r="AW807" s="136"/>
      <c r="AX807" s="136"/>
      <c r="AY807" s="136"/>
      <c r="AZ807" s="136"/>
      <c r="BA807" s="136"/>
      <c r="BB807" s="136"/>
      <c r="BC807" s="136"/>
      <c r="BD807" s="136"/>
      <c r="BE807" s="136"/>
      <c r="BF807" s="136"/>
      <c r="BG807" s="136"/>
      <c r="BH807" s="136"/>
      <c r="BI807" s="136"/>
    </row>
    <row r="808" spans="1:61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  <c r="AA808" s="136"/>
      <c r="AB808" s="136"/>
      <c r="AC808" s="136"/>
      <c r="AD808" s="136"/>
      <c r="AE808" s="136"/>
      <c r="AF808" s="136"/>
      <c r="AG808" s="136"/>
      <c r="AH808" s="136"/>
      <c r="AI808" s="136"/>
      <c r="AJ808" s="136"/>
      <c r="AK808" s="136"/>
      <c r="AL808" s="136"/>
      <c r="AM808" s="136"/>
      <c r="AN808" s="136"/>
      <c r="AO808" s="136"/>
      <c r="AP808" s="136"/>
      <c r="AQ808" s="136"/>
      <c r="AR808" s="136"/>
      <c r="AS808" s="136"/>
      <c r="AT808" s="136"/>
      <c r="AU808" s="136"/>
      <c r="AV808" s="136"/>
      <c r="AW808" s="136"/>
      <c r="AX808" s="136"/>
      <c r="AY808" s="136"/>
      <c r="AZ808" s="136"/>
      <c r="BA808" s="136"/>
      <c r="BB808" s="136"/>
      <c r="BC808" s="136"/>
      <c r="BD808" s="136"/>
      <c r="BE808" s="136"/>
      <c r="BF808" s="136"/>
      <c r="BG808" s="136"/>
      <c r="BH808" s="136"/>
      <c r="BI808" s="136"/>
    </row>
    <row r="809" spans="1:61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  <c r="AA809" s="136"/>
      <c r="AB809" s="136"/>
      <c r="AC809" s="136"/>
      <c r="AD809" s="136"/>
      <c r="AE809" s="136"/>
      <c r="AF809" s="136"/>
      <c r="AG809" s="136"/>
      <c r="AH809" s="136"/>
      <c r="AI809" s="136"/>
      <c r="AJ809" s="136"/>
      <c r="AK809" s="136"/>
      <c r="AL809" s="136"/>
      <c r="AM809" s="136"/>
      <c r="AN809" s="136"/>
      <c r="AO809" s="136"/>
      <c r="AP809" s="136"/>
      <c r="AQ809" s="136"/>
      <c r="AR809" s="136"/>
      <c r="AS809" s="136"/>
      <c r="AT809" s="136"/>
      <c r="AU809" s="136"/>
      <c r="AV809" s="136"/>
      <c r="AW809" s="136"/>
      <c r="AX809" s="136"/>
      <c r="AY809" s="136"/>
      <c r="AZ809" s="136"/>
      <c r="BA809" s="136"/>
      <c r="BB809" s="136"/>
      <c r="BC809" s="136"/>
      <c r="BD809" s="136"/>
      <c r="BE809" s="136"/>
      <c r="BF809" s="136"/>
      <c r="BG809" s="136"/>
      <c r="BH809" s="136"/>
      <c r="BI809" s="136"/>
    </row>
    <row r="810" spans="1:61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  <c r="AA810" s="136"/>
      <c r="AB810" s="136"/>
      <c r="AC810" s="136"/>
      <c r="AD810" s="136"/>
      <c r="AE810" s="136"/>
      <c r="AF810" s="136"/>
      <c r="AG810" s="136"/>
      <c r="AH810" s="136"/>
      <c r="AI810" s="136"/>
      <c r="AJ810" s="136"/>
      <c r="AK810" s="136"/>
      <c r="AL810" s="136"/>
      <c r="AM810" s="136"/>
      <c r="AN810" s="136"/>
      <c r="AO810" s="136"/>
      <c r="AP810" s="136"/>
      <c r="AQ810" s="136"/>
      <c r="AR810" s="136"/>
      <c r="AS810" s="136"/>
      <c r="AT810" s="136"/>
      <c r="AU810" s="136"/>
      <c r="AV810" s="136"/>
      <c r="AW810" s="136"/>
      <c r="AX810" s="136"/>
      <c r="AY810" s="136"/>
      <c r="AZ810" s="136"/>
      <c r="BA810" s="136"/>
      <c r="BB810" s="136"/>
      <c r="BC810" s="136"/>
      <c r="BD810" s="136"/>
      <c r="BE810" s="136"/>
      <c r="BF810" s="136"/>
      <c r="BG810" s="136"/>
      <c r="BH810" s="136"/>
      <c r="BI810" s="136"/>
    </row>
    <row r="811" spans="1:61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  <c r="AA811" s="136"/>
      <c r="AB811" s="136"/>
      <c r="AC811" s="136"/>
      <c r="AD811" s="136"/>
      <c r="AE811" s="136"/>
      <c r="AF811" s="136"/>
      <c r="AG811" s="136"/>
      <c r="AH811" s="136"/>
      <c r="AI811" s="136"/>
      <c r="AJ811" s="136"/>
      <c r="AK811" s="136"/>
      <c r="AL811" s="136"/>
      <c r="AM811" s="136"/>
      <c r="AN811" s="136"/>
      <c r="AO811" s="136"/>
      <c r="AP811" s="136"/>
      <c r="AQ811" s="136"/>
      <c r="AR811" s="136"/>
      <c r="AS811" s="136"/>
      <c r="AT811" s="136"/>
      <c r="AU811" s="136"/>
      <c r="AV811" s="136"/>
      <c r="AW811" s="136"/>
      <c r="AX811" s="136"/>
      <c r="AY811" s="136"/>
      <c r="AZ811" s="136"/>
      <c r="BA811" s="136"/>
      <c r="BB811" s="136"/>
      <c r="BC811" s="136"/>
      <c r="BD811" s="136"/>
      <c r="BE811" s="136"/>
      <c r="BF811" s="136"/>
      <c r="BG811" s="136"/>
      <c r="BH811" s="136"/>
      <c r="BI811" s="136"/>
    </row>
    <row r="812" spans="1:61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  <c r="AA812" s="136"/>
      <c r="AB812" s="136"/>
      <c r="AC812" s="136"/>
      <c r="AD812" s="136"/>
      <c r="AE812" s="136"/>
      <c r="AF812" s="136"/>
      <c r="AG812" s="136"/>
      <c r="AH812" s="136"/>
      <c r="AI812" s="136"/>
      <c r="AJ812" s="136"/>
      <c r="AK812" s="136"/>
      <c r="AL812" s="136"/>
      <c r="AM812" s="136"/>
      <c r="AN812" s="136"/>
      <c r="AO812" s="136"/>
      <c r="AP812" s="136"/>
      <c r="AQ812" s="136"/>
      <c r="AR812" s="136"/>
      <c r="AS812" s="136"/>
      <c r="AT812" s="136"/>
      <c r="AU812" s="136"/>
      <c r="AV812" s="136"/>
      <c r="AW812" s="136"/>
      <c r="AX812" s="136"/>
      <c r="AY812" s="136"/>
      <c r="AZ812" s="136"/>
      <c r="BA812" s="136"/>
      <c r="BB812" s="136"/>
      <c r="BC812" s="136"/>
      <c r="BD812" s="136"/>
      <c r="BE812" s="136"/>
      <c r="BF812" s="136"/>
      <c r="BG812" s="136"/>
      <c r="BH812" s="136"/>
      <c r="BI812" s="136"/>
    </row>
    <row r="813" spans="1:61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  <c r="AA813" s="136"/>
      <c r="AB813" s="136"/>
      <c r="AC813" s="136"/>
      <c r="AD813" s="136"/>
      <c r="AE813" s="136"/>
      <c r="AF813" s="136"/>
      <c r="AG813" s="136"/>
      <c r="AH813" s="136"/>
      <c r="AI813" s="136"/>
      <c r="AJ813" s="136"/>
      <c r="AK813" s="136"/>
      <c r="AL813" s="136"/>
      <c r="AM813" s="136"/>
      <c r="AN813" s="136"/>
      <c r="AO813" s="136"/>
      <c r="AP813" s="136"/>
      <c r="AQ813" s="136"/>
      <c r="AR813" s="136"/>
      <c r="AS813" s="136"/>
      <c r="AT813" s="136"/>
      <c r="AU813" s="136"/>
      <c r="AV813" s="136"/>
      <c r="AW813" s="136"/>
      <c r="AX813" s="136"/>
      <c r="AY813" s="136"/>
      <c r="AZ813" s="136"/>
      <c r="BA813" s="136"/>
      <c r="BB813" s="136"/>
      <c r="BC813" s="136"/>
      <c r="BD813" s="136"/>
      <c r="BE813" s="136"/>
      <c r="BF813" s="136"/>
      <c r="BG813" s="136"/>
      <c r="BH813" s="136"/>
      <c r="BI813" s="136"/>
    </row>
    <row r="814" spans="1:61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  <c r="AA814" s="136"/>
      <c r="AB814" s="136"/>
      <c r="AC814" s="136"/>
      <c r="AD814" s="136"/>
      <c r="AE814" s="136"/>
      <c r="AF814" s="136"/>
      <c r="AG814" s="136"/>
      <c r="AH814" s="136"/>
      <c r="AI814" s="136"/>
      <c r="AJ814" s="136"/>
      <c r="AK814" s="136"/>
      <c r="AL814" s="136"/>
      <c r="AM814" s="136"/>
      <c r="AN814" s="136"/>
      <c r="AO814" s="136"/>
      <c r="AP814" s="136"/>
      <c r="AQ814" s="136"/>
      <c r="AR814" s="136"/>
      <c r="AS814" s="136"/>
      <c r="AT814" s="136"/>
      <c r="AU814" s="136"/>
      <c r="AV814" s="136"/>
      <c r="AW814" s="136"/>
      <c r="AX814" s="136"/>
      <c r="AY814" s="136"/>
      <c r="AZ814" s="136"/>
      <c r="BA814" s="136"/>
      <c r="BB814" s="136"/>
      <c r="BC814" s="136"/>
      <c r="BD814" s="136"/>
      <c r="BE814" s="136"/>
      <c r="BF814" s="136"/>
      <c r="BG814" s="136"/>
      <c r="BH814" s="136"/>
      <c r="BI814" s="136"/>
    </row>
    <row r="815" spans="1:61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  <c r="AA815" s="136"/>
      <c r="AB815" s="136"/>
      <c r="AC815" s="136"/>
      <c r="AD815" s="136"/>
      <c r="AE815" s="136"/>
      <c r="AF815" s="136"/>
      <c r="AG815" s="136"/>
      <c r="AH815" s="136"/>
      <c r="AI815" s="136"/>
      <c r="AJ815" s="136"/>
      <c r="AK815" s="136"/>
      <c r="AL815" s="136"/>
      <c r="AM815" s="136"/>
      <c r="AN815" s="136"/>
      <c r="AO815" s="136"/>
      <c r="AP815" s="136"/>
      <c r="AQ815" s="136"/>
      <c r="AR815" s="136"/>
      <c r="AS815" s="136"/>
      <c r="AT815" s="136"/>
      <c r="AU815" s="136"/>
      <c r="AV815" s="136"/>
      <c r="AW815" s="136"/>
      <c r="AX815" s="136"/>
      <c r="AY815" s="136"/>
      <c r="AZ815" s="136"/>
      <c r="BA815" s="136"/>
      <c r="BB815" s="136"/>
      <c r="BC815" s="136"/>
      <c r="BD815" s="136"/>
      <c r="BE815" s="136"/>
      <c r="BF815" s="136"/>
      <c r="BG815" s="136"/>
      <c r="BH815" s="136"/>
      <c r="BI815" s="136"/>
    </row>
    <row r="816" spans="1:61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  <c r="AA816" s="136"/>
      <c r="AB816" s="136"/>
      <c r="AC816" s="136"/>
      <c r="AD816" s="136"/>
      <c r="AE816" s="136"/>
      <c r="AF816" s="136"/>
      <c r="AG816" s="136"/>
      <c r="AH816" s="136"/>
      <c r="AI816" s="136"/>
      <c r="AJ816" s="136"/>
      <c r="AK816" s="136"/>
      <c r="AL816" s="136"/>
      <c r="AM816" s="136"/>
      <c r="AN816" s="136"/>
      <c r="AO816" s="136"/>
      <c r="AP816" s="136"/>
      <c r="AQ816" s="136"/>
      <c r="AR816" s="136"/>
      <c r="AS816" s="136"/>
      <c r="AT816" s="136"/>
      <c r="AU816" s="136"/>
      <c r="AV816" s="136"/>
      <c r="AW816" s="136"/>
      <c r="AX816" s="136"/>
      <c r="AY816" s="136"/>
      <c r="AZ816" s="136"/>
      <c r="BA816" s="136"/>
      <c r="BB816" s="136"/>
      <c r="BC816" s="136"/>
      <c r="BD816" s="136"/>
      <c r="BE816" s="136"/>
      <c r="BF816" s="136"/>
      <c r="BG816" s="136"/>
      <c r="BH816" s="136"/>
      <c r="BI816" s="136"/>
    </row>
    <row r="817" spans="1:61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  <c r="AA817" s="136"/>
      <c r="AB817" s="136"/>
      <c r="AC817" s="136"/>
      <c r="AD817" s="136"/>
      <c r="AE817" s="136"/>
      <c r="AF817" s="136"/>
      <c r="AG817" s="136"/>
      <c r="AH817" s="136"/>
      <c r="AI817" s="136"/>
      <c r="AJ817" s="136"/>
      <c r="AK817" s="136"/>
      <c r="AL817" s="136"/>
      <c r="AM817" s="136"/>
      <c r="AN817" s="136"/>
      <c r="AO817" s="136"/>
      <c r="AP817" s="136"/>
      <c r="AQ817" s="136"/>
      <c r="AR817" s="136"/>
      <c r="AS817" s="136"/>
      <c r="AT817" s="136"/>
      <c r="AU817" s="136"/>
      <c r="AV817" s="136"/>
      <c r="AW817" s="136"/>
      <c r="AX817" s="136"/>
      <c r="AY817" s="136"/>
      <c r="AZ817" s="136"/>
      <c r="BA817" s="136"/>
      <c r="BB817" s="136"/>
      <c r="BC817" s="136"/>
      <c r="BD817" s="136"/>
      <c r="BE817" s="136"/>
      <c r="BF817" s="136"/>
      <c r="BG817" s="136"/>
      <c r="BH817" s="136"/>
      <c r="BI817" s="136"/>
    </row>
    <row r="818" spans="1:61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  <c r="AA818" s="136"/>
      <c r="AB818" s="136"/>
      <c r="AC818" s="136"/>
      <c r="AD818" s="136"/>
      <c r="AE818" s="136"/>
      <c r="AF818" s="136"/>
      <c r="AG818" s="136"/>
      <c r="AH818" s="136"/>
      <c r="AI818" s="136"/>
      <c r="AJ818" s="136"/>
      <c r="AK818" s="136"/>
      <c r="AL818" s="136"/>
      <c r="AM818" s="136"/>
      <c r="AN818" s="136"/>
      <c r="AO818" s="136"/>
      <c r="AP818" s="136"/>
      <c r="AQ818" s="136"/>
      <c r="AR818" s="136"/>
      <c r="AS818" s="136"/>
      <c r="AT818" s="136"/>
      <c r="AU818" s="136"/>
      <c r="AV818" s="136"/>
      <c r="AW818" s="136"/>
      <c r="AX818" s="136"/>
      <c r="AY818" s="136"/>
      <c r="AZ818" s="136"/>
      <c r="BA818" s="136"/>
      <c r="BB818" s="136"/>
      <c r="BC818" s="136"/>
      <c r="BD818" s="136"/>
      <c r="BE818" s="136"/>
      <c r="BF818" s="136"/>
      <c r="BG818" s="136"/>
      <c r="BH818" s="136"/>
      <c r="BI818" s="136"/>
    </row>
    <row r="819" spans="1:61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  <c r="AA819" s="136"/>
      <c r="AB819" s="136"/>
      <c r="AC819" s="136"/>
      <c r="AD819" s="136"/>
      <c r="AE819" s="136"/>
      <c r="AF819" s="136"/>
      <c r="AG819" s="136"/>
      <c r="AH819" s="136"/>
      <c r="AI819" s="136"/>
      <c r="AJ819" s="136"/>
      <c r="AK819" s="136"/>
      <c r="AL819" s="136"/>
      <c r="AM819" s="136"/>
      <c r="AN819" s="136"/>
      <c r="AO819" s="136"/>
      <c r="AP819" s="136"/>
      <c r="AQ819" s="136"/>
      <c r="AR819" s="136"/>
      <c r="AS819" s="136"/>
      <c r="AT819" s="136"/>
      <c r="AU819" s="136"/>
      <c r="AV819" s="136"/>
      <c r="AW819" s="136"/>
      <c r="AX819" s="136"/>
      <c r="AY819" s="136"/>
      <c r="AZ819" s="136"/>
      <c r="BA819" s="136"/>
      <c r="BB819" s="136"/>
      <c r="BC819" s="136"/>
      <c r="BD819" s="136"/>
      <c r="BE819" s="136"/>
      <c r="BF819" s="136"/>
      <c r="BG819" s="136"/>
      <c r="BH819" s="136"/>
      <c r="BI819" s="136"/>
    </row>
    <row r="820" spans="1:61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  <c r="AA820" s="136"/>
      <c r="AB820" s="136"/>
      <c r="AC820" s="136"/>
      <c r="AD820" s="136"/>
      <c r="AE820" s="136"/>
      <c r="AF820" s="136"/>
      <c r="AG820" s="136"/>
      <c r="AH820" s="136"/>
      <c r="AI820" s="136"/>
      <c r="AJ820" s="136"/>
      <c r="AK820" s="136"/>
      <c r="AL820" s="136"/>
      <c r="AM820" s="136"/>
      <c r="AN820" s="136"/>
      <c r="AO820" s="136"/>
      <c r="AP820" s="136"/>
      <c r="AQ820" s="136"/>
      <c r="AR820" s="136"/>
      <c r="AS820" s="136"/>
      <c r="AT820" s="136"/>
      <c r="AU820" s="136"/>
      <c r="AV820" s="136"/>
      <c r="AW820" s="136"/>
      <c r="AX820" s="136"/>
      <c r="AY820" s="136"/>
      <c r="AZ820" s="136"/>
      <c r="BA820" s="136"/>
      <c r="BB820" s="136"/>
      <c r="BC820" s="136"/>
      <c r="BD820" s="136"/>
      <c r="BE820" s="136"/>
      <c r="BF820" s="136"/>
      <c r="BG820" s="136"/>
      <c r="BH820" s="136"/>
      <c r="BI820" s="136"/>
    </row>
    <row r="821" spans="1:61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  <c r="AA821" s="136"/>
      <c r="AB821" s="136"/>
      <c r="AC821" s="136"/>
      <c r="AD821" s="136"/>
      <c r="AE821" s="136"/>
      <c r="AF821" s="136"/>
      <c r="AG821" s="136"/>
      <c r="AH821" s="136"/>
      <c r="AI821" s="136"/>
      <c r="AJ821" s="136"/>
      <c r="AK821" s="136"/>
      <c r="AL821" s="136"/>
      <c r="AM821" s="136"/>
      <c r="AN821" s="136"/>
      <c r="AO821" s="136"/>
      <c r="AP821" s="136"/>
      <c r="AQ821" s="136"/>
      <c r="AR821" s="136"/>
      <c r="AS821" s="136"/>
      <c r="AT821" s="136"/>
      <c r="AU821" s="136"/>
      <c r="AV821" s="136"/>
      <c r="AW821" s="136"/>
      <c r="AX821" s="136"/>
      <c r="AY821" s="136"/>
      <c r="AZ821" s="136"/>
      <c r="BA821" s="136"/>
      <c r="BB821" s="136"/>
      <c r="BC821" s="136"/>
      <c r="BD821" s="136"/>
      <c r="BE821" s="136"/>
      <c r="BF821" s="136"/>
      <c r="BG821" s="136"/>
      <c r="BH821" s="136"/>
      <c r="BI821" s="136"/>
    </row>
    <row r="822" spans="1:61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  <c r="AA822" s="136"/>
      <c r="AB822" s="136"/>
      <c r="AC822" s="136"/>
      <c r="AD822" s="136"/>
      <c r="AE822" s="136"/>
      <c r="AF822" s="136"/>
      <c r="AG822" s="136"/>
      <c r="AH822" s="136"/>
      <c r="AI822" s="136"/>
      <c r="AJ822" s="136"/>
      <c r="AK822" s="136"/>
      <c r="AL822" s="136"/>
      <c r="AM822" s="136"/>
      <c r="AN822" s="136"/>
      <c r="AO822" s="136"/>
      <c r="AP822" s="136"/>
      <c r="AQ822" s="136"/>
      <c r="AR822" s="136"/>
      <c r="AS822" s="136"/>
      <c r="AT822" s="136"/>
      <c r="AU822" s="136"/>
      <c r="AV822" s="136"/>
      <c r="AW822" s="136"/>
      <c r="AX822" s="136"/>
      <c r="AY822" s="136"/>
      <c r="AZ822" s="136"/>
      <c r="BA822" s="136"/>
      <c r="BB822" s="136"/>
      <c r="BC822" s="136"/>
      <c r="BD822" s="136"/>
      <c r="BE822" s="136"/>
      <c r="BF822" s="136"/>
      <c r="BG822" s="136"/>
      <c r="BH822" s="136"/>
      <c r="BI822" s="136"/>
    </row>
    <row r="823" spans="1:61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  <c r="AA823" s="136"/>
      <c r="AB823" s="136"/>
      <c r="AC823" s="136"/>
      <c r="AD823" s="136"/>
      <c r="AE823" s="136"/>
      <c r="AF823" s="136"/>
      <c r="AG823" s="136"/>
      <c r="AH823" s="136"/>
      <c r="AI823" s="136"/>
      <c r="AJ823" s="136"/>
      <c r="AK823" s="136"/>
      <c r="AL823" s="136"/>
      <c r="AM823" s="136"/>
      <c r="AN823" s="136"/>
      <c r="AO823" s="136"/>
      <c r="AP823" s="136"/>
      <c r="AQ823" s="136"/>
      <c r="AR823" s="136"/>
      <c r="AS823" s="136"/>
      <c r="AT823" s="136"/>
      <c r="AU823" s="136"/>
      <c r="AV823" s="136"/>
      <c r="AW823" s="136"/>
      <c r="AX823" s="136"/>
      <c r="AY823" s="136"/>
      <c r="AZ823" s="136"/>
      <c r="BA823" s="136"/>
      <c r="BB823" s="136"/>
      <c r="BC823" s="136"/>
      <c r="BD823" s="136"/>
      <c r="BE823" s="136"/>
      <c r="BF823" s="136"/>
      <c r="BG823" s="136"/>
      <c r="BH823" s="136"/>
      <c r="BI823" s="136"/>
    </row>
    <row r="824" spans="1:61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  <c r="AA824" s="136"/>
      <c r="AB824" s="136"/>
      <c r="AC824" s="136"/>
      <c r="AD824" s="136"/>
      <c r="AE824" s="136"/>
      <c r="AF824" s="136"/>
      <c r="AG824" s="136"/>
      <c r="AH824" s="136"/>
      <c r="AI824" s="136"/>
      <c r="AJ824" s="136"/>
      <c r="AK824" s="136"/>
      <c r="AL824" s="136"/>
      <c r="AM824" s="136"/>
      <c r="AN824" s="136"/>
      <c r="AO824" s="136"/>
      <c r="AP824" s="136"/>
      <c r="AQ824" s="136"/>
      <c r="AR824" s="136"/>
      <c r="AS824" s="136"/>
      <c r="AT824" s="136"/>
      <c r="AU824" s="136"/>
      <c r="AV824" s="136"/>
      <c r="AW824" s="136"/>
      <c r="AX824" s="136"/>
      <c r="AY824" s="136"/>
      <c r="AZ824" s="136"/>
      <c r="BA824" s="136"/>
      <c r="BB824" s="136"/>
      <c r="BC824" s="136"/>
      <c r="BD824" s="136"/>
      <c r="BE824" s="136"/>
      <c r="BF824" s="136"/>
      <c r="BG824" s="136"/>
      <c r="BH824" s="136"/>
      <c r="BI824" s="136"/>
    </row>
    <row r="825" spans="1:61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  <c r="AA825" s="136"/>
      <c r="AB825" s="136"/>
      <c r="AC825" s="136"/>
      <c r="AD825" s="136"/>
      <c r="AE825" s="136"/>
      <c r="AF825" s="136"/>
      <c r="AG825" s="136"/>
      <c r="AH825" s="136"/>
      <c r="AI825" s="136"/>
      <c r="AJ825" s="136"/>
      <c r="AK825" s="136"/>
      <c r="AL825" s="136"/>
      <c r="AM825" s="136"/>
      <c r="AN825" s="136"/>
      <c r="AO825" s="136"/>
      <c r="AP825" s="136"/>
      <c r="AQ825" s="136"/>
      <c r="AR825" s="136"/>
      <c r="AS825" s="136"/>
      <c r="AT825" s="136"/>
      <c r="AU825" s="136"/>
      <c r="AV825" s="136"/>
      <c r="AW825" s="136"/>
      <c r="AX825" s="136"/>
      <c r="AY825" s="136"/>
      <c r="AZ825" s="136"/>
      <c r="BA825" s="136"/>
      <c r="BB825" s="136"/>
      <c r="BC825" s="136"/>
      <c r="BD825" s="136"/>
      <c r="BE825" s="136"/>
      <c r="BF825" s="136"/>
      <c r="BG825" s="136"/>
      <c r="BH825" s="136"/>
      <c r="BI825" s="136"/>
    </row>
    <row r="826" spans="1:61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  <c r="AA826" s="136"/>
      <c r="AB826" s="136"/>
      <c r="AC826" s="136"/>
      <c r="AD826" s="136"/>
      <c r="AE826" s="136"/>
      <c r="AF826" s="136"/>
      <c r="AG826" s="136"/>
      <c r="AH826" s="136"/>
      <c r="AI826" s="136"/>
      <c r="AJ826" s="136"/>
      <c r="AK826" s="136"/>
      <c r="AL826" s="136"/>
      <c r="AM826" s="136"/>
      <c r="AN826" s="136"/>
      <c r="AO826" s="136"/>
      <c r="AP826" s="136"/>
      <c r="AQ826" s="136"/>
      <c r="AR826" s="136"/>
      <c r="AS826" s="136"/>
      <c r="AT826" s="136"/>
      <c r="AU826" s="136"/>
      <c r="AV826" s="136"/>
      <c r="AW826" s="136"/>
      <c r="AX826" s="136"/>
      <c r="AY826" s="136"/>
      <c r="AZ826" s="136"/>
      <c r="BA826" s="136"/>
      <c r="BB826" s="136"/>
      <c r="BC826" s="136"/>
      <c r="BD826" s="136"/>
      <c r="BE826" s="136"/>
      <c r="BF826" s="136"/>
      <c r="BG826" s="136"/>
      <c r="BH826" s="136"/>
      <c r="BI826" s="136"/>
    </row>
    <row r="827" spans="1:61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6"/>
      <c r="BA827" s="136"/>
      <c r="BB827" s="136"/>
      <c r="BC827" s="136"/>
      <c r="BD827" s="136"/>
      <c r="BE827" s="136"/>
      <c r="BF827" s="136"/>
      <c r="BG827" s="136"/>
      <c r="BH827" s="136"/>
      <c r="BI827" s="136"/>
    </row>
    <row r="828" spans="1:61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  <c r="AA828" s="136"/>
      <c r="AB828" s="136"/>
      <c r="AC828" s="136"/>
      <c r="AD828" s="136"/>
      <c r="AE828" s="136"/>
      <c r="AF828" s="136"/>
      <c r="AG828" s="136"/>
      <c r="AH828" s="136"/>
      <c r="AI828" s="136"/>
      <c r="AJ828" s="136"/>
      <c r="AK828" s="136"/>
      <c r="AL828" s="136"/>
      <c r="AM828" s="136"/>
      <c r="AN828" s="136"/>
      <c r="AO828" s="136"/>
      <c r="AP828" s="136"/>
      <c r="AQ828" s="136"/>
      <c r="AR828" s="136"/>
      <c r="AS828" s="136"/>
      <c r="AT828" s="136"/>
      <c r="AU828" s="136"/>
      <c r="AV828" s="136"/>
      <c r="AW828" s="136"/>
      <c r="AX828" s="136"/>
      <c r="AY828" s="136"/>
      <c r="AZ828" s="136"/>
      <c r="BA828" s="136"/>
      <c r="BB828" s="136"/>
      <c r="BC828" s="136"/>
      <c r="BD828" s="136"/>
      <c r="BE828" s="136"/>
      <c r="BF828" s="136"/>
      <c r="BG828" s="136"/>
      <c r="BH828" s="136"/>
      <c r="BI828" s="136"/>
    </row>
    <row r="829" spans="1:61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  <c r="AA829" s="136"/>
      <c r="AB829" s="136"/>
      <c r="AC829" s="136"/>
      <c r="AD829" s="136"/>
      <c r="AE829" s="136"/>
      <c r="AF829" s="136"/>
      <c r="AG829" s="136"/>
      <c r="AH829" s="136"/>
      <c r="AI829" s="136"/>
      <c r="AJ829" s="136"/>
      <c r="AK829" s="136"/>
      <c r="AL829" s="136"/>
      <c r="AM829" s="136"/>
      <c r="AN829" s="136"/>
      <c r="AO829" s="136"/>
      <c r="AP829" s="136"/>
      <c r="AQ829" s="136"/>
      <c r="AR829" s="136"/>
      <c r="AS829" s="136"/>
      <c r="AT829" s="136"/>
      <c r="AU829" s="136"/>
      <c r="AV829" s="136"/>
      <c r="AW829" s="136"/>
      <c r="AX829" s="136"/>
      <c r="AY829" s="136"/>
      <c r="AZ829" s="136"/>
      <c r="BA829" s="136"/>
      <c r="BB829" s="136"/>
      <c r="BC829" s="136"/>
      <c r="BD829" s="136"/>
      <c r="BE829" s="136"/>
      <c r="BF829" s="136"/>
      <c r="BG829" s="136"/>
      <c r="BH829" s="136"/>
      <c r="BI829" s="136"/>
    </row>
    <row r="830" spans="1:61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  <c r="AA830" s="136"/>
      <c r="AB830" s="136"/>
      <c r="AC830" s="136"/>
      <c r="AD830" s="136"/>
      <c r="AE830" s="136"/>
      <c r="AF830" s="136"/>
      <c r="AG830" s="136"/>
      <c r="AH830" s="136"/>
      <c r="AI830" s="136"/>
      <c r="AJ830" s="136"/>
      <c r="AK830" s="136"/>
      <c r="AL830" s="136"/>
      <c r="AM830" s="136"/>
      <c r="AN830" s="136"/>
      <c r="AO830" s="136"/>
      <c r="AP830" s="136"/>
      <c r="AQ830" s="136"/>
      <c r="AR830" s="136"/>
      <c r="AS830" s="136"/>
      <c r="AT830" s="136"/>
      <c r="AU830" s="136"/>
      <c r="AV830" s="136"/>
      <c r="AW830" s="136"/>
      <c r="AX830" s="136"/>
      <c r="AY830" s="136"/>
      <c r="AZ830" s="136"/>
      <c r="BA830" s="136"/>
      <c r="BB830" s="136"/>
      <c r="BC830" s="136"/>
      <c r="BD830" s="136"/>
      <c r="BE830" s="136"/>
      <c r="BF830" s="136"/>
      <c r="BG830" s="136"/>
      <c r="BH830" s="136"/>
      <c r="BI830" s="136"/>
    </row>
    <row r="831" spans="1:61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  <c r="AA831" s="136"/>
      <c r="AB831" s="136"/>
      <c r="AC831" s="136"/>
      <c r="AD831" s="136"/>
      <c r="AE831" s="136"/>
      <c r="AF831" s="136"/>
      <c r="AG831" s="136"/>
      <c r="AH831" s="136"/>
      <c r="AI831" s="136"/>
      <c r="AJ831" s="136"/>
      <c r="AK831" s="136"/>
      <c r="AL831" s="136"/>
      <c r="AM831" s="136"/>
      <c r="AN831" s="136"/>
      <c r="AO831" s="136"/>
      <c r="AP831" s="136"/>
      <c r="AQ831" s="136"/>
      <c r="AR831" s="136"/>
      <c r="AS831" s="136"/>
      <c r="AT831" s="136"/>
      <c r="AU831" s="136"/>
      <c r="AV831" s="136"/>
      <c r="AW831" s="136"/>
      <c r="AX831" s="136"/>
      <c r="AY831" s="136"/>
      <c r="AZ831" s="136"/>
      <c r="BA831" s="136"/>
      <c r="BB831" s="136"/>
      <c r="BC831" s="136"/>
      <c r="BD831" s="136"/>
      <c r="BE831" s="136"/>
      <c r="BF831" s="136"/>
      <c r="BG831" s="136"/>
      <c r="BH831" s="136"/>
      <c r="BI831" s="136"/>
    </row>
    <row r="832" spans="1:61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  <c r="AA832" s="136"/>
      <c r="AB832" s="136"/>
      <c r="AC832" s="136"/>
      <c r="AD832" s="136"/>
      <c r="AE832" s="136"/>
      <c r="AF832" s="136"/>
      <c r="AG832" s="136"/>
      <c r="AH832" s="136"/>
      <c r="AI832" s="136"/>
      <c r="AJ832" s="136"/>
      <c r="AK832" s="136"/>
      <c r="AL832" s="136"/>
      <c r="AM832" s="136"/>
      <c r="AN832" s="136"/>
      <c r="AO832" s="136"/>
      <c r="AP832" s="136"/>
      <c r="AQ832" s="136"/>
      <c r="AR832" s="136"/>
      <c r="AS832" s="136"/>
      <c r="AT832" s="136"/>
      <c r="AU832" s="136"/>
      <c r="AV832" s="136"/>
      <c r="AW832" s="136"/>
      <c r="AX832" s="136"/>
      <c r="AY832" s="136"/>
      <c r="AZ832" s="136"/>
      <c r="BA832" s="136"/>
      <c r="BB832" s="136"/>
      <c r="BC832" s="136"/>
      <c r="BD832" s="136"/>
      <c r="BE832" s="136"/>
      <c r="BF832" s="136"/>
      <c r="BG832" s="136"/>
      <c r="BH832" s="136"/>
      <c r="BI832" s="136"/>
    </row>
    <row r="833" spans="1:61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  <c r="AA833" s="136"/>
      <c r="AB833" s="136"/>
      <c r="AC833" s="136"/>
      <c r="AD833" s="136"/>
      <c r="AE833" s="136"/>
      <c r="AF833" s="136"/>
      <c r="AG833" s="136"/>
      <c r="AH833" s="136"/>
      <c r="AI833" s="136"/>
      <c r="AJ833" s="136"/>
      <c r="AK833" s="136"/>
      <c r="AL833" s="136"/>
      <c r="AM833" s="136"/>
      <c r="AN833" s="136"/>
      <c r="AO833" s="136"/>
      <c r="AP833" s="136"/>
      <c r="AQ833" s="136"/>
      <c r="AR833" s="136"/>
      <c r="AS833" s="136"/>
      <c r="AT833" s="136"/>
      <c r="AU833" s="136"/>
      <c r="AV833" s="136"/>
      <c r="AW833" s="136"/>
      <c r="AX833" s="136"/>
      <c r="AY833" s="136"/>
      <c r="AZ833" s="136"/>
      <c r="BA833" s="136"/>
      <c r="BB833" s="136"/>
      <c r="BC833" s="136"/>
      <c r="BD833" s="136"/>
      <c r="BE833" s="136"/>
      <c r="BF833" s="136"/>
      <c r="BG833" s="136"/>
      <c r="BH833" s="136"/>
      <c r="BI833" s="136"/>
    </row>
    <row r="834" spans="1:61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  <c r="AA834" s="136"/>
      <c r="AB834" s="136"/>
      <c r="AC834" s="136"/>
      <c r="AD834" s="136"/>
      <c r="AE834" s="136"/>
      <c r="AF834" s="136"/>
      <c r="AG834" s="136"/>
      <c r="AH834" s="136"/>
      <c r="AI834" s="136"/>
      <c r="AJ834" s="136"/>
      <c r="AK834" s="136"/>
      <c r="AL834" s="136"/>
      <c r="AM834" s="136"/>
      <c r="AN834" s="136"/>
      <c r="AO834" s="136"/>
      <c r="AP834" s="136"/>
      <c r="AQ834" s="136"/>
      <c r="AR834" s="136"/>
      <c r="AS834" s="136"/>
      <c r="AT834" s="136"/>
      <c r="AU834" s="136"/>
      <c r="AV834" s="136"/>
      <c r="AW834" s="136"/>
      <c r="AX834" s="136"/>
      <c r="AY834" s="136"/>
      <c r="AZ834" s="136"/>
      <c r="BA834" s="136"/>
      <c r="BB834" s="136"/>
      <c r="BC834" s="136"/>
      <c r="BD834" s="136"/>
      <c r="BE834" s="136"/>
      <c r="BF834" s="136"/>
      <c r="BG834" s="136"/>
      <c r="BH834" s="136"/>
      <c r="BI834" s="136"/>
    </row>
    <row r="835" spans="1:61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  <c r="AA835" s="136"/>
      <c r="AB835" s="136"/>
      <c r="AC835" s="136"/>
      <c r="AD835" s="136"/>
      <c r="AE835" s="136"/>
      <c r="AF835" s="136"/>
      <c r="AG835" s="136"/>
      <c r="AH835" s="136"/>
      <c r="AI835" s="136"/>
      <c r="AJ835" s="136"/>
      <c r="AK835" s="136"/>
      <c r="AL835" s="136"/>
      <c r="AM835" s="136"/>
      <c r="AN835" s="136"/>
      <c r="AO835" s="136"/>
      <c r="AP835" s="136"/>
      <c r="AQ835" s="136"/>
      <c r="AR835" s="136"/>
      <c r="AS835" s="136"/>
      <c r="AT835" s="136"/>
      <c r="AU835" s="136"/>
      <c r="AV835" s="136"/>
      <c r="AW835" s="136"/>
      <c r="AX835" s="136"/>
      <c r="AY835" s="136"/>
      <c r="AZ835" s="136"/>
      <c r="BA835" s="136"/>
      <c r="BB835" s="136"/>
      <c r="BC835" s="136"/>
      <c r="BD835" s="136"/>
      <c r="BE835" s="136"/>
      <c r="BF835" s="136"/>
      <c r="BG835" s="136"/>
      <c r="BH835" s="136"/>
      <c r="BI835" s="136"/>
    </row>
    <row r="836" spans="1:61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  <c r="AA836" s="136"/>
      <c r="AB836" s="136"/>
      <c r="AC836" s="136"/>
      <c r="AD836" s="136"/>
      <c r="AE836" s="136"/>
      <c r="AF836" s="136"/>
      <c r="AG836" s="136"/>
      <c r="AH836" s="136"/>
      <c r="AI836" s="136"/>
      <c r="AJ836" s="136"/>
      <c r="AK836" s="136"/>
      <c r="AL836" s="136"/>
      <c r="AM836" s="136"/>
      <c r="AN836" s="136"/>
      <c r="AO836" s="136"/>
      <c r="AP836" s="136"/>
      <c r="AQ836" s="136"/>
      <c r="AR836" s="136"/>
      <c r="AS836" s="136"/>
      <c r="AT836" s="136"/>
      <c r="AU836" s="136"/>
      <c r="AV836" s="136"/>
      <c r="AW836" s="136"/>
      <c r="AX836" s="136"/>
      <c r="AY836" s="136"/>
      <c r="AZ836" s="136"/>
      <c r="BA836" s="136"/>
      <c r="BB836" s="136"/>
      <c r="BC836" s="136"/>
      <c r="BD836" s="136"/>
      <c r="BE836" s="136"/>
      <c r="BF836" s="136"/>
      <c r="BG836" s="136"/>
      <c r="BH836" s="136"/>
      <c r="BI836" s="136"/>
    </row>
    <row r="837" spans="1:61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  <c r="AA837" s="136"/>
      <c r="AB837" s="136"/>
      <c r="AC837" s="136"/>
      <c r="AD837" s="136"/>
      <c r="AE837" s="136"/>
      <c r="AF837" s="136"/>
      <c r="AG837" s="136"/>
      <c r="AH837" s="136"/>
      <c r="AI837" s="136"/>
      <c r="AJ837" s="136"/>
      <c r="AK837" s="136"/>
      <c r="AL837" s="136"/>
      <c r="AM837" s="136"/>
      <c r="AN837" s="136"/>
      <c r="AO837" s="136"/>
      <c r="AP837" s="136"/>
      <c r="AQ837" s="136"/>
      <c r="AR837" s="136"/>
      <c r="AS837" s="136"/>
      <c r="AT837" s="136"/>
      <c r="AU837" s="136"/>
      <c r="AV837" s="136"/>
      <c r="AW837" s="136"/>
      <c r="AX837" s="136"/>
      <c r="AY837" s="136"/>
      <c r="AZ837" s="136"/>
      <c r="BA837" s="136"/>
      <c r="BB837" s="136"/>
      <c r="BC837" s="136"/>
      <c r="BD837" s="136"/>
      <c r="BE837" s="136"/>
      <c r="BF837" s="136"/>
      <c r="BG837" s="136"/>
      <c r="BH837" s="136"/>
      <c r="BI837" s="136"/>
    </row>
    <row r="838" spans="1:61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  <c r="AA838" s="136"/>
      <c r="AB838" s="136"/>
      <c r="AC838" s="136"/>
      <c r="AD838" s="136"/>
      <c r="AE838" s="136"/>
      <c r="AF838" s="136"/>
      <c r="AG838" s="136"/>
      <c r="AH838" s="136"/>
      <c r="AI838" s="136"/>
      <c r="AJ838" s="136"/>
      <c r="AK838" s="136"/>
      <c r="AL838" s="136"/>
      <c r="AM838" s="136"/>
      <c r="AN838" s="136"/>
      <c r="AO838" s="136"/>
      <c r="AP838" s="136"/>
      <c r="AQ838" s="136"/>
      <c r="AR838" s="136"/>
      <c r="AS838" s="136"/>
      <c r="AT838" s="136"/>
      <c r="AU838" s="136"/>
      <c r="AV838" s="136"/>
      <c r="AW838" s="136"/>
      <c r="AX838" s="136"/>
      <c r="AY838" s="136"/>
      <c r="AZ838" s="136"/>
      <c r="BA838" s="136"/>
      <c r="BB838" s="136"/>
      <c r="BC838" s="136"/>
      <c r="BD838" s="136"/>
      <c r="BE838" s="136"/>
      <c r="BF838" s="136"/>
      <c r="BG838" s="136"/>
      <c r="BH838" s="136"/>
      <c r="BI838" s="136"/>
    </row>
    <row r="839" spans="1:61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  <c r="AA839" s="136"/>
      <c r="AB839" s="136"/>
      <c r="AC839" s="136"/>
      <c r="AD839" s="136"/>
      <c r="AE839" s="136"/>
      <c r="AF839" s="136"/>
      <c r="AG839" s="136"/>
      <c r="AH839" s="136"/>
      <c r="AI839" s="136"/>
      <c r="AJ839" s="136"/>
      <c r="AK839" s="136"/>
      <c r="AL839" s="136"/>
      <c r="AM839" s="136"/>
      <c r="AN839" s="136"/>
      <c r="AO839" s="136"/>
      <c r="AP839" s="136"/>
      <c r="AQ839" s="136"/>
      <c r="AR839" s="136"/>
      <c r="AS839" s="136"/>
      <c r="AT839" s="136"/>
      <c r="AU839" s="136"/>
      <c r="AV839" s="136"/>
      <c r="AW839" s="136"/>
      <c r="AX839" s="136"/>
      <c r="AY839" s="136"/>
      <c r="AZ839" s="136"/>
      <c r="BA839" s="136"/>
      <c r="BB839" s="136"/>
      <c r="BC839" s="136"/>
      <c r="BD839" s="136"/>
      <c r="BE839" s="136"/>
      <c r="BF839" s="136"/>
      <c r="BG839" s="136"/>
      <c r="BH839" s="136"/>
      <c r="BI839" s="136"/>
    </row>
    <row r="840" spans="1:61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  <c r="AA840" s="136"/>
      <c r="AB840" s="136"/>
      <c r="AC840" s="136"/>
      <c r="AD840" s="136"/>
      <c r="AE840" s="136"/>
      <c r="AF840" s="136"/>
      <c r="AG840" s="136"/>
      <c r="AH840" s="136"/>
      <c r="AI840" s="136"/>
      <c r="AJ840" s="136"/>
      <c r="AK840" s="136"/>
      <c r="AL840" s="136"/>
      <c r="AM840" s="136"/>
      <c r="AN840" s="136"/>
      <c r="AO840" s="136"/>
      <c r="AP840" s="136"/>
      <c r="AQ840" s="136"/>
      <c r="AR840" s="136"/>
      <c r="AS840" s="136"/>
      <c r="AT840" s="136"/>
      <c r="AU840" s="136"/>
      <c r="AV840" s="136"/>
      <c r="AW840" s="136"/>
      <c r="AX840" s="136"/>
      <c r="AY840" s="136"/>
      <c r="AZ840" s="136"/>
      <c r="BA840" s="136"/>
      <c r="BB840" s="136"/>
      <c r="BC840" s="136"/>
      <c r="BD840" s="136"/>
      <c r="BE840" s="136"/>
      <c r="BF840" s="136"/>
      <c r="BG840" s="136"/>
      <c r="BH840" s="136"/>
      <c r="BI840" s="136"/>
    </row>
    <row r="841" spans="1:61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  <c r="AA841" s="136"/>
      <c r="AB841" s="136"/>
      <c r="AC841" s="136"/>
      <c r="AD841" s="136"/>
      <c r="AE841" s="136"/>
      <c r="AF841" s="136"/>
      <c r="AG841" s="136"/>
      <c r="AH841" s="136"/>
      <c r="AI841" s="136"/>
      <c r="AJ841" s="136"/>
      <c r="AK841" s="136"/>
      <c r="AL841" s="136"/>
      <c r="AM841" s="136"/>
      <c r="AN841" s="136"/>
      <c r="AO841" s="136"/>
      <c r="AP841" s="136"/>
      <c r="AQ841" s="136"/>
      <c r="AR841" s="136"/>
      <c r="AS841" s="136"/>
      <c r="AT841" s="136"/>
      <c r="AU841" s="136"/>
      <c r="AV841" s="136"/>
      <c r="AW841" s="136"/>
      <c r="AX841" s="136"/>
      <c r="AY841" s="136"/>
      <c r="AZ841" s="136"/>
      <c r="BA841" s="136"/>
      <c r="BB841" s="136"/>
      <c r="BC841" s="136"/>
      <c r="BD841" s="136"/>
      <c r="BE841" s="136"/>
      <c r="BF841" s="136"/>
      <c r="BG841" s="136"/>
      <c r="BH841" s="136"/>
      <c r="BI841" s="136"/>
    </row>
    <row r="842" spans="1:61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  <c r="AA842" s="136"/>
      <c r="AB842" s="136"/>
      <c r="AC842" s="136"/>
      <c r="AD842" s="136"/>
      <c r="AE842" s="136"/>
      <c r="AF842" s="136"/>
      <c r="AG842" s="136"/>
      <c r="AH842" s="136"/>
      <c r="AI842" s="136"/>
      <c r="AJ842" s="136"/>
      <c r="AK842" s="136"/>
      <c r="AL842" s="136"/>
      <c r="AM842" s="136"/>
      <c r="AN842" s="136"/>
      <c r="AO842" s="136"/>
      <c r="AP842" s="136"/>
      <c r="AQ842" s="136"/>
      <c r="AR842" s="136"/>
      <c r="AS842" s="136"/>
      <c r="AT842" s="136"/>
      <c r="AU842" s="136"/>
      <c r="AV842" s="136"/>
      <c r="AW842" s="136"/>
      <c r="AX842" s="136"/>
      <c r="AY842" s="136"/>
      <c r="AZ842" s="136"/>
      <c r="BA842" s="136"/>
      <c r="BB842" s="136"/>
      <c r="BC842" s="136"/>
      <c r="BD842" s="136"/>
      <c r="BE842" s="136"/>
      <c r="BF842" s="136"/>
      <c r="BG842" s="136"/>
      <c r="BH842" s="136"/>
      <c r="BI842" s="136"/>
    </row>
    <row r="843" spans="1:61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  <c r="AA843" s="136"/>
      <c r="AB843" s="136"/>
      <c r="AC843" s="136"/>
      <c r="AD843" s="136"/>
      <c r="AE843" s="136"/>
      <c r="AF843" s="136"/>
      <c r="AG843" s="136"/>
      <c r="AH843" s="136"/>
      <c r="AI843" s="136"/>
      <c r="AJ843" s="136"/>
      <c r="AK843" s="136"/>
      <c r="AL843" s="136"/>
      <c r="AM843" s="136"/>
      <c r="AN843" s="136"/>
      <c r="AO843" s="136"/>
      <c r="AP843" s="136"/>
      <c r="AQ843" s="136"/>
      <c r="AR843" s="136"/>
      <c r="AS843" s="136"/>
      <c r="AT843" s="136"/>
      <c r="AU843" s="136"/>
      <c r="AV843" s="136"/>
      <c r="AW843" s="136"/>
      <c r="AX843" s="136"/>
      <c r="AY843" s="136"/>
      <c r="AZ843" s="136"/>
      <c r="BA843" s="136"/>
      <c r="BB843" s="136"/>
      <c r="BC843" s="136"/>
      <c r="BD843" s="136"/>
      <c r="BE843" s="136"/>
      <c r="BF843" s="136"/>
      <c r="BG843" s="136"/>
      <c r="BH843" s="136"/>
      <c r="BI843" s="136"/>
    </row>
    <row r="844" spans="1:61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  <c r="AA844" s="136"/>
      <c r="AB844" s="136"/>
      <c r="AC844" s="136"/>
      <c r="AD844" s="136"/>
      <c r="AE844" s="136"/>
      <c r="AF844" s="136"/>
      <c r="AG844" s="136"/>
      <c r="AH844" s="136"/>
      <c r="AI844" s="136"/>
      <c r="AJ844" s="136"/>
      <c r="AK844" s="136"/>
      <c r="AL844" s="136"/>
      <c r="AM844" s="136"/>
      <c r="AN844" s="136"/>
      <c r="AO844" s="136"/>
      <c r="AP844" s="136"/>
      <c r="AQ844" s="136"/>
      <c r="AR844" s="136"/>
      <c r="AS844" s="136"/>
      <c r="AT844" s="136"/>
      <c r="AU844" s="136"/>
      <c r="AV844" s="136"/>
      <c r="AW844" s="136"/>
      <c r="AX844" s="136"/>
      <c r="AY844" s="136"/>
      <c r="AZ844" s="136"/>
      <c r="BA844" s="136"/>
      <c r="BB844" s="136"/>
      <c r="BC844" s="136"/>
      <c r="BD844" s="136"/>
      <c r="BE844" s="136"/>
      <c r="BF844" s="136"/>
      <c r="BG844" s="136"/>
      <c r="BH844" s="136"/>
      <c r="BI844" s="136"/>
    </row>
    <row r="845" spans="1:61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  <c r="AA845" s="136"/>
      <c r="AB845" s="136"/>
      <c r="AC845" s="136"/>
      <c r="AD845" s="136"/>
      <c r="AE845" s="136"/>
      <c r="AF845" s="136"/>
      <c r="AG845" s="136"/>
      <c r="AH845" s="136"/>
      <c r="AI845" s="136"/>
      <c r="AJ845" s="136"/>
      <c r="AK845" s="136"/>
      <c r="AL845" s="136"/>
      <c r="AM845" s="136"/>
      <c r="AN845" s="136"/>
      <c r="AO845" s="136"/>
      <c r="AP845" s="136"/>
      <c r="AQ845" s="136"/>
      <c r="AR845" s="136"/>
      <c r="AS845" s="136"/>
      <c r="AT845" s="136"/>
      <c r="AU845" s="136"/>
      <c r="AV845" s="136"/>
      <c r="AW845" s="136"/>
      <c r="AX845" s="136"/>
      <c r="AY845" s="136"/>
      <c r="AZ845" s="136"/>
      <c r="BA845" s="136"/>
      <c r="BB845" s="136"/>
      <c r="BC845" s="136"/>
      <c r="BD845" s="136"/>
      <c r="BE845" s="136"/>
      <c r="BF845" s="136"/>
      <c r="BG845" s="136"/>
      <c r="BH845" s="136"/>
      <c r="BI845" s="136"/>
    </row>
    <row r="846" spans="1:61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  <c r="AA846" s="136"/>
      <c r="AB846" s="136"/>
      <c r="AC846" s="136"/>
      <c r="AD846" s="136"/>
      <c r="AE846" s="136"/>
      <c r="AF846" s="136"/>
      <c r="AG846" s="136"/>
      <c r="AH846" s="136"/>
      <c r="AI846" s="136"/>
      <c r="AJ846" s="136"/>
      <c r="AK846" s="136"/>
      <c r="AL846" s="136"/>
      <c r="AM846" s="136"/>
      <c r="AN846" s="136"/>
      <c r="AO846" s="136"/>
      <c r="AP846" s="136"/>
      <c r="AQ846" s="136"/>
      <c r="AR846" s="136"/>
      <c r="AS846" s="136"/>
      <c r="AT846" s="136"/>
      <c r="AU846" s="136"/>
      <c r="AV846" s="136"/>
      <c r="AW846" s="136"/>
      <c r="AX846" s="136"/>
      <c r="AY846" s="136"/>
      <c r="AZ846" s="136"/>
      <c r="BA846" s="136"/>
      <c r="BB846" s="136"/>
      <c r="BC846" s="136"/>
      <c r="BD846" s="136"/>
      <c r="BE846" s="136"/>
      <c r="BF846" s="136"/>
      <c r="BG846" s="136"/>
      <c r="BH846" s="136"/>
      <c r="BI846" s="136"/>
    </row>
    <row r="847" spans="1:61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  <c r="AA847" s="136"/>
      <c r="AB847" s="136"/>
      <c r="AC847" s="136"/>
      <c r="AD847" s="136"/>
      <c r="AE847" s="136"/>
      <c r="AF847" s="136"/>
      <c r="AG847" s="136"/>
      <c r="AH847" s="136"/>
      <c r="AI847" s="136"/>
      <c r="AJ847" s="136"/>
      <c r="AK847" s="136"/>
      <c r="AL847" s="136"/>
      <c r="AM847" s="136"/>
      <c r="AN847" s="136"/>
      <c r="AO847" s="136"/>
      <c r="AP847" s="136"/>
      <c r="AQ847" s="136"/>
      <c r="AR847" s="136"/>
      <c r="AS847" s="136"/>
      <c r="AT847" s="136"/>
      <c r="AU847" s="136"/>
      <c r="AV847" s="136"/>
      <c r="AW847" s="136"/>
      <c r="AX847" s="136"/>
      <c r="AY847" s="136"/>
      <c r="AZ847" s="136"/>
      <c r="BA847" s="136"/>
      <c r="BB847" s="136"/>
      <c r="BC847" s="136"/>
      <c r="BD847" s="136"/>
      <c r="BE847" s="136"/>
      <c r="BF847" s="136"/>
      <c r="BG847" s="136"/>
      <c r="BH847" s="136"/>
      <c r="BI847" s="136"/>
    </row>
    <row r="848" spans="1:61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  <c r="AA848" s="136"/>
      <c r="AB848" s="136"/>
      <c r="AC848" s="136"/>
      <c r="AD848" s="136"/>
      <c r="AE848" s="136"/>
      <c r="AF848" s="136"/>
      <c r="AG848" s="136"/>
      <c r="AH848" s="136"/>
      <c r="AI848" s="136"/>
      <c r="AJ848" s="136"/>
      <c r="AK848" s="136"/>
      <c r="AL848" s="136"/>
      <c r="AM848" s="136"/>
      <c r="AN848" s="136"/>
      <c r="AO848" s="136"/>
      <c r="AP848" s="136"/>
      <c r="AQ848" s="136"/>
      <c r="AR848" s="136"/>
      <c r="AS848" s="136"/>
      <c r="AT848" s="136"/>
      <c r="AU848" s="136"/>
      <c r="AV848" s="136"/>
      <c r="AW848" s="136"/>
      <c r="AX848" s="136"/>
      <c r="AY848" s="136"/>
      <c r="AZ848" s="136"/>
      <c r="BA848" s="136"/>
      <c r="BB848" s="136"/>
      <c r="BC848" s="136"/>
      <c r="BD848" s="136"/>
      <c r="BE848" s="136"/>
      <c r="BF848" s="136"/>
      <c r="BG848" s="136"/>
      <c r="BH848" s="136"/>
      <c r="BI848" s="136"/>
    </row>
    <row r="849" spans="1:61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  <c r="AA849" s="136"/>
      <c r="AB849" s="136"/>
      <c r="AC849" s="136"/>
      <c r="AD849" s="136"/>
      <c r="AE849" s="136"/>
      <c r="AF849" s="136"/>
      <c r="AG849" s="136"/>
      <c r="AH849" s="136"/>
      <c r="AI849" s="136"/>
      <c r="AJ849" s="136"/>
      <c r="AK849" s="136"/>
      <c r="AL849" s="136"/>
      <c r="AM849" s="136"/>
      <c r="AN849" s="136"/>
      <c r="AO849" s="136"/>
      <c r="AP849" s="136"/>
      <c r="AQ849" s="136"/>
      <c r="AR849" s="136"/>
      <c r="AS849" s="136"/>
      <c r="AT849" s="136"/>
      <c r="AU849" s="136"/>
      <c r="AV849" s="136"/>
      <c r="AW849" s="136"/>
      <c r="AX849" s="136"/>
      <c r="AY849" s="136"/>
      <c r="AZ849" s="136"/>
      <c r="BA849" s="136"/>
      <c r="BB849" s="136"/>
      <c r="BC849" s="136"/>
      <c r="BD849" s="136"/>
      <c r="BE849" s="136"/>
      <c r="BF849" s="136"/>
      <c r="BG849" s="136"/>
      <c r="BH849" s="136"/>
      <c r="BI849" s="136"/>
    </row>
    <row r="850" spans="1:61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  <c r="AA850" s="136"/>
      <c r="AB850" s="136"/>
      <c r="AC850" s="136"/>
      <c r="AD850" s="136"/>
      <c r="AE850" s="136"/>
      <c r="AF850" s="136"/>
      <c r="AG850" s="136"/>
      <c r="AH850" s="136"/>
      <c r="AI850" s="136"/>
      <c r="AJ850" s="136"/>
      <c r="AK850" s="136"/>
      <c r="AL850" s="136"/>
      <c r="AM850" s="136"/>
      <c r="AN850" s="136"/>
      <c r="AO850" s="136"/>
      <c r="AP850" s="136"/>
      <c r="AQ850" s="136"/>
      <c r="AR850" s="136"/>
      <c r="AS850" s="136"/>
      <c r="AT850" s="136"/>
      <c r="AU850" s="136"/>
      <c r="AV850" s="136"/>
      <c r="AW850" s="136"/>
      <c r="AX850" s="136"/>
      <c r="AY850" s="136"/>
      <c r="AZ850" s="136"/>
      <c r="BA850" s="136"/>
      <c r="BB850" s="136"/>
      <c r="BC850" s="136"/>
      <c r="BD850" s="136"/>
      <c r="BE850" s="136"/>
      <c r="BF850" s="136"/>
      <c r="BG850" s="136"/>
      <c r="BH850" s="136"/>
      <c r="BI850" s="136"/>
    </row>
    <row r="851" spans="1:61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  <c r="AA851" s="136"/>
      <c r="AB851" s="136"/>
      <c r="AC851" s="136"/>
      <c r="AD851" s="136"/>
      <c r="AE851" s="136"/>
      <c r="AF851" s="136"/>
      <c r="AG851" s="136"/>
      <c r="AH851" s="136"/>
      <c r="AI851" s="136"/>
      <c r="AJ851" s="136"/>
      <c r="AK851" s="136"/>
      <c r="AL851" s="136"/>
      <c r="AM851" s="136"/>
      <c r="AN851" s="136"/>
      <c r="AO851" s="136"/>
      <c r="AP851" s="136"/>
      <c r="AQ851" s="136"/>
      <c r="AR851" s="136"/>
      <c r="AS851" s="136"/>
      <c r="AT851" s="136"/>
      <c r="AU851" s="136"/>
      <c r="AV851" s="136"/>
      <c r="AW851" s="136"/>
      <c r="AX851" s="136"/>
      <c r="AY851" s="136"/>
      <c r="AZ851" s="136"/>
      <c r="BA851" s="136"/>
      <c r="BB851" s="136"/>
      <c r="BC851" s="136"/>
      <c r="BD851" s="136"/>
      <c r="BE851" s="136"/>
      <c r="BF851" s="136"/>
      <c r="BG851" s="136"/>
      <c r="BH851" s="136"/>
      <c r="BI851" s="136"/>
    </row>
    <row r="852" spans="1:61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  <c r="AA852" s="136"/>
      <c r="AB852" s="136"/>
      <c r="AC852" s="136"/>
      <c r="AD852" s="136"/>
      <c r="AE852" s="136"/>
      <c r="AF852" s="136"/>
      <c r="AG852" s="136"/>
      <c r="AH852" s="136"/>
      <c r="AI852" s="136"/>
      <c r="AJ852" s="136"/>
      <c r="AK852" s="136"/>
      <c r="AL852" s="136"/>
      <c r="AM852" s="136"/>
      <c r="AN852" s="136"/>
      <c r="AO852" s="136"/>
      <c r="AP852" s="136"/>
      <c r="AQ852" s="136"/>
      <c r="AR852" s="136"/>
      <c r="AS852" s="136"/>
      <c r="AT852" s="136"/>
      <c r="AU852" s="136"/>
      <c r="AV852" s="136"/>
      <c r="AW852" s="136"/>
      <c r="AX852" s="136"/>
      <c r="AY852" s="136"/>
      <c r="AZ852" s="136"/>
      <c r="BA852" s="136"/>
      <c r="BB852" s="136"/>
      <c r="BC852" s="136"/>
      <c r="BD852" s="136"/>
      <c r="BE852" s="136"/>
      <c r="BF852" s="136"/>
      <c r="BG852" s="136"/>
      <c r="BH852" s="136"/>
      <c r="BI852" s="136"/>
    </row>
    <row r="853" spans="1:61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  <c r="AA853" s="136"/>
      <c r="AB853" s="136"/>
      <c r="AC853" s="136"/>
      <c r="AD853" s="136"/>
      <c r="AE853" s="136"/>
      <c r="AF853" s="136"/>
      <c r="AG853" s="136"/>
      <c r="AH853" s="136"/>
      <c r="AI853" s="136"/>
      <c r="AJ853" s="136"/>
      <c r="AK853" s="136"/>
      <c r="AL853" s="136"/>
      <c r="AM853" s="136"/>
      <c r="AN853" s="136"/>
      <c r="AO853" s="136"/>
      <c r="AP853" s="136"/>
      <c r="AQ853" s="136"/>
      <c r="AR853" s="136"/>
      <c r="AS853" s="136"/>
      <c r="AT853" s="136"/>
      <c r="AU853" s="136"/>
      <c r="AV853" s="136"/>
      <c r="AW853" s="136"/>
      <c r="AX853" s="136"/>
      <c r="AY853" s="136"/>
      <c r="AZ853" s="136"/>
      <c r="BA853" s="136"/>
      <c r="BB853" s="136"/>
      <c r="BC853" s="136"/>
      <c r="BD853" s="136"/>
      <c r="BE853" s="136"/>
      <c r="BF853" s="136"/>
      <c r="BG853" s="136"/>
      <c r="BH853" s="136"/>
      <c r="BI853" s="136"/>
    </row>
    <row r="854" spans="1:61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  <c r="AA854" s="136"/>
      <c r="AB854" s="136"/>
      <c r="AC854" s="136"/>
      <c r="AD854" s="136"/>
      <c r="AE854" s="136"/>
      <c r="AF854" s="136"/>
      <c r="AG854" s="136"/>
      <c r="AH854" s="136"/>
      <c r="AI854" s="136"/>
      <c r="AJ854" s="136"/>
      <c r="AK854" s="136"/>
      <c r="AL854" s="136"/>
      <c r="AM854" s="136"/>
      <c r="AN854" s="136"/>
      <c r="AO854" s="136"/>
      <c r="AP854" s="136"/>
      <c r="AQ854" s="136"/>
      <c r="AR854" s="136"/>
      <c r="AS854" s="136"/>
      <c r="AT854" s="136"/>
      <c r="AU854" s="136"/>
      <c r="AV854" s="136"/>
      <c r="AW854" s="136"/>
      <c r="AX854" s="136"/>
      <c r="AY854" s="136"/>
      <c r="AZ854" s="136"/>
      <c r="BA854" s="136"/>
      <c r="BB854" s="136"/>
      <c r="BC854" s="136"/>
      <c r="BD854" s="136"/>
      <c r="BE854" s="136"/>
      <c r="BF854" s="136"/>
      <c r="BG854" s="136"/>
      <c r="BH854" s="136"/>
      <c r="BI854" s="136"/>
    </row>
    <row r="855" spans="1:61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  <c r="AA855" s="136"/>
      <c r="AB855" s="136"/>
      <c r="AC855" s="136"/>
      <c r="AD855" s="136"/>
      <c r="AE855" s="136"/>
      <c r="AF855" s="136"/>
      <c r="AG855" s="136"/>
      <c r="AH855" s="136"/>
      <c r="AI855" s="136"/>
      <c r="AJ855" s="136"/>
      <c r="AK855" s="136"/>
      <c r="AL855" s="136"/>
      <c r="AM855" s="136"/>
      <c r="AN855" s="136"/>
      <c r="AO855" s="136"/>
      <c r="AP855" s="136"/>
      <c r="AQ855" s="136"/>
      <c r="AR855" s="136"/>
      <c r="AS855" s="136"/>
      <c r="AT855" s="136"/>
      <c r="AU855" s="136"/>
      <c r="AV855" s="136"/>
      <c r="AW855" s="136"/>
      <c r="AX855" s="136"/>
      <c r="AY855" s="136"/>
      <c r="AZ855" s="136"/>
      <c r="BA855" s="136"/>
      <c r="BB855" s="136"/>
      <c r="BC855" s="136"/>
      <c r="BD855" s="136"/>
      <c r="BE855" s="136"/>
      <c r="BF855" s="136"/>
      <c r="BG855" s="136"/>
      <c r="BH855" s="136"/>
      <c r="BI855" s="136"/>
    </row>
    <row r="856" spans="1:61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  <c r="AA856" s="136"/>
      <c r="AB856" s="136"/>
      <c r="AC856" s="136"/>
      <c r="AD856" s="136"/>
      <c r="AE856" s="136"/>
      <c r="AF856" s="136"/>
      <c r="AG856" s="136"/>
      <c r="AH856" s="136"/>
      <c r="AI856" s="136"/>
      <c r="AJ856" s="136"/>
      <c r="AK856" s="136"/>
      <c r="AL856" s="136"/>
      <c r="AM856" s="136"/>
      <c r="AN856" s="136"/>
      <c r="AO856" s="136"/>
      <c r="AP856" s="136"/>
      <c r="AQ856" s="136"/>
      <c r="AR856" s="136"/>
      <c r="AS856" s="136"/>
      <c r="AT856" s="136"/>
      <c r="AU856" s="136"/>
      <c r="AV856" s="136"/>
      <c r="AW856" s="136"/>
      <c r="AX856" s="136"/>
      <c r="AY856" s="136"/>
      <c r="AZ856" s="136"/>
      <c r="BA856" s="136"/>
      <c r="BB856" s="136"/>
      <c r="BC856" s="136"/>
      <c r="BD856" s="136"/>
      <c r="BE856" s="136"/>
      <c r="BF856" s="136"/>
      <c r="BG856" s="136"/>
      <c r="BH856" s="136"/>
      <c r="BI856" s="136"/>
    </row>
    <row r="857" spans="1:61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  <c r="AQ857" s="136"/>
      <c r="AR857" s="136"/>
      <c r="AS857" s="136"/>
      <c r="AT857" s="136"/>
      <c r="AU857" s="136"/>
      <c r="AV857" s="136"/>
      <c r="AW857" s="136"/>
      <c r="AX857" s="136"/>
      <c r="AY857" s="136"/>
      <c r="AZ857" s="136"/>
      <c r="BA857" s="136"/>
      <c r="BB857" s="136"/>
      <c r="BC857" s="136"/>
      <c r="BD857" s="136"/>
      <c r="BE857" s="136"/>
      <c r="BF857" s="136"/>
      <c r="BG857" s="136"/>
      <c r="BH857" s="136"/>
      <c r="BI857" s="136"/>
    </row>
    <row r="858" spans="1:61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  <c r="AA858" s="136"/>
      <c r="AB858" s="136"/>
      <c r="AC858" s="136"/>
      <c r="AD858" s="136"/>
      <c r="AE858" s="136"/>
      <c r="AF858" s="136"/>
      <c r="AG858" s="136"/>
      <c r="AH858" s="136"/>
      <c r="AI858" s="136"/>
      <c r="AJ858" s="136"/>
      <c r="AK858" s="136"/>
      <c r="AL858" s="136"/>
      <c r="AM858" s="136"/>
      <c r="AN858" s="136"/>
      <c r="AO858" s="136"/>
      <c r="AP858" s="136"/>
      <c r="AQ858" s="136"/>
      <c r="AR858" s="136"/>
      <c r="AS858" s="136"/>
      <c r="AT858" s="136"/>
      <c r="AU858" s="136"/>
      <c r="AV858" s="136"/>
      <c r="AW858" s="136"/>
      <c r="AX858" s="136"/>
      <c r="AY858" s="136"/>
      <c r="AZ858" s="136"/>
      <c r="BA858" s="136"/>
      <c r="BB858" s="136"/>
      <c r="BC858" s="136"/>
      <c r="BD858" s="136"/>
      <c r="BE858" s="136"/>
      <c r="BF858" s="136"/>
      <c r="BG858" s="136"/>
      <c r="BH858" s="136"/>
      <c r="BI858" s="136"/>
    </row>
    <row r="859" spans="1:61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  <c r="AA859" s="136"/>
      <c r="AB859" s="136"/>
      <c r="AC859" s="136"/>
      <c r="AD859" s="136"/>
      <c r="AE859" s="136"/>
      <c r="AF859" s="136"/>
      <c r="AG859" s="136"/>
      <c r="AH859" s="136"/>
      <c r="AI859" s="136"/>
      <c r="AJ859" s="136"/>
      <c r="AK859" s="136"/>
      <c r="AL859" s="136"/>
      <c r="AM859" s="136"/>
      <c r="AN859" s="136"/>
      <c r="AO859" s="136"/>
      <c r="AP859" s="136"/>
      <c r="AQ859" s="136"/>
      <c r="AR859" s="136"/>
      <c r="AS859" s="136"/>
      <c r="AT859" s="136"/>
      <c r="AU859" s="136"/>
      <c r="AV859" s="136"/>
      <c r="AW859" s="136"/>
      <c r="AX859" s="136"/>
      <c r="AY859" s="136"/>
      <c r="AZ859" s="136"/>
      <c r="BA859" s="136"/>
      <c r="BB859" s="136"/>
      <c r="BC859" s="136"/>
      <c r="BD859" s="136"/>
      <c r="BE859" s="136"/>
      <c r="BF859" s="136"/>
      <c r="BG859" s="136"/>
      <c r="BH859" s="136"/>
      <c r="BI859" s="136"/>
    </row>
    <row r="860" spans="1:61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  <c r="AA860" s="136"/>
      <c r="AB860" s="136"/>
      <c r="AC860" s="136"/>
      <c r="AD860" s="136"/>
      <c r="AE860" s="136"/>
      <c r="AF860" s="136"/>
      <c r="AG860" s="136"/>
      <c r="AH860" s="136"/>
      <c r="AI860" s="136"/>
      <c r="AJ860" s="136"/>
      <c r="AK860" s="136"/>
      <c r="AL860" s="136"/>
      <c r="AM860" s="136"/>
      <c r="AN860" s="136"/>
      <c r="AO860" s="136"/>
      <c r="AP860" s="136"/>
      <c r="AQ860" s="136"/>
      <c r="AR860" s="136"/>
      <c r="AS860" s="136"/>
      <c r="AT860" s="136"/>
      <c r="AU860" s="136"/>
      <c r="AV860" s="136"/>
      <c r="AW860" s="136"/>
      <c r="AX860" s="136"/>
      <c r="AY860" s="136"/>
      <c r="AZ860" s="136"/>
      <c r="BA860" s="136"/>
      <c r="BB860" s="136"/>
      <c r="BC860" s="136"/>
      <c r="BD860" s="136"/>
      <c r="BE860" s="136"/>
      <c r="BF860" s="136"/>
      <c r="BG860" s="136"/>
      <c r="BH860" s="136"/>
      <c r="BI860" s="136"/>
    </row>
    <row r="861" spans="1:61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  <c r="AA861" s="136"/>
      <c r="AB861" s="136"/>
      <c r="AC861" s="136"/>
      <c r="AD861" s="136"/>
      <c r="AE861" s="136"/>
      <c r="AF861" s="136"/>
      <c r="AG861" s="136"/>
      <c r="AH861" s="136"/>
      <c r="AI861" s="136"/>
      <c r="AJ861" s="136"/>
      <c r="AK861" s="136"/>
      <c r="AL861" s="136"/>
      <c r="AM861" s="136"/>
      <c r="AN861" s="136"/>
      <c r="AO861" s="136"/>
      <c r="AP861" s="136"/>
      <c r="AQ861" s="136"/>
      <c r="AR861" s="136"/>
      <c r="AS861" s="136"/>
      <c r="AT861" s="136"/>
      <c r="AU861" s="136"/>
      <c r="AV861" s="136"/>
      <c r="AW861" s="136"/>
      <c r="AX861" s="136"/>
      <c r="AY861" s="136"/>
      <c r="AZ861" s="136"/>
      <c r="BA861" s="136"/>
      <c r="BB861" s="136"/>
      <c r="BC861" s="136"/>
      <c r="BD861" s="136"/>
      <c r="BE861" s="136"/>
      <c r="BF861" s="136"/>
      <c r="BG861" s="136"/>
      <c r="BH861" s="136"/>
      <c r="BI861" s="136"/>
    </row>
    <row r="862" spans="1:61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  <c r="AA862" s="136"/>
      <c r="AB862" s="136"/>
      <c r="AC862" s="136"/>
      <c r="AD862" s="136"/>
      <c r="AE862" s="136"/>
      <c r="AF862" s="136"/>
      <c r="AG862" s="136"/>
      <c r="AH862" s="136"/>
      <c r="AI862" s="136"/>
      <c r="AJ862" s="136"/>
      <c r="AK862" s="136"/>
      <c r="AL862" s="136"/>
      <c r="AM862" s="136"/>
      <c r="AN862" s="136"/>
      <c r="AO862" s="136"/>
      <c r="AP862" s="136"/>
      <c r="AQ862" s="136"/>
      <c r="AR862" s="136"/>
      <c r="AS862" s="136"/>
      <c r="AT862" s="136"/>
      <c r="AU862" s="136"/>
      <c r="AV862" s="136"/>
      <c r="AW862" s="136"/>
      <c r="AX862" s="136"/>
      <c r="AY862" s="136"/>
      <c r="AZ862" s="136"/>
      <c r="BA862" s="136"/>
      <c r="BB862" s="136"/>
      <c r="BC862" s="136"/>
      <c r="BD862" s="136"/>
      <c r="BE862" s="136"/>
      <c r="BF862" s="136"/>
      <c r="BG862" s="136"/>
      <c r="BH862" s="136"/>
      <c r="BI862" s="136"/>
    </row>
    <row r="863" spans="1:61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  <c r="AA863" s="136"/>
      <c r="AB863" s="136"/>
      <c r="AC863" s="136"/>
      <c r="AD863" s="136"/>
      <c r="AE863" s="136"/>
      <c r="AF863" s="136"/>
      <c r="AG863" s="136"/>
      <c r="AH863" s="136"/>
      <c r="AI863" s="136"/>
      <c r="AJ863" s="136"/>
      <c r="AK863" s="136"/>
      <c r="AL863" s="136"/>
      <c r="AM863" s="136"/>
      <c r="AN863" s="136"/>
      <c r="AO863" s="136"/>
      <c r="AP863" s="136"/>
      <c r="AQ863" s="136"/>
      <c r="AR863" s="136"/>
      <c r="AS863" s="136"/>
      <c r="AT863" s="136"/>
      <c r="AU863" s="136"/>
      <c r="AV863" s="136"/>
      <c r="AW863" s="136"/>
      <c r="AX863" s="136"/>
      <c r="AY863" s="136"/>
      <c r="AZ863" s="136"/>
      <c r="BA863" s="136"/>
      <c r="BB863" s="136"/>
      <c r="BC863" s="136"/>
      <c r="BD863" s="136"/>
      <c r="BE863" s="136"/>
      <c r="BF863" s="136"/>
      <c r="BG863" s="136"/>
      <c r="BH863" s="136"/>
      <c r="BI863" s="136"/>
    </row>
    <row r="864" spans="1:61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  <c r="AA864" s="136"/>
      <c r="AB864" s="136"/>
      <c r="AC864" s="136"/>
      <c r="AD864" s="136"/>
      <c r="AE864" s="136"/>
      <c r="AF864" s="136"/>
      <c r="AG864" s="136"/>
      <c r="AH864" s="136"/>
      <c r="AI864" s="136"/>
      <c r="AJ864" s="136"/>
      <c r="AK864" s="136"/>
      <c r="AL864" s="136"/>
      <c r="AM864" s="136"/>
      <c r="AN864" s="136"/>
      <c r="AO864" s="136"/>
      <c r="AP864" s="136"/>
      <c r="AQ864" s="136"/>
      <c r="AR864" s="136"/>
      <c r="AS864" s="136"/>
      <c r="AT864" s="136"/>
      <c r="AU864" s="136"/>
      <c r="AV864" s="136"/>
      <c r="AW864" s="136"/>
      <c r="AX864" s="136"/>
      <c r="AY864" s="136"/>
      <c r="AZ864" s="136"/>
      <c r="BA864" s="136"/>
      <c r="BB864" s="136"/>
      <c r="BC864" s="136"/>
      <c r="BD864" s="136"/>
      <c r="BE864" s="136"/>
      <c r="BF864" s="136"/>
      <c r="BG864" s="136"/>
      <c r="BH864" s="136"/>
      <c r="BI864" s="136"/>
    </row>
    <row r="865" spans="1:61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  <c r="AA865" s="136"/>
      <c r="AB865" s="136"/>
      <c r="AC865" s="136"/>
      <c r="AD865" s="136"/>
      <c r="AE865" s="136"/>
      <c r="AF865" s="136"/>
      <c r="AG865" s="136"/>
      <c r="AH865" s="136"/>
      <c r="AI865" s="136"/>
      <c r="AJ865" s="136"/>
      <c r="AK865" s="136"/>
      <c r="AL865" s="136"/>
      <c r="AM865" s="136"/>
      <c r="AN865" s="136"/>
      <c r="AO865" s="136"/>
      <c r="AP865" s="136"/>
      <c r="AQ865" s="136"/>
      <c r="AR865" s="136"/>
      <c r="AS865" s="136"/>
      <c r="AT865" s="136"/>
      <c r="AU865" s="136"/>
      <c r="AV865" s="136"/>
      <c r="AW865" s="136"/>
      <c r="AX865" s="136"/>
      <c r="AY865" s="136"/>
      <c r="AZ865" s="136"/>
      <c r="BA865" s="136"/>
      <c r="BB865" s="136"/>
      <c r="BC865" s="136"/>
      <c r="BD865" s="136"/>
      <c r="BE865" s="136"/>
      <c r="BF865" s="136"/>
      <c r="BG865" s="136"/>
      <c r="BH865" s="136"/>
      <c r="BI865" s="136"/>
    </row>
    <row r="866" spans="1:61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  <c r="AA866" s="136"/>
      <c r="AB866" s="136"/>
      <c r="AC866" s="136"/>
      <c r="AD866" s="136"/>
      <c r="AE866" s="136"/>
      <c r="AF866" s="136"/>
      <c r="AG866" s="136"/>
      <c r="AH866" s="136"/>
      <c r="AI866" s="136"/>
      <c r="AJ866" s="136"/>
      <c r="AK866" s="136"/>
      <c r="AL866" s="136"/>
      <c r="AM866" s="136"/>
      <c r="AN866" s="136"/>
      <c r="AO866" s="136"/>
      <c r="AP866" s="136"/>
      <c r="AQ866" s="136"/>
      <c r="AR866" s="136"/>
      <c r="AS866" s="136"/>
      <c r="AT866" s="136"/>
      <c r="AU866" s="136"/>
      <c r="AV866" s="136"/>
      <c r="AW866" s="136"/>
      <c r="AX866" s="136"/>
      <c r="AY866" s="136"/>
      <c r="AZ866" s="136"/>
      <c r="BA866" s="136"/>
      <c r="BB866" s="136"/>
      <c r="BC866" s="136"/>
      <c r="BD866" s="136"/>
      <c r="BE866" s="136"/>
      <c r="BF866" s="136"/>
      <c r="BG866" s="136"/>
      <c r="BH866" s="136"/>
      <c r="BI866" s="136"/>
    </row>
    <row r="867" spans="1:61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  <c r="AA867" s="136"/>
      <c r="AB867" s="136"/>
      <c r="AC867" s="136"/>
      <c r="AD867" s="136"/>
      <c r="AE867" s="136"/>
      <c r="AF867" s="136"/>
      <c r="AG867" s="136"/>
      <c r="AH867" s="136"/>
      <c r="AI867" s="136"/>
      <c r="AJ867" s="136"/>
      <c r="AK867" s="136"/>
      <c r="AL867" s="136"/>
      <c r="AM867" s="136"/>
      <c r="AN867" s="136"/>
      <c r="AO867" s="136"/>
      <c r="AP867" s="136"/>
      <c r="AQ867" s="136"/>
      <c r="AR867" s="136"/>
      <c r="AS867" s="136"/>
      <c r="AT867" s="136"/>
      <c r="AU867" s="136"/>
      <c r="AV867" s="136"/>
      <c r="AW867" s="136"/>
      <c r="AX867" s="136"/>
      <c r="AY867" s="136"/>
      <c r="AZ867" s="136"/>
      <c r="BA867" s="136"/>
      <c r="BB867" s="136"/>
      <c r="BC867" s="136"/>
      <c r="BD867" s="136"/>
      <c r="BE867" s="136"/>
      <c r="BF867" s="136"/>
      <c r="BG867" s="136"/>
      <c r="BH867" s="136"/>
      <c r="BI867" s="136"/>
    </row>
    <row r="868" spans="1:61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  <c r="AA868" s="136"/>
      <c r="AB868" s="136"/>
      <c r="AC868" s="136"/>
      <c r="AD868" s="136"/>
      <c r="AE868" s="136"/>
      <c r="AF868" s="136"/>
      <c r="AG868" s="136"/>
      <c r="AH868" s="136"/>
      <c r="AI868" s="136"/>
      <c r="AJ868" s="136"/>
      <c r="AK868" s="136"/>
      <c r="AL868" s="136"/>
      <c r="AM868" s="136"/>
      <c r="AN868" s="136"/>
      <c r="AO868" s="136"/>
      <c r="AP868" s="136"/>
      <c r="AQ868" s="136"/>
      <c r="AR868" s="136"/>
      <c r="AS868" s="136"/>
      <c r="AT868" s="136"/>
      <c r="AU868" s="136"/>
      <c r="AV868" s="136"/>
      <c r="AW868" s="136"/>
      <c r="AX868" s="136"/>
      <c r="AY868" s="136"/>
      <c r="AZ868" s="136"/>
      <c r="BA868" s="136"/>
      <c r="BB868" s="136"/>
      <c r="BC868" s="136"/>
      <c r="BD868" s="136"/>
      <c r="BE868" s="136"/>
      <c r="BF868" s="136"/>
      <c r="BG868" s="136"/>
      <c r="BH868" s="136"/>
      <c r="BI868" s="136"/>
    </row>
    <row r="869" spans="1:61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6"/>
      <c r="BA869" s="136"/>
      <c r="BB869" s="136"/>
      <c r="BC869" s="136"/>
      <c r="BD869" s="136"/>
      <c r="BE869" s="136"/>
      <c r="BF869" s="136"/>
      <c r="BG869" s="136"/>
      <c r="BH869" s="136"/>
      <c r="BI869" s="136"/>
    </row>
    <row r="870" spans="1:61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  <c r="AA870" s="136"/>
      <c r="AB870" s="136"/>
      <c r="AC870" s="136"/>
      <c r="AD870" s="136"/>
      <c r="AE870" s="136"/>
      <c r="AF870" s="136"/>
      <c r="AG870" s="136"/>
      <c r="AH870" s="136"/>
      <c r="AI870" s="136"/>
      <c r="AJ870" s="136"/>
      <c r="AK870" s="136"/>
      <c r="AL870" s="136"/>
      <c r="AM870" s="136"/>
      <c r="AN870" s="136"/>
      <c r="AO870" s="136"/>
      <c r="AP870" s="136"/>
      <c r="AQ870" s="136"/>
      <c r="AR870" s="136"/>
      <c r="AS870" s="136"/>
      <c r="AT870" s="136"/>
      <c r="AU870" s="136"/>
      <c r="AV870" s="136"/>
      <c r="AW870" s="136"/>
      <c r="AX870" s="136"/>
      <c r="AY870" s="136"/>
      <c r="AZ870" s="136"/>
      <c r="BA870" s="136"/>
      <c r="BB870" s="136"/>
      <c r="BC870" s="136"/>
      <c r="BD870" s="136"/>
      <c r="BE870" s="136"/>
      <c r="BF870" s="136"/>
      <c r="BG870" s="136"/>
      <c r="BH870" s="136"/>
      <c r="BI870" s="136"/>
    </row>
    <row r="871" spans="1:61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  <c r="AA871" s="136"/>
      <c r="AB871" s="136"/>
      <c r="AC871" s="136"/>
      <c r="AD871" s="136"/>
      <c r="AE871" s="136"/>
      <c r="AF871" s="136"/>
      <c r="AG871" s="136"/>
      <c r="AH871" s="136"/>
      <c r="AI871" s="136"/>
      <c r="AJ871" s="136"/>
      <c r="AK871" s="136"/>
      <c r="AL871" s="136"/>
      <c r="AM871" s="136"/>
      <c r="AN871" s="136"/>
      <c r="AO871" s="136"/>
      <c r="AP871" s="136"/>
      <c r="AQ871" s="136"/>
      <c r="AR871" s="136"/>
      <c r="AS871" s="136"/>
      <c r="AT871" s="136"/>
      <c r="AU871" s="136"/>
      <c r="AV871" s="136"/>
      <c r="AW871" s="136"/>
      <c r="AX871" s="136"/>
      <c r="AY871" s="136"/>
      <c r="AZ871" s="136"/>
      <c r="BA871" s="136"/>
      <c r="BB871" s="136"/>
      <c r="BC871" s="136"/>
      <c r="BD871" s="136"/>
      <c r="BE871" s="136"/>
      <c r="BF871" s="136"/>
      <c r="BG871" s="136"/>
      <c r="BH871" s="136"/>
      <c r="BI871" s="136"/>
    </row>
    <row r="872" spans="1:61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  <c r="AA872" s="136"/>
      <c r="AB872" s="136"/>
      <c r="AC872" s="136"/>
      <c r="AD872" s="136"/>
      <c r="AE872" s="136"/>
      <c r="AF872" s="136"/>
      <c r="AG872" s="136"/>
      <c r="AH872" s="136"/>
      <c r="AI872" s="136"/>
      <c r="AJ872" s="136"/>
      <c r="AK872" s="136"/>
      <c r="AL872" s="136"/>
      <c r="AM872" s="136"/>
      <c r="AN872" s="136"/>
      <c r="AO872" s="136"/>
      <c r="AP872" s="136"/>
      <c r="AQ872" s="136"/>
      <c r="AR872" s="136"/>
      <c r="AS872" s="136"/>
      <c r="AT872" s="136"/>
      <c r="AU872" s="136"/>
      <c r="AV872" s="136"/>
      <c r="AW872" s="136"/>
      <c r="AX872" s="136"/>
      <c r="AY872" s="136"/>
      <c r="AZ872" s="136"/>
      <c r="BA872" s="136"/>
      <c r="BB872" s="136"/>
      <c r="BC872" s="136"/>
      <c r="BD872" s="136"/>
      <c r="BE872" s="136"/>
      <c r="BF872" s="136"/>
      <c r="BG872" s="136"/>
      <c r="BH872" s="136"/>
      <c r="BI872" s="136"/>
    </row>
    <row r="873" spans="1:61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  <c r="AA873" s="136"/>
      <c r="AB873" s="136"/>
      <c r="AC873" s="136"/>
      <c r="AD873" s="136"/>
      <c r="AE873" s="136"/>
      <c r="AF873" s="136"/>
      <c r="AG873" s="136"/>
      <c r="AH873" s="136"/>
      <c r="AI873" s="136"/>
      <c r="AJ873" s="136"/>
      <c r="AK873" s="136"/>
      <c r="AL873" s="136"/>
      <c r="AM873" s="136"/>
      <c r="AN873" s="136"/>
      <c r="AO873" s="136"/>
      <c r="AP873" s="136"/>
      <c r="AQ873" s="136"/>
      <c r="AR873" s="136"/>
      <c r="AS873" s="136"/>
      <c r="AT873" s="136"/>
      <c r="AU873" s="136"/>
      <c r="AV873" s="136"/>
      <c r="AW873" s="136"/>
      <c r="AX873" s="136"/>
      <c r="AY873" s="136"/>
      <c r="AZ873" s="136"/>
      <c r="BA873" s="136"/>
      <c r="BB873" s="136"/>
      <c r="BC873" s="136"/>
      <c r="BD873" s="136"/>
      <c r="BE873" s="136"/>
      <c r="BF873" s="136"/>
      <c r="BG873" s="136"/>
      <c r="BH873" s="136"/>
      <c r="BI873" s="136"/>
    </row>
    <row r="874" spans="1:61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  <c r="AA874" s="136"/>
      <c r="AB874" s="136"/>
      <c r="AC874" s="136"/>
      <c r="AD874" s="136"/>
      <c r="AE874" s="136"/>
      <c r="AF874" s="136"/>
      <c r="AG874" s="136"/>
      <c r="AH874" s="136"/>
      <c r="AI874" s="136"/>
      <c r="AJ874" s="136"/>
      <c r="AK874" s="136"/>
      <c r="AL874" s="136"/>
      <c r="AM874" s="136"/>
      <c r="AN874" s="136"/>
      <c r="AO874" s="136"/>
      <c r="AP874" s="136"/>
      <c r="AQ874" s="136"/>
      <c r="AR874" s="136"/>
      <c r="AS874" s="136"/>
      <c r="AT874" s="136"/>
      <c r="AU874" s="136"/>
      <c r="AV874" s="136"/>
      <c r="AW874" s="136"/>
      <c r="AX874" s="136"/>
      <c r="AY874" s="136"/>
      <c r="AZ874" s="136"/>
      <c r="BA874" s="136"/>
      <c r="BB874" s="136"/>
      <c r="BC874" s="136"/>
      <c r="BD874" s="136"/>
      <c r="BE874" s="136"/>
      <c r="BF874" s="136"/>
      <c r="BG874" s="136"/>
      <c r="BH874" s="136"/>
      <c r="BI874" s="136"/>
    </row>
    <row r="875" spans="1:61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  <c r="AA875" s="136"/>
      <c r="AB875" s="136"/>
      <c r="AC875" s="136"/>
      <c r="AD875" s="136"/>
      <c r="AE875" s="136"/>
      <c r="AF875" s="136"/>
      <c r="AG875" s="136"/>
      <c r="AH875" s="136"/>
      <c r="AI875" s="136"/>
      <c r="AJ875" s="136"/>
      <c r="AK875" s="136"/>
      <c r="AL875" s="136"/>
      <c r="AM875" s="136"/>
      <c r="AN875" s="136"/>
      <c r="AO875" s="136"/>
      <c r="AP875" s="136"/>
      <c r="AQ875" s="136"/>
      <c r="AR875" s="136"/>
      <c r="AS875" s="136"/>
      <c r="AT875" s="136"/>
      <c r="AU875" s="136"/>
      <c r="AV875" s="136"/>
      <c r="AW875" s="136"/>
      <c r="AX875" s="136"/>
      <c r="AY875" s="136"/>
      <c r="AZ875" s="136"/>
      <c r="BA875" s="136"/>
      <c r="BB875" s="136"/>
      <c r="BC875" s="136"/>
      <c r="BD875" s="136"/>
      <c r="BE875" s="136"/>
      <c r="BF875" s="136"/>
      <c r="BG875" s="136"/>
      <c r="BH875" s="136"/>
      <c r="BI875" s="136"/>
    </row>
    <row r="876" spans="1:61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  <c r="AA876" s="136"/>
      <c r="AB876" s="136"/>
      <c r="AC876" s="136"/>
      <c r="AD876" s="136"/>
      <c r="AE876" s="136"/>
      <c r="AF876" s="136"/>
      <c r="AG876" s="136"/>
      <c r="AH876" s="136"/>
      <c r="AI876" s="136"/>
      <c r="AJ876" s="136"/>
      <c r="AK876" s="136"/>
      <c r="AL876" s="136"/>
      <c r="AM876" s="136"/>
      <c r="AN876" s="136"/>
      <c r="AO876" s="136"/>
      <c r="AP876" s="136"/>
      <c r="AQ876" s="136"/>
      <c r="AR876" s="136"/>
      <c r="AS876" s="136"/>
      <c r="AT876" s="136"/>
      <c r="AU876" s="136"/>
      <c r="AV876" s="136"/>
      <c r="AW876" s="136"/>
      <c r="AX876" s="136"/>
      <c r="AY876" s="136"/>
      <c r="AZ876" s="136"/>
      <c r="BA876" s="136"/>
      <c r="BB876" s="136"/>
      <c r="BC876" s="136"/>
      <c r="BD876" s="136"/>
      <c r="BE876" s="136"/>
      <c r="BF876" s="136"/>
      <c r="BG876" s="136"/>
      <c r="BH876" s="136"/>
      <c r="BI876" s="136"/>
    </row>
    <row r="877" spans="1:61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  <c r="AA877" s="136"/>
      <c r="AB877" s="136"/>
      <c r="AC877" s="136"/>
      <c r="AD877" s="136"/>
      <c r="AE877" s="136"/>
      <c r="AF877" s="136"/>
      <c r="AG877" s="136"/>
      <c r="AH877" s="136"/>
      <c r="AI877" s="136"/>
      <c r="AJ877" s="136"/>
      <c r="AK877" s="136"/>
      <c r="AL877" s="136"/>
      <c r="AM877" s="136"/>
      <c r="AN877" s="136"/>
      <c r="AO877" s="136"/>
      <c r="AP877" s="136"/>
      <c r="AQ877" s="136"/>
      <c r="AR877" s="136"/>
      <c r="AS877" s="136"/>
      <c r="AT877" s="136"/>
      <c r="AU877" s="136"/>
      <c r="AV877" s="136"/>
      <c r="AW877" s="136"/>
      <c r="AX877" s="136"/>
      <c r="AY877" s="136"/>
      <c r="AZ877" s="136"/>
      <c r="BA877" s="136"/>
      <c r="BB877" s="136"/>
      <c r="BC877" s="136"/>
      <c r="BD877" s="136"/>
      <c r="BE877" s="136"/>
      <c r="BF877" s="136"/>
      <c r="BG877" s="136"/>
      <c r="BH877" s="136"/>
      <c r="BI877" s="136"/>
    </row>
    <row r="878" spans="1:61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  <c r="AA878" s="136"/>
      <c r="AB878" s="136"/>
      <c r="AC878" s="136"/>
      <c r="AD878" s="136"/>
      <c r="AE878" s="136"/>
      <c r="AF878" s="136"/>
      <c r="AG878" s="136"/>
      <c r="AH878" s="136"/>
      <c r="AI878" s="136"/>
      <c r="AJ878" s="136"/>
      <c r="AK878" s="136"/>
      <c r="AL878" s="136"/>
      <c r="AM878" s="136"/>
      <c r="AN878" s="136"/>
      <c r="AO878" s="136"/>
      <c r="AP878" s="136"/>
      <c r="AQ878" s="136"/>
      <c r="AR878" s="136"/>
      <c r="AS878" s="136"/>
      <c r="AT878" s="136"/>
      <c r="AU878" s="136"/>
      <c r="AV878" s="136"/>
      <c r="AW878" s="136"/>
      <c r="AX878" s="136"/>
      <c r="AY878" s="136"/>
      <c r="AZ878" s="136"/>
      <c r="BA878" s="136"/>
      <c r="BB878" s="136"/>
      <c r="BC878" s="136"/>
      <c r="BD878" s="136"/>
      <c r="BE878" s="136"/>
      <c r="BF878" s="136"/>
      <c r="BG878" s="136"/>
      <c r="BH878" s="136"/>
      <c r="BI878" s="136"/>
    </row>
    <row r="879" spans="1:61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  <c r="AA879" s="136"/>
      <c r="AB879" s="136"/>
      <c r="AC879" s="136"/>
      <c r="AD879" s="136"/>
      <c r="AE879" s="136"/>
      <c r="AF879" s="136"/>
      <c r="AG879" s="136"/>
      <c r="AH879" s="136"/>
      <c r="AI879" s="136"/>
      <c r="AJ879" s="136"/>
      <c r="AK879" s="136"/>
      <c r="AL879" s="136"/>
      <c r="AM879" s="136"/>
      <c r="AN879" s="136"/>
      <c r="AO879" s="136"/>
      <c r="AP879" s="136"/>
      <c r="AQ879" s="136"/>
      <c r="AR879" s="136"/>
      <c r="AS879" s="136"/>
      <c r="AT879" s="136"/>
      <c r="AU879" s="136"/>
      <c r="AV879" s="136"/>
      <c r="AW879" s="136"/>
      <c r="AX879" s="136"/>
      <c r="AY879" s="136"/>
      <c r="AZ879" s="136"/>
      <c r="BA879" s="136"/>
      <c r="BB879" s="136"/>
      <c r="BC879" s="136"/>
      <c r="BD879" s="136"/>
      <c r="BE879" s="136"/>
      <c r="BF879" s="136"/>
      <c r="BG879" s="136"/>
      <c r="BH879" s="136"/>
      <c r="BI879" s="136"/>
    </row>
    <row r="880" spans="1:61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  <c r="AA880" s="136"/>
      <c r="AB880" s="136"/>
      <c r="AC880" s="136"/>
      <c r="AD880" s="136"/>
      <c r="AE880" s="136"/>
      <c r="AF880" s="136"/>
      <c r="AG880" s="136"/>
      <c r="AH880" s="136"/>
      <c r="AI880" s="136"/>
      <c r="AJ880" s="136"/>
      <c r="AK880" s="136"/>
      <c r="AL880" s="136"/>
      <c r="AM880" s="136"/>
      <c r="AN880" s="136"/>
      <c r="AO880" s="136"/>
      <c r="AP880" s="136"/>
      <c r="AQ880" s="136"/>
      <c r="AR880" s="136"/>
      <c r="AS880" s="136"/>
      <c r="AT880" s="136"/>
      <c r="AU880" s="136"/>
      <c r="AV880" s="136"/>
      <c r="AW880" s="136"/>
      <c r="AX880" s="136"/>
      <c r="AY880" s="136"/>
      <c r="AZ880" s="136"/>
      <c r="BA880" s="136"/>
      <c r="BB880" s="136"/>
      <c r="BC880" s="136"/>
      <c r="BD880" s="136"/>
      <c r="BE880" s="136"/>
      <c r="BF880" s="136"/>
      <c r="BG880" s="136"/>
      <c r="BH880" s="136"/>
      <c r="BI880" s="136"/>
    </row>
    <row r="881" spans="1:61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  <c r="AA881" s="136"/>
      <c r="AB881" s="136"/>
      <c r="AC881" s="136"/>
      <c r="AD881" s="136"/>
      <c r="AE881" s="136"/>
      <c r="AF881" s="136"/>
      <c r="AG881" s="136"/>
      <c r="AH881" s="136"/>
      <c r="AI881" s="136"/>
      <c r="AJ881" s="136"/>
      <c r="AK881" s="136"/>
      <c r="AL881" s="136"/>
      <c r="AM881" s="136"/>
      <c r="AN881" s="136"/>
      <c r="AO881" s="136"/>
      <c r="AP881" s="136"/>
      <c r="AQ881" s="136"/>
      <c r="AR881" s="136"/>
      <c r="AS881" s="136"/>
      <c r="AT881" s="136"/>
      <c r="AU881" s="136"/>
      <c r="AV881" s="136"/>
      <c r="AW881" s="136"/>
      <c r="AX881" s="136"/>
      <c r="AY881" s="136"/>
      <c r="AZ881" s="136"/>
      <c r="BA881" s="136"/>
      <c r="BB881" s="136"/>
      <c r="BC881" s="136"/>
      <c r="BD881" s="136"/>
      <c r="BE881" s="136"/>
      <c r="BF881" s="136"/>
      <c r="BG881" s="136"/>
      <c r="BH881" s="136"/>
      <c r="BI881" s="136"/>
    </row>
    <row r="882" spans="1:61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  <c r="AA882" s="136"/>
      <c r="AB882" s="136"/>
      <c r="AC882" s="136"/>
      <c r="AD882" s="136"/>
      <c r="AE882" s="136"/>
      <c r="AF882" s="136"/>
      <c r="AG882" s="136"/>
      <c r="AH882" s="136"/>
      <c r="AI882" s="136"/>
      <c r="AJ882" s="136"/>
      <c r="AK882" s="136"/>
      <c r="AL882" s="136"/>
      <c r="AM882" s="136"/>
      <c r="AN882" s="136"/>
      <c r="AO882" s="136"/>
      <c r="AP882" s="136"/>
      <c r="AQ882" s="136"/>
      <c r="AR882" s="136"/>
      <c r="AS882" s="136"/>
      <c r="AT882" s="136"/>
      <c r="AU882" s="136"/>
      <c r="AV882" s="136"/>
      <c r="AW882" s="136"/>
      <c r="AX882" s="136"/>
      <c r="AY882" s="136"/>
      <c r="AZ882" s="136"/>
      <c r="BA882" s="136"/>
      <c r="BB882" s="136"/>
      <c r="BC882" s="136"/>
      <c r="BD882" s="136"/>
      <c r="BE882" s="136"/>
      <c r="BF882" s="136"/>
      <c r="BG882" s="136"/>
      <c r="BH882" s="136"/>
      <c r="BI882" s="136"/>
    </row>
    <row r="883" spans="1:61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  <c r="AA883" s="136"/>
      <c r="AB883" s="136"/>
      <c r="AC883" s="136"/>
      <c r="AD883" s="136"/>
      <c r="AE883" s="136"/>
      <c r="AF883" s="136"/>
      <c r="AG883" s="136"/>
      <c r="AH883" s="136"/>
      <c r="AI883" s="136"/>
      <c r="AJ883" s="136"/>
      <c r="AK883" s="136"/>
      <c r="AL883" s="136"/>
      <c r="AM883" s="136"/>
      <c r="AN883" s="136"/>
      <c r="AO883" s="136"/>
      <c r="AP883" s="136"/>
      <c r="AQ883" s="136"/>
      <c r="AR883" s="136"/>
      <c r="AS883" s="136"/>
      <c r="AT883" s="136"/>
      <c r="AU883" s="136"/>
      <c r="AV883" s="136"/>
      <c r="AW883" s="136"/>
      <c r="AX883" s="136"/>
      <c r="AY883" s="136"/>
      <c r="AZ883" s="136"/>
      <c r="BA883" s="136"/>
      <c r="BB883" s="136"/>
      <c r="BC883" s="136"/>
      <c r="BD883" s="136"/>
      <c r="BE883" s="136"/>
      <c r="BF883" s="136"/>
      <c r="BG883" s="136"/>
      <c r="BH883" s="136"/>
      <c r="BI883" s="136"/>
    </row>
    <row r="884" spans="1:61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  <c r="AA884" s="136"/>
      <c r="AB884" s="136"/>
      <c r="AC884" s="136"/>
      <c r="AD884" s="136"/>
      <c r="AE884" s="136"/>
      <c r="AF884" s="136"/>
      <c r="AG884" s="136"/>
      <c r="AH884" s="136"/>
      <c r="AI884" s="136"/>
      <c r="AJ884" s="136"/>
      <c r="AK884" s="136"/>
      <c r="AL884" s="136"/>
      <c r="AM884" s="136"/>
      <c r="AN884" s="136"/>
      <c r="AO884" s="136"/>
      <c r="AP884" s="136"/>
      <c r="AQ884" s="136"/>
      <c r="AR884" s="136"/>
      <c r="AS884" s="136"/>
      <c r="AT884" s="136"/>
      <c r="AU884" s="136"/>
      <c r="AV884" s="136"/>
      <c r="AW884" s="136"/>
      <c r="AX884" s="136"/>
      <c r="AY884" s="136"/>
      <c r="AZ884" s="136"/>
      <c r="BA884" s="136"/>
      <c r="BB884" s="136"/>
      <c r="BC884" s="136"/>
      <c r="BD884" s="136"/>
      <c r="BE884" s="136"/>
      <c r="BF884" s="136"/>
      <c r="BG884" s="136"/>
      <c r="BH884" s="136"/>
      <c r="BI884" s="136"/>
    </row>
    <row r="885" spans="1:61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  <c r="AA885" s="136"/>
      <c r="AB885" s="136"/>
      <c r="AC885" s="136"/>
      <c r="AD885" s="136"/>
      <c r="AE885" s="136"/>
      <c r="AF885" s="136"/>
      <c r="AG885" s="136"/>
      <c r="AH885" s="136"/>
      <c r="AI885" s="136"/>
      <c r="AJ885" s="136"/>
      <c r="AK885" s="136"/>
      <c r="AL885" s="136"/>
      <c r="AM885" s="136"/>
      <c r="AN885" s="136"/>
      <c r="AO885" s="136"/>
      <c r="AP885" s="136"/>
      <c r="AQ885" s="136"/>
      <c r="AR885" s="136"/>
      <c r="AS885" s="136"/>
      <c r="AT885" s="136"/>
      <c r="AU885" s="136"/>
      <c r="AV885" s="136"/>
      <c r="AW885" s="136"/>
      <c r="AX885" s="136"/>
      <c r="AY885" s="136"/>
      <c r="AZ885" s="136"/>
      <c r="BA885" s="136"/>
      <c r="BB885" s="136"/>
      <c r="BC885" s="136"/>
      <c r="BD885" s="136"/>
      <c r="BE885" s="136"/>
      <c r="BF885" s="136"/>
      <c r="BG885" s="136"/>
      <c r="BH885" s="136"/>
      <c r="BI885" s="136"/>
    </row>
    <row r="886" spans="1:61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  <c r="AA886" s="136"/>
      <c r="AB886" s="136"/>
      <c r="AC886" s="136"/>
      <c r="AD886" s="136"/>
      <c r="AE886" s="136"/>
      <c r="AF886" s="136"/>
      <c r="AG886" s="136"/>
      <c r="AH886" s="136"/>
      <c r="AI886" s="136"/>
      <c r="AJ886" s="136"/>
      <c r="AK886" s="136"/>
      <c r="AL886" s="136"/>
      <c r="AM886" s="136"/>
      <c r="AN886" s="136"/>
      <c r="AO886" s="136"/>
      <c r="AP886" s="136"/>
      <c r="AQ886" s="136"/>
      <c r="AR886" s="136"/>
      <c r="AS886" s="136"/>
      <c r="AT886" s="136"/>
      <c r="AU886" s="136"/>
      <c r="AV886" s="136"/>
      <c r="AW886" s="136"/>
      <c r="AX886" s="136"/>
      <c r="AY886" s="136"/>
      <c r="AZ886" s="136"/>
      <c r="BA886" s="136"/>
      <c r="BB886" s="136"/>
      <c r="BC886" s="136"/>
      <c r="BD886" s="136"/>
      <c r="BE886" s="136"/>
      <c r="BF886" s="136"/>
      <c r="BG886" s="136"/>
      <c r="BH886" s="136"/>
      <c r="BI886" s="136"/>
    </row>
    <row r="887" spans="1:61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  <c r="AA887" s="136"/>
      <c r="AB887" s="136"/>
      <c r="AC887" s="136"/>
      <c r="AD887" s="136"/>
      <c r="AE887" s="136"/>
      <c r="AF887" s="136"/>
      <c r="AG887" s="136"/>
      <c r="AH887" s="136"/>
      <c r="AI887" s="136"/>
      <c r="AJ887" s="136"/>
      <c r="AK887" s="136"/>
      <c r="AL887" s="136"/>
      <c r="AM887" s="136"/>
      <c r="AN887" s="136"/>
      <c r="AO887" s="136"/>
      <c r="AP887" s="136"/>
      <c r="AQ887" s="136"/>
      <c r="AR887" s="136"/>
      <c r="AS887" s="136"/>
      <c r="AT887" s="136"/>
      <c r="AU887" s="136"/>
      <c r="AV887" s="136"/>
      <c r="AW887" s="136"/>
      <c r="AX887" s="136"/>
      <c r="AY887" s="136"/>
      <c r="AZ887" s="136"/>
      <c r="BA887" s="136"/>
      <c r="BB887" s="136"/>
      <c r="BC887" s="136"/>
      <c r="BD887" s="136"/>
      <c r="BE887" s="136"/>
      <c r="BF887" s="136"/>
      <c r="BG887" s="136"/>
      <c r="BH887" s="136"/>
      <c r="BI887" s="136"/>
    </row>
    <row r="888" spans="1:61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  <c r="AA888" s="136"/>
      <c r="AB888" s="136"/>
      <c r="AC888" s="136"/>
      <c r="AD888" s="136"/>
      <c r="AE888" s="136"/>
      <c r="AF888" s="136"/>
      <c r="AG888" s="136"/>
      <c r="AH888" s="136"/>
      <c r="AI888" s="136"/>
      <c r="AJ888" s="136"/>
      <c r="AK888" s="136"/>
      <c r="AL888" s="136"/>
      <c r="AM888" s="136"/>
      <c r="AN888" s="136"/>
      <c r="AO888" s="136"/>
      <c r="AP888" s="136"/>
      <c r="AQ888" s="136"/>
      <c r="AR888" s="136"/>
      <c r="AS888" s="136"/>
      <c r="AT888" s="136"/>
      <c r="AU888" s="136"/>
      <c r="AV888" s="136"/>
      <c r="AW888" s="136"/>
      <c r="AX888" s="136"/>
      <c r="AY888" s="136"/>
      <c r="AZ888" s="136"/>
      <c r="BA888" s="136"/>
      <c r="BB888" s="136"/>
      <c r="BC888" s="136"/>
      <c r="BD888" s="136"/>
      <c r="BE888" s="136"/>
      <c r="BF888" s="136"/>
      <c r="BG888" s="136"/>
      <c r="BH888" s="136"/>
      <c r="BI888" s="136"/>
    </row>
    <row r="889" spans="1:61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  <c r="AA889" s="136"/>
      <c r="AB889" s="136"/>
      <c r="AC889" s="136"/>
      <c r="AD889" s="136"/>
      <c r="AE889" s="136"/>
      <c r="AF889" s="136"/>
      <c r="AG889" s="136"/>
      <c r="AH889" s="136"/>
      <c r="AI889" s="136"/>
      <c r="AJ889" s="136"/>
      <c r="AK889" s="136"/>
      <c r="AL889" s="136"/>
      <c r="AM889" s="136"/>
      <c r="AN889" s="136"/>
      <c r="AO889" s="136"/>
      <c r="AP889" s="136"/>
      <c r="AQ889" s="136"/>
      <c r="AR889" s="136"/>
      <c r="AS889" s="136"/>
      <c r="AT889" s="136"/>
      <c r="AU889" s="136"/>
      <c r="AV889" s="136"/>
      <c r="AW889" s="136"/>
      <c r="AX889" s="136"/>
      <c r="AY889" s="136"/>
      <c r="AZ889" s="136"/>
      <c r="BA889" s="136"/>
      <c r="BB889" s="136"/>
      <c r="BC889" s="136"/>
      <c r="BD889" s="136"/>
      <c r="BE889" s="136"/>
      <c r="BF889" s="136"/>
      <c r="BG889" s="136"/>
      <c r="BH889" s="136"/>
      <c r="BI889" s="136"/>
    </row>
    <row r="890" spans="1:61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  <c r="AA890" s="136"/>
      <c r="AB890" s="136"/>
      <c r="AC890" s="136"/>
      <c r="AD890" s="136"/>
      <c r="AE890" s="136"/>
      <c r="AF890" s="136"/>
      <c r="AG890" s="136"/>
      <c r="AH890" s="136"/>
      <c r="AI890" s="136"/>
      <c r="AJ890" s="136"/>
      <c r="AK890" s="136"/>
      <c r="AL890" s="136"/>
      <c r="AM890" s="136"/>
      <c r="AN890" s="136"/>
      <c r="AO890" s="136"/>
      <c r="AP890" s="136"/>
      <c r="AQ890" s="136"/>
      <c r="AR890" s="136"/>
      <c r="AS890" s="136"/>
      <c r="AT890" s="136"/>
      <c r="AU890" s="136"/>
      <c r="AV890" s="136"/>
      <c r="AW890" s="136"/>
      <c r="AX890" s="136"/>
      <c r="AY890" s="136"/>
      <c r="AZ890" s="136"/>
      <c r="BA890" s="136"/>
      <c r="BB890" s="136"/>
      <c r="BC890" s="136"/>
      <c r="BD890" s="136"/>
      <c r="BE890" s="136"/>
      <c r="BF890" s="136"/>
      <c r="BG890" s="136"/>
      <c r="BH890" s="136"/>
      <c r="BI890" s="136"/>
    </row>
    <row r="891" spans="1:61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  <c r="AA891" s="136"/>
      <c r="AB891" s="136"/>
      <c r="AC891" s="136"/>
      <c r="AD891" s="136"/>
      <c r="AE891" s="136"/>
      <c r="AF891" s="136"/>
      <c r="AG891" s="136"/>
      <c r="AH891" s="136"/>
      <c r="AI891" s="136"/>
      <c r="AJ891" s="136"/>
      <c r="AK891" s="136"/>
      <c r="AL891" s="136"/>
      <c r="AM891" s="136"/>
      <c r="AN891" s="136"/>
      <c r="AO891" s="136"/>
      <c r="AP891" s="136"/>
      <c r="AQ891" s="136"/>
      <c r="AR891" s="136"/>
      <c r="AS891" s="136"/>
      <c r="AT891" s="136"/>
      <c r="AU891" s="136"/>
      <c r="AV891" s="136"/>
      <c r="AW891" s="136"/>
      <c r="AX891" s="136"/>
      <c r="AY891" s="136"/>
      <c r="AZ891" s="136"/>
      <c r="BA891" s="136"/>
      <c r="BB891" s="136"/>
      <c r="BC891" s="136"/>
      <c r="BD891" s="136"/>
      <c r="BE891" s="136"/>
      <c r="BF891" s="136"/>
      <c r="BG891" s="136"/>
      <c r="BH891" s="136"/>
      <c r="BI891" s="136"/>
    </row>
    <row r="892" spans="1:61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  <c r="AA892" s="136"/>
      <c r="AB892" s="136"/>
      <c r="AC892" s="136"/>
      <c r="AD892" s="136"/>
      <c r="AE892" s="136"/>
      <c r="AF892" s="136"/>
      <c r="AG892" s="136"/>
      <c r="AH892" s="136"/>
      <c r="AI892" s="136"/>
      <c r="AJ892" s="136"/>
      <c r="AK892" s="136"/>
      <c r="AL892" s="136"/>
      <c r="AM892" s="136"/>
      <c r="AN892" s="136"/>
      <c r="AO892" s="136"/>
      <c r="AP892" s="136"/>
      <c r="AQ892" s="136"/>
      <c r="AR892" s="136"/>
      <c r="AS892" s="136"/>
      <c r="AT892" s="136"/>
      <c r="AU892" s="136"/>
      <c r="AV892" s="136"/>
      <c r="AW892" s="136"/>
      <c r="AX892" s="136"/>
      <c r="AY892" s="136"/>
      <c r="AZ892" s="136"/>
      <c r="BA892" s="136"/>
      <c r="BB892" s="136"/>
      <c r="BC892" s="136"/>
      <c r="BD892" s="136"/>
      <c r="BE892" s="136"/>
      <c r="BF892" s="136"/>
      <c r="BG892" s="136"/>
      <c r="BH892" s="136"/>
      <c r="BI892" s="136"/>
    </row>
    <row r="893" spans="1:61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  <c r="AA893" s="136"/>
      <c r="AB893" s="136"/>
      <c r="AC893" s="136"/>
      <c r="AD893" s="136"/>
      <c r="AE893" s="136"/>
      <c r="AF893" s="136"/>
      <c r="AG893" s="136"/>
      <c r="AH893" s="136"/>
      <c r="AI893" s="136"/>
      <c r="AJ893" s="136"/>
      <c r="AK893" s="136"/>
      <c r="AL893" s="136"/>
      <c r="AM893" s="136"/>
      <c r="AN893" s="136"/>
      <c r="AO893" s="136"/>
      <c r="AP893" s="136"/>
      <c r="AQ893" s="136"/>
      <c r="AR893" s="136"/>
      <c r="AS893" s="136"/>
      <c r="AT893" s="136"/>
      <c r="AU893" s="136"/>
      <c r="AV893" s="136"/>
      <c r="AW893" s="136"/>
      <c r="AX893" s="136"/>
      <c r="AY893" s="136"/>
      <c r="AZ893" s="136"/>
      <c r="BA893" s="136"/>
      <c r="BB893" s="136"/>
      <c r="BC893" s="136"/>
      <c r="BD893" s="136"/>
      <c r="BE893" s="136"/>
      <c r="BF893" s="136"/>
      <c r="BG893" s="136"/>
      <c r="BH893" s="136"/>
      <c r="BI893" s="136"/>
    </row>
    <row r="894" spans="1:61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  <c r="AA894" s="136"/>
      <c r="AB894" s="136"/>
      <c r="AC894" s="136"/>
      <c r="AD894" s="136"/>
      <c r="AE894" s="136"/>
      <c r="AF894" s="136"/>
      <c r="AG894" s="136"/>
      <c r="AH894" s="136"/>
      <c r="AI894" s="136"/>
      <c r="AJ894" s="136"/>
      <c r="AK894" s="136"/>
      <c r="AL894" s="136"/>
      <c r="AM894" s="136"/>
      <c r="AN894" s="136"/>
      <c r="AO894" s="136"/>
      <c r="AP894" s="136"/>
      <c r="AQ894" s="136"/>
      <c r="AR894" s="136"/>
      <c r="AS894" s="136"/>
      <c r="AT894" s="136"/>
      <c r="AU894" s="136"/>
      <c r="AV894" s="136"/>
      <c r="AW894" s="136"/>
      <c r="AX894" s="136"/>
      <c r="AY894" s="136"/>
      <c r="AZ894" s="136"/>
      <c r="BA894" s="136"/>
      <c r="BB894" s="136"/>
      <c r="BC894" s="136"/>
      <c r="BD894" s="136"/>
      <c r="BE894" s="136"/>
      <c r="BF894" s="136"/>
      <c r="BG894" s="136"/>
      <c r="BH894" s="136"/>
      <c r="BI894" s="136"/>
    </row>
    <row r="895" spans="1:61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  <c r="AA895" s="136"/>
      <c r="AB895" s="136"/>
      <c r="AC895" s="136"/>
      <c r="AD895" s="136"/>
      <c r="AE895" s="136"/>
      <c r="AF895" s="136"/>
      <c r="AG895" s="136"/>
      <c r="AH895" s="136"/>
      <c r="AI895" s="136"/>
      <c r="AJ895" s="136"/>
      <c r="AK895" s="136"/>
      <c r="AL895" s="136"/>
      <c r="AM895" s="136"/>
      <c r="AN895" s="136"/>
      <c r="AO895" s="136"/>
      <c r="AP895" s="136"/>
      <c r="AQ895" s="136"/>
      <c r="AR895" s="136"/>
      <c r="AS895" s="136"/>
      <c r="AT895" s="136"/>
      <c r="AU895" s="136"/>
      <c r="AV895" s="136"/>
      <c r="AW895" s="136"/>
      <c r="AX895" s="136"/>
      <c r="AY895" s="136"/>
      <c r="AZ895" s="136"/>
      <c r="BA895" s="136"/>
      <c r="BB895" s="136"/>
      <c r="BC895" s="136"/>
      <c r="BD895" s="136"/>
      <c r="BE895" s="136"/>
      <c r="BF895" s="136"/>
      <c r="BG895" s="136"/>
      <c r="BH895" s="136"/>
      <c r="BI895" s="136"/>
    </row>
    <row r="896" spans="1:61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  <c r="AA896" s="136"/>
      <c r="AB896" s="136"/>
      <c r="AC896" s="136"/>
      <c r="AD896" s="136"/>
      <c r="AE896" s="136"/>
      <c r="AF896" s="136"/>
      <c r="AG896" s="136"/>
      <c r="AH896" s="136"/>
      <c r="AI896" s="136"/>
      <c r="AJ896" s="136"/>
      <c r="AK896" s="136"/>
      <c r="AL896" s="136"/>
      <c r="AM896" s="136"/>
      <c r="AN896" s="136"/>
      <c r="AO896" s="136"/>
      <c r="AP896" s="136"/>
      <c r="AQ896" s="136"/>
      <c r="AR896" s="136"/>
      <c r="AS896" s="136"/>
      <c r="AT896" s="136"/>
      <c r="AU896" s="136"/>
      <c r="AV896" s="136"/>
      <c r="AW896" s="136"/>
      <c r="AX896" s="136"/>
      <c r="AY896" s="136"/>
      <c r="AZ896" s="136"/>
      <c r="BA896" s="136"/>
      <c r="BB896" s="136"/>
      <c r="BC896" s="136"/>
      <c r="BD896" s="136"/>
      <c r="BE896" s="136"/>
      <c r="BF896" s="136"/>
      <c r="BG896" s="136"/>
      <c r="BH896" s="136"/>
      <c r="BI896" s="136"/>
    </row>
    <row r="897" spans="1:61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  <c r="AA897" s="136"/>
      <c r="AB897" s="136"/>
      <c r="AC897" s="136"/>
      <c r="AD897" s="136"/>
      <c r="AE897" s="136"/>
      <c r="AF897" s="136"/>
      <c r="AG897" s="136"/>
      <c r="AH897" s="136"/>
      <c r="AI897" s="136"/>
      <c r="AJ897" s="136"/>
      <c r="AK897" s="136"/>
      <c r="AL897" s="136"/>
      <c r="AM897" s="136"/>
      <c r="AN897" s="136"/>
      <c r="AO897" s="136"/>
      <c r="AP897" s="136"/>
      <c r="AQ897" s="136"/>
      <c r="AR897" s="136"/>
      <c r="AS897" s="136"/>
      <c r="AT897" s="136"/>
      <c r="AU897" s="136"/>
      <c r="AV897" s="136"/>
      <c r="AW897" s="136"/>
      <c r="AX897" s="136"/>
      <c r="AY897" s="136"/>
      <c r="AZ897" s="136"/>
      <c r="BA897" s="136"/>
      <c r="BB897" s="136"/>
      <c r="BC897" s="136"/>
      <c r="BD897" s="136"/>
      <c r="BE897" s="136"/>
      <c r="BF897" s="136"/>
      <c r="BG897" s="136"/>
      <c r="BH897" s="136"/>
      <c r="BI897" s="136"/>
    </row>
    <row r="898" spans="1:61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  <c r="AA898" s="136"/>
      <c r="AB898" s="136"/>
      <c r="AC898" s="136"/>
      <c r="AD898" s="136"/>
      <c r="AE898" s="136"/>
      <c r="AF898" s="136"/>
      <c r="AG898" s="136"/>
      <c r="AH898" s="136"/>
      <c r="AI898" s="136"/>
      <c r="AJ898" s="136"/>
      <c r="AK898" s="136"/>
      <c r="AL898" s="136"/>
      <c r="AM898" s="136"/>
      <c r="AN898" s="136"/>
      <c r="AO898" s="136"/>
      <c r="AP898" s="136"/>
      <c r="AQ898" s="136"/>
      <c r="AR898" s="136"/>
      <c r="AS898" s="136"/>
      <c r="AT898" s="136"/>
      <c r="AU898" s="136"/>
      <c r="AV898" s="136"/>
      <c r="AW898" s="136"/>
      <c r="AX898" s="136"/>
      <c r="AY898" s="136"/>
      <c r="AZ898" s="136"/>
      <c r="BA898" s="136"/>
      <c r="BB898" s="136"/>
      <c r="BC898" s="136"/>
      <c r="BD898" s="136"/>
      <c r="BE898" s="136"/>
      <c r="BF898" s="136"/>
      <c r="BG898" s="136"/>
      <c r="BH898" s="136"/>
      <c r="BI898" s="136"/>
    </row>
    <row r="899" spans="1:61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  <c r="AA899" s="136"/>
      <c r="AB899" s="136"/>
      <c r="AC899" s="136"/>
      <c r="AD899" s="136"/>
      <c r="AE899" s="136"/>
      <c r="AF899" s="136"/>
      <c r="AG899" s="136"/>
      <c r="AH899" s="136"/>
      <c r="AI899" s="136"/>
      <c r="AJ899" s="136"/>
      <c r="AK899" s="136"/>
      <c r="AL899" s="136"/>
      <c r="AM899" s="136"/>
      <c r="AN899" s="136"/>
      <c r="AO899" s="136"/>
      <c r="AP899" s="136"/>
      <c r="AQ899" s="136"/>
      <c r="AR899" s="136"/>
      <c r="AS899" s="136"/>
      <c r="AT899" s="136"/>
      <c r="AU899" s="136"/>
      <c r="AV899" s="136"/>
      <c r="AW899" s="136"/>
      <c r="AX899" s="136"/>
      <c r="AY899" s="136"/>
      <c r="AZ899" s="136"/>
      <c r="BA899" s="136"/>
      <c r="BB899" s="136"/>
      <c r="BC899" s="136"/>
      <c r="BD899" s="136"/>
      <c r="BE899" s="136"/>
      <c r="BF899" s="136"/>
      <c r="BG899" s="136"/>
      <c r="BH899" s="136"/>
      <c r="BI899" s="136"/>
    </row>
    <row r="900" spans="1:61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  <c r="AA900" s="136"/>
      <c r="AB900" s="136"/>
      <c r="AC900" s="136"/>
      <c r="AD900" s="136"/>
      <c r="AE900" s="136"/>
      <c r="AF900" s="136"/>
      <c r="AG900" s="136"/>
      <c r="AH900" s="136"/>
      <c r="AI900" s="136"/>
      <c r="AJ900" s="136"/>
      <c r="AK900" s="136"/>
      <c r="AL900" s="136"/>
      <c r="AM900" s="136"/>
      <c r="AN900" s="136"/>
      <c r="AO900" s="136"/>
      <c r="AP900" s="136"/>
      <c r="AQ900" s="136"/>
      <c r="AR900" s="136"/>
      <c r="AS900" s="136"/>
      <c r="AT900" s="136"/>
      <c r="AU900" s="136"/>
      <c r="AV900" s="136"/>
      <c r="AW900" s="136"/>
      <c r="AX900" s="136"/>
      <c r="AY900" s="136"/>
      <c r="AZ900" s="136"/>
      <c r="BA900" s="136"/>
      <c r="BB900" s="136"/>
      <c r="BC900" s="136"/>
      <c r="BD900" s="136"/>
      <c r="BE900" s="136"/>
      <c r="BF900" s="136"/>
      <c r="BG900" s="136"/>
      <c r="BH900" s="136"/>
      <c r="BI900" s="136"/>
    </row>
    <row r="901" spans="1:61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  <c r="AA901" s="136"/>
      <c r="AB901" s="136"/>
      <c r="AC901" s="136"/>
      <c r="AD901" s="136"/>
      <c r="AE901" s="136"/>
      <c r="AF901" s="136"/>
      <c r="AG901" s="136"/>
      <c r="AH901" s="136"/>
      <c r="AI901" s="136"/>
      <c r="AJ901" s="136"/>
      <c r="AK901" s="136"/>
      <c r="AL901" s="136"/>
      <c r="AM901" s="136"/>
      <c r="AN901" s="136"/>
      <c r="AO901" s="136"/>
      <c r="AP901" s="136"/>
      <c r="AQ901" s="136"/>
      <c r="AR901" s="136"/>
      <c r="AS901" s="136"/>
      <c r="AT901" s="136"/>
      <c r="AU901" s="136"/>
      <c r="AV901" s="136"/>
      <c r="AW901" s="136"/>
      <c r="AX901" s="136"/>
      <c r="AY901" s="136"/>
      <c r="AZ901" s="136"/>
      <c r="BA901" s="136"/>
      <c r="BB901" s="136"/>
      <c r="BC901" s="136"/>
      <c r="BD901" s="136"/>
      <c r="BE901" s="136"/>
      <c r="BF901" s="136"/>
      <c r="BG901" s="136"/>
      <c r="BH901" s="136"/>
      <c r="BI901" s="136"/>
    </row>
    <row r="902" spans="1:61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  <c r="AA902" s="136"/>
      <c r="AB902" s="136"/>
      <c r="AC902" s="136"/>
      <c r="AD902" s="136"/>
      <c r="AE902" s="136"/>
      <c r="AF902" s="136"/>
      <c r="AG902" s="136"/>
      <c r="AH902" s="136"/>
      <c r="AI902" s="136"/>
      <c r="AJ902" s="136"/>
      <c r="AK902" s="136"/>
      <c r="AL902" s="136"/>
      <c r="AM902" s="136"/>
      <c r="AN902" s="136"/>
      <c r="AO902" s="136"/>
      <c r="AP902" s="136"/>
      <c r="AQ902" s="136"/>
      <c r="AR902" s="136"/>
      <c r="AS902" s="136"/>
      <c r="AT902" s="136"/>
      <c r="AU902" s="136"/>
      <c r="AV902" s="136"/>
      <c r="AW902" s="136"/>
      <c r="AX902" s="136"/>
      <c r="AY902" s="136"/>
      <c r="AZ902" s="136"/>
      <c r="BA902" s="136"/>
      <c r="BB902" s="136"/>
      <c r="BC902" s="136"/>
      <c r="BD902" s="136"/>
      <c r="BE902" s="136"/>
      <c r="BF902" s="136"/>
      <c r="BG902" s="136"/>
      <c r="BH902" s="136"/>
      <c r="BI902" s="136"/>
    </row>
    <row r="903" spans="1:61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  <c r="AA903" s="136"/>
      <c r="AB903" s="136"/>
      <c r="AC903" s="136"/>
      <c r="AD903" s="136"/>
      <c r="AE903" s="136"/>
      <c r="AF903" s="136"/>
      <c r="AG903" s="136"/>
      <c r="AH903" s="136"/>
      <c r="AI903" s="136"/>
      <c r="AJ903" s="136"/>
      <c r="AK903" s="136"/>
      <c r="AL903" s="136"/>
      <c r="AM903" s="136"/>
      <c r="AN903" s="136"/>
      <c r="AO903" s="136"/>
      <c r="AP903" s="136"/>
      <c r="AQ903" s="136"/>
      <c r="AR903" s="136"/>
      <c r="AS903" s="136"/>
      <c r="AT903" s="136"/>
      <c r="AU903" s="136"/>
      <c r="AV903" s="136"/>
      <c r="AW903" s="136"/>
      <c r="AX903" s="136"/>
      <c r="AY903" s="136"/>
      <c r="AZ903" s="136"/>
      <c r="BA903" s="136"/>
      <c r="BB903" s="136"/>
      <c r="BC903" s="136"/>
      <c r="BD903" s="136"/>
      <c r="BE903" s="136"/>
      <c r="BF903" s="136"/>
      <c r="BG903" s="136"/>
      <c r="BH903" s="136"/>
      <c r="BI903" s="136"/>
    </row>
    <row r="904" spans="1:61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  <c r="AA904" s="136"/>
      <c r="AB904" s="136"/>
      <c r="AC904" s="136"/>
      <c r="AD904" s="136"/>
      <c r="AE904" s="136"/>
      <c r="AF904" s="136"/>
      <c r="AG904" s="136"/>
      <c r="AH904" s="136"/>
      <c r="AI904" s="136"/>
      <c r="AJ904" s="136"/>
      <c r="AK904" s="136"/>
      <c r="AL904" s="136"/>
      <c r="AM904" s="136"/>
      <c r="AN904" s="136"/>
      <c r="AO904" s="136"/>
      <c r="AP904" s="136"/>
      <c r="AQ904" s="136"/>
      <c r="AR904" s="136"/>
      <c r="AS904" s="136"/>
      <c r="AT904" s="136"/>
      <c r="AU904" s="136"/>
      <c r="AV904" s="136"/>
      <c r="AW904" s="136"/>
      <c r="AX904" s="136"/>
      <c r="AY904" s="136"/>
      <c r="AZ904" s="136"/>
      <c r="BA904" s="136"/>
      <c r="BB904" s="136"/>
      <c r="BC904" s="136"/>
      <c r="BD904" s="136"/>
      <c r="BE904" s="136"/>
      <c r="BF904" s="136"/>
      <c r="BG904" s="136"/>
      <c r="BH904" s="136"/>
      <c r="BI904" s="136"/>
    </row>
    <row r="905" spans="1:61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  <c r="AA905" s="136"/>
      <c r="AB905" s="136"/>
      <c r="AC905" s="136"/>
      <c r="AD905" s="136"/>
      <c r="AE905" s="136"/>
      <c r="AF905" s="136"/>
      <c r="AG905" s="136"/>
      <c r="AH905" s="136"/>
      <c r="AI905" s="136"/>
      <c r="AJ905" s="136"/>
      <c r="AK905" s="136"/>
      <c r="AL905" s="136"/>
      <c r="AM905" s="136"/>
      <c r="AN905" s="136"/>
      <c r="AO905" s="136"/>
      <c r="AP905" s="136"/>
      <c r="AQ905" s="136"/>
      <c r="AR905" s="136"/>
      <c r="AS905" s="136"/>
      <c r="AT905" s="136"/>
      <c r="AU905" s="136"/>
      <c r="AV905" s="136"/>
      <c r="AW905" s="136"/>
      <c r="AX905" s="136"/>
      <c r="AY905" s="136"/>
      <c r="AZ905" s="136"/>
      <c r="BA905" s="136"/>
      <c r="BB905" s="136"/>
      <c r="BC905" s="136"/>
      <c r="BD905" s="136"/>
      <c r="BE905" s="136"/>
      <c r="BF905" s="136"/>
      <c r="BG905" s="136"/>
      <c r="BH905" s="136"/>
      <c r="BI905" s="136"/>
    </row>
    <row r="906" spans="1:61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  <c r="AA906" s="136"/>
      <c r="AB906" s="136"/>
      <c r="AC906" s="136"/>
      <c r="AD906" s="136"/>
      <c r="AE906" s="136"/>
      <c r="AF906" s="136"/>
      <c r="AG906" s="136"/>
      <c r="AH906" s="136"/>
      <c r="AI906" s="136"/>
      <c r="AJ906" s="136"/>
      <c r="AK906" s="136"/>
      <c r="AL906" s="136"/>
      <c r="AM906" s="136"/>
      <c r="AN906" s="136"/>
      <c r="AO906" s="136"/>
      <c r="AP906" s="136"/>
      <c r="AQ906" s="136"/>
      <c r="AR906" s="136"/>
      <c r="AS906" s="136"/>
      <c r="AT906" s="136"/>
      <c r="AU906" s="136"/>
      <c r="AV906" s="136"/>
      <c r="AW906" s="136"/>
      <c r="AX906" s="136"/>
      <c r="AY906" s="136"/>
      <c r="AZ906" s="136"/>
      <c r="BA906" s="136"/>
      <c r="BB906" s="136"/>
      <c r="BC906" s="136"/>
      <c r="BD906" s="136"/>
      <c r="BE906" s="136"/>
      <c r="BF906" s="136"/>
      <c r="BG906" s="136"/>
      <c r="BH906" s="136"/>
      <c r="BI906" s="136"/>
    </row>
    <row r="907" spans="1:61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  <c r="AA907" s="136"/>
      <c r="AB907" s="136"/>
      <c r="AC907" s="136"/>
      <c r="AD907" s="136"/>
      <c r="AE907" s="136"/>
      <c r="AF907" s="136"/>
      <c r="AG907" s="136"/>
      <c r="AH907" s="136"/>
      <c r="AI907" s="136"/>
      <c r="AJ907" s="136"/>
      <c r="AK907" s="136"/>
      <c r="AL907" s="136"/>
      <c r="AM907" s="136"/>
      <c r="AN907" s="136"/>
      <c r="AO907" s="136"/>
      <c r="AP907" s="136"/>
      <c r="AQ907" s="136"/>
      <c r="AR907" s="136"/>
      <c r="AS907" s="136"/>
      <c r="AT907" s="136"/>
      <c r="AU907" s="136"/>
      <c r="AV907" s="136"/>
      <c r="AW907" s="136"/>
      <c r="AX907" s="136"/>
      <c r="AY907" s="136"/>
      <c r="AZ907" s="136"/>
      <c r="BA907" s="136"/>
      <c r="BB907" s="136"/>
      <c r="BC907" s="136"/>
      <c r="BD907" s="136"/>
      <c r="BE907" s="136"/>
      <c r="BF907" s="136"/>
      <c r="BG907" s="136"/>
      <c r="BH907" s="136"/>
      <c r="BI907" s="136"/>
    </row>
    <row r="908" spans="1:61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  <c r="AA908" s="136"/>
      <c r="AB908" s="136"/>
      <c r="AC908" s="136"/>
      <c r="AD908" s="136"/>
      <c r="AE908" s="136"/>
      <c r="AF908" s="136"/>
      <c r="AG908" s="136"/>
      <c r="AH908" s="136"/>
      <c r="AI908" s="136"/>
      <c r="AJ908" s="136"/>
      <c r="AK908" s="136"/>
      <c r="AL908" s="136"/>
      <c r="AM908" s="136"/>
      <c r="AN908" s="136"/>
      <c r="AO908" s="136"/>
      <c r="AP908" s="136"/>
      <c r="AQ908" s="136"/>
      <c r="AR908" s="136"/>
      <c r="AS908" s="136"/>
      <c r="AT908" s="136"/>
      <c r="AU908" s="136"/>
      <c r="AV908" s="136"/>
      <c r="AW908" s="136"/>
      <c r="AX908" s="136"/>
      <c r="AY908" s="136"/>
      <c r="AZ908" s="136"/>
      <c r="BA908" s="136"/>
      <c r="BB908" s="136"/>
      <c r="BC908" s="136"/>
      <c r="BD908" s="136"/>
      <c r="BE908" s="136"/>
      <c r="BF908" s="136"/>
      <c r="BG908" s="136"/>
      <c r="BH908" s="136"/>
      <c r="BI908" s="136"/>
    </row>
    <row r="909" spans="1:61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  <c r="AA909" s="136"/>
      <c r="AB909" s="136"/>
      <c r="AC909" s="136"/>
      <c r="AD909" s="136"/>
      <c r="AE909" s="136"/>
      <c r="AF909" s="136"/>
      <c r="AG909" s="136"/>
      <c r="AH909" s="136"/>
      <c r="AI909" s="136"/>
      <c r="AJ909" s="136"/>
      <c r="AK909" s="136"/>
      <c r="AL909" s="136"/>
      <c r="AM909" s="136"/>
      <c r="AN909" s="136"/>
      <c r="AO909" s="136"/>
      <c r="AP909" s="136"/>
      <c r="AQ909" s="136"/>
      <c r="AR909" s="136"/>
      <c r="AS909" s="136"/>
      <c r="AT909" s="136"/>
      <c r="AU909" s="136"/>
      <c r="AV909" s="136"/>
      <c r="AW909" s="136"/>
      <c r="AX909" s="136"/>
      <c r="AY909" s="136"/>
      <c r="AZ909" s="136"/>
      <c r="BA909" s="136"/>
      <c r="BB909" s="136"/>
      <c r="BC909" s="136"/>
      <c r="BD909" s="136"/>
      <c r="BE909" s="136"/>
      <c r="BF909" s="136"/>
      <c r="BG909" s="136"/>
      <c r="BH909" s="136"/>
      <c r="BI909" s="136"/>
    </row>
    <row r="910" spans="1:61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  <c r="AA910" s="136"/>
      <c r="AB910" s="136"/>
      <c r="AC910" s="136"/>
      <c r="AD910" s="136"/>
      <c r="AE910" s="136"/>
      <c r="AF910" s="136"/>
      <c r="AG910" s="136"/>
      <c r="AH910" s="136"/>
      <c r="AI910" s="136"/>
      <c r="AJ910" s="136"/>
      <c r="AK910" s="136"/>
      <c r="AL910" s="136"/>
      <c r="AM910" s="136"/>
      <c r="AN910" s="136"/>
      <c r="AO910" s="136"/>
      <c r="AP910" s="136"/>
      <c r="AQ910" s="136"/>
      <c r="AR910" s="136"/>
      <c r="AS910" s="136"/>
      <c r="AT910" s="136"/>
      <c r="AU910" s="136"/>
      <c r="AV910" s="136"/>
      <c r="AW910" s="136"/>
      <c r="AX910" s="136"/>
      <c r="AY910" s="136"/>
      <c r="AZ910" s="136"/>
      <c r="BA910" s="136"/>
      <c r="BB910" s="136"/>
      <c r="BC910" s="136"/>
      <c r="BD910" s="136"/>
      <c r="BE910" s="136"/>
      <c r="BF910" s="136"/>
      <c r="BG910" s="136"/>
      <c r="BH910" s="136"/>
      <c r="BI910" s="136"/>
    </row>
    <row r="911" spans="1:61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6"/>
      <c r="BA911" s="136"/>
      <c r="BB911" s="136"/>
      <c r="BC911" s="136"/>
      <c r="BD911" s="136"/>
      <c r="BE911" s="136"/>
      <c r="BF911" s="136"/>
      <c r="BG911" s="136"/>
      <c r="BH911" s="136"/>
      <c r="BI911" s="136"/>
    </row>
    <row r="912" spans="1:61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  <c r="AA912" s="136"/>
      <c r="AB912" s="136"/>
      <c r="AC912" s="136"/>
      <c r="AD912" s="136"/>
      <c r="AE912" s="136"/>
      <c r="AF912" s="136"/>
      <c r="AG912" s="136"/>
      <c r="AH912" s="136"/>
      <c r="AI912" s="136"/>
      <c r="AJ912" s="136"/>
      <c r="AK912" s="136"/>
      <c r="AL912" s="136"/>
      <c r="AM912" s="136"/>
      <c r="AN912" s="136"/>
      <c r="AO912" s="136"/>
      <c r="AP912" s="136"/>
      <c r="AQ912" s="136"/>
      <c r="AR912" s="136"/>
      <c r="AS912" s="136"/>
      <c r="AT912" s="136"/>
      <c r="AU912" s="136"/>
      <c r="AV912" s="136"/>
      <c r="AW912" s="136"/>
      <c r="AX912" s="136"/>
      <c r="AY912" s="136"/>
      <c r="AZ912" s="136"/>
      <c r="BA912" s="136"/>
      <c r="BB912" s="136"/>
      <c r="BC912" s="136"/>
      <c r="BD912" s="136"/>
      <c r="BE912" s="136"/>
      <c r="BF912" s="136"/>
      <c r="BG912" s="136"/>
      <c r="BH912" s="136"/>
      <c r="BI912" s="136"/>
    </row>
    <row r="913" spans="1:61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  <c r="AA913" s="136"/>
      <c r="AB913" s="136"/>
      <c r="AC913" s="136"/>
      <c r="AD913" s="136"/>
      <c r="AE913" s="136"/>
      <c r="AF913" s="136"/>
      <c r="AG913" s="136"/>
      <c r="AH913" s="136"/>
      <c r="AI913" s="136"/>
      <c r="AJ913" s="136"/>
      <c r="AK913" s="136"/>
      <c r="AL913" s="136"/>
      <c r="AM913" s="136"/>
      <c r="AN913" s="136"/>
      <c r="AO913" s="136"/>
      <c r="AP913" s="136"/>
      <c r="AQ913" s="136"/>
      <c r="AR913" s="136"/>
      <c r="AS913" s="136"/>
      <c r="AT913" s="136"/>
      <c r="AU913" s="136"/>
      <c r="AV913" s="136"/>
      <c r="AW913" s="136"/>
      <c r="AX913" s="136"/>
      <c r="AY913" s="136"/>
      <c r="AZ913" s="136"/>
      <c r="BA913" s="136"/>
      <c r="BB913" s="136"/>
      <c r="BC913" s="136"/>
      <c r="BD913" s="136"/>
      <c r="BE913" s="136"/>
      <c r="BF913" s="136"/>
      <c r="BG913" s="136"/>
      <c r="BH913" s="136"/>
      <c r="BI913" s="136"/>
    </row>
    <row r="914" spans="1:61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  <c r="AA914" s="136"/>
      <c r="AB914" s="136"/>
      <c r="AC914" s="136"/>
      <c r="AD914" s="136"/>
      <c r="AE914" s="136"/>
      <c r="AF914" s="136"/>
      <c r="AG914" s="136"/>
      <c r="AH914" s="136"/>
      <c r="AI914" s="136"/>
      <c r="AJ914" s="136"/>
      <c r="AK914" s="136"/>
      <c r="AL914" s="136"/>
      <c r="AM914" s="136"/>
      <c r="AN914" s="136"/>
      <c r="AO914" s="136"/>
      <c r="AP914" s="136"/>
      <c r="AQ914" s="136"/>
      <c r="AR914" s="136"/>
      <c r="AS914" s="136"/>
      <c r="AT914" s="136"/>
      <c r="AU914" s="136"/>
      <c r="AV914" s="136"/>
      <c r="AW914" s="136"/>
      <c r="AX914" s="136"/>
      <c r="AY914" s="136"/>
      <c r="AZ914" s="136"/>
      <c r="BA914" s="136"/>
      <c r="BB914" s="136"/>
      <c r="BC914" s="136"/>
      <c r="BD914" s="136"/>
      <c r="BE914" s="136"/>
      <c r="BF914" s="136"/>
      <c r="BG914" s="136"/>
      <c r="BH914" s="136"/>
      <c r="BI914" s="136"/>
    </row>
    <row r="915" spans="1:61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  <c r="AA915" s="136"/>
      <c r="AB915" s="136"/>
      <c r="AC915" s="136"/>
      <c r="AD915" s="136"/>
      <c r="AE915" s="136"/>
      <c r="AF915" s="136"/>
      <c r="AG915" s="136"/>
      <c r="AH915" s="136"/>
      <c r="AI915" s="136"/>
      <c r="AJ915" s="136"/>
      <c r="AK915" s="136"/>
      <c r="AL915" s="136"/>
      <c r="AM915" s="136"/>
      <c r="AN915" s="136"/>
      <c r="AO915" s="136"/>
      <c r="AP915" s="136"/>
      <c r="AQ915" s="136"/>
      <c r="AR915" s="136"/>
      <c r="AS915" s="136"/>
      <c r="AT915" s="136"/>
      <c r="AU915" s="136"/>
      <c r="AV915" s="136"/>
      <c r="AW915" s="136"/>
      <c r="AX915" s="136"/>
      <c r="AY915" s="136"/>
      <c r="AZ915" s="136"/>
      <c r="BA915" s="136"/>
      <c r="BB915" s="136"/>
      <c r="BC915" s="136"/>
      <c r="BD915" s="136"/>
      <c r="BE915" s="136"/>
      <c r="BF915" s="136"/>
      <c r="BG915" s="136"/>
      <c r="BH915" s="136"/>
      <c r="BI915" s="136"/>
    </row>
    <row r="916" spans="1:61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  <c r="AA916" s="136"/>
      <c r="AB916" s="136"/>
      <c r="AC916" s="136"/>
      <c r="AD916" s="136"/>
      <c r="AE916" s="136"/>
      <c r="AF916" s="136"/>
      <c r="AG916" s="136"/>
      <c r="AH916" s="136"/>
      <c r="AI916" s="136"/>
      <c r="AJ916" s="136"/>
      <c r="AK916" s="136"/>
      <c r="AL916" s="136"/>
      <c r="AM916" s="136"/>
      <c r="AN916" s="136"/>
      <c r="AO916" s="136"/>
      <c r="AP916" s="136"/>
      <c r="AQ916" s="136"/>
      <c r="AR916" s="136"/>
      <c r="AS916" s="136"/>
      <c r="AT916" s="136"/>
      <c r="AU916" s="136"/>
      <c r="AV916" s="136"/>
      <c r="AW916" s="136"/>
      <c r="AX916" s="136"/>
      <c r="AY916" s="136"/>
      <c r="AZ916" s="136"/>
      <c r="BA916" s="136"/>
      <c r="BB916" s="136"/>
      <c r="BC916" s="136"/>
      <c r="BD916" s="136"/>
      <c r="BE916" s="136"/>
      <c r="BF916" s="136"/>
      <c r="BG916" s="136"/>
      <c r="BH916" s="136"/>
      <c r="BI916" s="136"/>
    </row>
    <row r="917" spans="1:61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  <c r="AA917" s="136"/>
      <c r="AB917" s="136"/>
      <c r="AC917" s="136"/>
      <c r="AD917" s="136"/>
      <c r="AE917" s="136"/>
      <c r="AF917" s="136"/>
      <c r="AG917" s="136"/>
      <c r="AH917" s="136"/>
      <c r="AI917" s="136"/>
      <c r="AJ917" s="136"/>
      <c r="AK917" s="136"/>
      <c r="AL917" s="136"/>
      <c r="AM917" s="136"/>
      <c r="AN917" s="136"/>
      <c r="AO917" s="136"/>
      <c r="AP917" s="136"/>
      <c r="AQ917" s="136"/>
      <c r="AR917" s="136"/>
      <c r="AS917" s="136"/>
      <c r="AT917" s="136"/>
      <c r="AU917" s="136"/>
      <c r="AV917" s="136"/>
      <c r="AW917" s="136"/>
      <c r="AX917" s="136"/>
      <c r="AY917" s="136"/>
      <c r="AZ917" s="136"/>
      <c r="BA917" s="136"/>
      <c r="BB917" s="136"/>
      <c r="BC917" s="136"/>
      <c r="BD917" s="136"/>
      <c r="BE917" s="136"/>
      <c r="BF917" s="136"/>
      <c r="BG917" s="136"/>
      <c r="BH917" s="136"/>
      <c r="BI917" s="136"/>
    </row>
    <row r="918" spans="1:61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  <c r="AA918" s="136"/>
      <c r="AB918" s="136"/>
      <c r="AC918" s="136"/>
      <c r="AD918" s="136"/>
      <c r="AE918" s="136"/>
      <c r="AF918" s="136"/>
      <c r="AG918" s="136"/>
      <c r="AH918" s="136"/>
      <c r="AI918" s="136"/>
      <c r="AJ918" s="136"/>
      <c r="AK918" s="136"/>
      <c r="AL918" s="136"/>
      <c r="AM918" s="136"/>
      <c r="AN918" s="136"/>
      <c r="AO918" s="136"/>
      <c r="AP918" s="136"/>
      <c r="AQ918" s="136"/>
      <c r="AR918" s="136"/>
      <c r="AS918" s="136"/>
      <c r="AT918" s="136"/>
      <c r="AU918" s="136"/>
      <c r="AV918" s="136"/>
      <c r="AW918" s="136"/>
      <c r="AX918" s="136"/>
      <c r="AY918" s="136"/>
      <c r="AZ918" s="136"/>
      <c r="BA918" s="136"/>
      <c r="BB918" s="136"/>
      <c r="BC918" s="136"/>
      <c r="BD918" s="136"/>
      <c r="BE918" s="136"/>
      <c r="BF918" s="136"/>
      <c r="BG918" s="136"/>
      <c r="BH918" s="136"/>
      <c r="BI918" s="136"/>
    </row>
    <row r="919" spans="1:61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  <c r="AA919" s="136"/>
      <c r="AB919" s="136"/>
      <c r="AC919" s="136"/>
      <c r="AD919" s="136"/>
      <c r="AE919" s="136"/>
      <c r="AF919" s="136"/>
      <c r="AG919" s="136"/>
      <c r="AH919" s="136"/>
      <c r="AI919" s="136"/>
      <c r="AJ919" s="136"/>
      <c r="AK919" s="136"/>
      <c r="AL919" s="136"/>
      <c r="AM919" s="136"/>
      <c r="AN919" s="136"/>
      <c r="AO919" s="136"/>
      <c r="AP919" s="136"/>
      <c r="AQ919" s="136"/>
      <c r="AR919" s="136"/>
      <c r="AS919" s="136"/>
      <c r="AT919" s="136"/>
      <c r="AU919" s="136"/>
      <c r="AV919" s="136"/>
      <c r="AW919" s="136"/>
      <c r="AX919" s="136"/>
      <c r="AY919" s="136"/>
      <c r="AZ919" s="136"/>
      <c r="BA919" s="136"/>
      <c r="BB919" s="136"/>
      <c r="BC919" s="136"/>
      <c r="BD919" s="136"/>
      <c r="BE919" s="136"/>
      <c r="BF919" s="136"/>
      <c r="BG919" s="136"/>
      <c r="BH919" s="136"/>
      <c r="BI919" s="136"/>
    </row>
    <row r="920" spans="1:61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  <c r="AA920" s="136"/>
      <c r="AB920" s="136"/>
      <c r="AC920" s="136"/>
      <c r="AD920" s="136"/>
      <c r="AE920" s="136"/>
      <c r="AF920" s="136"/>
      <c r="AG920" s="136"/>
      <c r="AH920" s="136"/>
      <c r="AI920" s="136"/>
      <c r="AJ920" s="136"/>
      <c r="AK920" s="136"/>
      <c r="AL920" s="136"/>
      <c r="AM920" s="136"/>
      <c r="AN920" s="136"/>
      <c r="AO920" s="136"/>
      <c r="AP920" s="136"/>
      <c r="AQ920" s="136"/>
      <c r="AR920" s="136"/>
      <c r="AS920" s="136"/>
      <c r="AT920" s="136"/>
      <c r="AU920" s="136"/>
      <c r="AV920" s="136"/>
      <c r="AW920" s="136"/>
      <c r="AX920" s="136"/>
      <c r="AY920" s="136"/>
      <c r="AZ920" s="136"/>
      <c r="BA920" s="136"/>
      <c r="BB920" s="136"/>
      <c r="BC920" s="136"/>
      <c r="BD920" s="136"/>
      <c r="BE920" s="136"/>
      <c r="BF920" s="136"/>
      <c r="BG920" s="136"/>
      <c r="BH920" s="136"/>
      <c r="BI920" s="136"/>
    </row>
    <row r="921" spans="1:61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  <c r="AA921" s="136"/>
      <c r="AB921" s="136"/>
      <c r="AC921" s="136"/>
      <c r="AD921" s="136"/>
      <c r="AE921" s="136"/>
      <c r="AF921" s="136"/>
      <c r="AG921" s="136"/>
      <c r="AH921" s="136"/>
      <c r="AI921" s="136"/>
      <c r="AJ921" s="136"/>
      <c r="AK921" s="136"/>
      <c r="AL921" s="136"/>
      <c r="AM921" s="136"/>
      <c r="AN921" s="136"/>
      <c r="AO921" s="136"/>
      <c r="AP921" s="136"/>
      <c r="AQ921" s="136"/>
      <c r="AR921" s="136"/>
      <c r="AS921" s="136"/>
      <c r="AT921" s="136"/>
      <c r="AU921" s="136"/>
      <c r="AV921" s="136"/>
      <c r="AW921" s="136"/>
      <c r="AX921" s="136"/>
      <c r="AY921" s="136"/>
      <c r="AZ921" s="136"/>
      <c r="BA921" s="136"/>
      <c r="BB921" s="136"/>
      <c r="BC921" s="136"/>
      <c r="BD921" s="136"/>
      <c r="BE921" s="136"/>
      <c r="BF921" s="136"/>
      <c r="BG921" s="136"/>
      <c r="BH921" s="136"/>
      <c r="BI921" s="136"/>
    </row>
    <row r="922" spans="1:61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  <c r="AA922" s="136"/>
      <c r="AB922" s="136"/>
      <c r="AC922" s="136"/>
      <c r="AD922" s="136"/>
      <c r="AE922" s="136"/>
      <c r="AF922" s="136"/>
      <c r="AG922" s="136"/>
      <c r="AH922" s="136"/>
      <c r="AI922" s="136"/>
      <c r="AJ922" s="136"/>
      <c r="AK922" s="136"/>
      <c r="AL922" s="136"/>
      <c r="AM922" s="136"/>
      <c r="AN922" s="136"/>
      <c r="AO922" s="136"/>
      <c r="AP922" s="136"/>
      <c r="AQ922" s="136"/>
      <c r="AR922" s="136"/>
      <c r="AS922" s="136"/>
      <c r="AT922" s="136"/>
      <c r="AU922" s="136"/>
      <c r="AV922" s="136"/>
      <c r="AW922" s="136"/>
      <c r="AX922" s="136"/>
      <c r="AY922" s="136"/>
      <c r="AZ922" s="136"/>
      <c r="BA922" s="136"/>
      <c r="BB922" s="136"/>
      <c r="BC922" s="136"/>
      <c r="BD922" s="136"/>
      <c r="BE922" s="136"/>
      <c r="BF922" s="136"/>
      <c r="BG922" s="136"/>
      <c r="BH922" s="136"/>
      <c r="BI922" s="136"/>
    </row>
    <row r="923" spans="1:61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  <c r="AA923" s="136"/>
      <c r="AB923" s="136"/>
      <c r="AC923" s="136"/>
      <c r="AD923" s="136"/>
      <c r="AE923" s="136"/>
      <c r="AF923" s="136"/>
      <c r="AG923" s="136"/>
      <c r="AH923" s="136"/>
      <c r="AI923" s="136"/>
      <c r="AJ923" s="136"/>
      <c r="AK923" s="136"/>
      <c r="AL923" s="136"/>
      <c r="AM923" s="136"/>
      <c r="AN923" s="136"/>
      <c r="AO923" s="136"/>
      <c r="AP923" s="136"/>
      <c r="AQ923" s="136"/>
      <c r="AR923" s="136"/>
      <c r="AS923" s="136"/>
      <c r="AT923" s="136"/>
      <c r="AU923" s="136"/>
      <c r="AV923" s="136"/>
      <c r="AW923" s="136"/>
      <c r="AX923" s="136"/>
      <c r="AY923" s="136"/>
      <c r="AZ923" s="136"/>
      <c r="BA923" s="136"/>
      <c r="BB923" s="136"/>
      <c r="BC923" s="136"/>
      <c r="BD923" s="136"/>
      <c r="BE923" s="136"/>
      <c r="BF923" s="136"/>
      <c r="BG923" s="136"/>
      <c r="BH923" s="136"/>
      <c r="BI923" s="136"/>
    </row>
    <row r="924" spans="1:61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  <c r="AA924" s="136"/>
      <c r="AB924" s="136"/>
      <c r="AC924" s="136"/>
      <c r="AD924" s="136"/>
      <c r="AE924" s="136"/>
      <c r="AF924" s="136"/>
      <c r="AG924" s="136"/>
      <c r="AH924" s="136"/>
      <c r="AI924" s="136"/>
      <c r="AJ924" s="136"/>
      <c r="AK924" s="136"/>
      <c r="AL924" s="136"/>
      <c r="AM924" s="136"/>
      <c r="AN924" s="136"/>
      <c r="AO924" s="136"/>
      <c r="AP924" s="136"/>
      <c r="AQ924" s="136"/>
      <c r="AR924" s="136"/>
      <c r="AS924" s="136"/>
      <c r="AT924" s="136"/>
      <c r="AU924" s="136"/>
      <c r="AV924" s="136"/>
      <c r="AW924" s="136"/>
      <c r="AX924" s="136"/>
      <c r="AY924" s="136"/>
      <c r="AZ924" s="136"/>
      <c r="BA924" s="136"/>
      <c r="BB924" s="136"/>
      <c r="BC924" s="136"/>
      <c r="BD924" s="136"/>
      <c r="BE924" s="136"/>
      <c r="BF924" s="136"/>
      <c r="BG924" s="136"/>
      <c r="BH924" s="136"/>
      <c r="BI924" s="136"/>
    </row>
    <row r="925" spans="1:61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  <c r="AA925" s="136"/>
      <c r="AB925" s="136"/>
      <c r="AC925" s="136"/>
      <c r="AD925" s="136"/>
      <c r="AE925" s="136"/>
      <c r="AF925" s="136"/>
      <c r="AG925" s="136"/>
      <c r="AH925" s="136"/>
      <c r="AI925" s="136"/>
      <c r="AJ925" s="136"/>
      <c r="AK925" s="136"/>
      <c r="AL925" s="136"/>
      <c r="AM925" s="136"/>
      <c r="AN925" s="136"/>
      <c r="AO925" s="136"/>
      <c r="AP925" s="136"/>
      <c r="AQ925" s="136"/>
      <c r="AR925" s="136"/>
      <c r="AS925" s="136"/>
      <c r="AT925" s="136"/>
      <c r="AU925" s="136"/>
      <c r="AV925" s="136"/>
      <c r="AW925" s="136"/>
      <c r="AX925" s="136"/>
      <c r="AY925" s="136"/>
      <c r="AZ925" s="136"/>
      <c r="BA925" s="136"/>
      <c r="BB925" s="136"/>
      <c r="BC925" s="136"/>
      <c r="BD925" s="136"/>
      <c r="BE925" s="136"/>
      <c r="BF925" s="136"/>
      <c r="BG925" s="136"/>
      <c r="BH925" s="136"/>
      <c r="BI925" s="136"/>
    </row>
    <row r="926" spans="1:61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  <c r="AA926" s="136"/>
      <c r="AB926" s="136"/>
      <c r="AC926" s="136"/>
      <c r="AD926" s="136"/>
      <c r="AE926" s="136"/>
      <c r="AF926" s="136"/>
      <c r="AG926" s="136"/>
      <c r="AH926" s="136"/>
      <c r="AI926" s="136"/>
      <c r="AJ926" s="136"/>
      <c r="AK926" s="136"/>
      <c r="AL926" s="136"/>
      <c r="AM926" s="136"/>
      <c r="AN926" s="136"/>
      <c r="AO926" s="136"/>
      <c r="AP926" s="136"/>
      <c r="AQ926" s="136"/>
      <c r="AR926" s="136"/>
      <c r="AS926" s="136"/>
      <c r="AT926" s="136"/>
      <c r="AU926" s="136"/>
      <c r="AV926" s="136"/>
      <c r="AW926" s="136"/>
      <c r="AX926" s="136"/>
      <c r="AY926" s="136"/>
      <c r="AZ926" s="136"/>
      <c r="BA926" s="136"/>
      <c r="BB926" s="136"/>
      <c r="BC926" s="136"/>
      <c r="BD926" s="136"/>
      <c r="BE926" s="136"/>
      <c r="BF926" s="136"/>
      <c r="BG926" s="136"/>
      <c r="BH926" s="136"/>
      <c r="BI926" s="136"/>
    </row>
    <row r="927" spans="1:61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  <c r="AA927" s="136"/>
      <c r="AB927" s="136"/>
      <c r="AC927" s="136"/>
      <c r="AD927" s="136"/>
      <c r="AE927" s="136"/>
      <c r="AF927" s="136"/>
      <c r="AG927" s="136"/>
      <c r="AH927" s="136"/>
      <c r="AI927" s="136"/>
      <c r="AJ927" s="136"/>
      <c r="AK927" s="136"/>
      <c r="AL927" s="136"/>
      <c r="AM927" s="136"/>
      <c r="AN927" s="136"/>
      <c r="AO927" s="136"/>
      <c r="AP927" s="136"/>
      <c r="AQ927" s="136"/>
      <c r="AR927" s="136"/>
      <c r="AS927" s="136"/>
      <c r="AT927" s="136"/>
      <c r="AU927" s="136"/>
      <c r="AV927" s="136"/>
      <c r="AW927" s="136"/>
      <c r="AX927" s="136"/>
      <c r="AY927" s="136"/>
      <c r="AZ927" s="136"/>
      <c r="BA927" s="136"/>
      <c r="BB927" s="136"/>
      <c r="BC927" s="136"/>
      <c r="BD927" s="136"/>
      <c r="BE927" s="136"/>
      <c r="BF927" s="136"/>
      <c r="BG927" s="136"/>
      <c r="BH927" s="136"/>
      <c r="BI927" s="136"/>
    </row>
    <row r="928" spans="1:61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  <c r="AA928" s="136"/>
      <c r="AB928" s="136"/>
      <c r="AC928" s="136"/>
      <c r="AD928" s="136"/>
      <c r="AE928" s="136"/>
      <c r="AF928" s="136"/>
      <c r="AG928" s="136"/>
      <c r="AH928" s="136"/>
      <c r="AI928" s="136"/>
      <c r="AJ928" s="136"/>
      <c r="AK928" s="136"/>
      <c r="AL928" s="136"/>
      <c r="AM928" s="136"/>
      <c r="AN928" s="136"/>
      <c r="AO928" s="136"/>
      <c r="AP928" s="136"/>
      <c r="AQ928" s="136"/>
      <c r="AR928" s="136"/>
      <c r="AS928" s="136"/>
      <c r="AT928" s="136"/>
      <c r="AU928" s="136"/>
      <c r="AV928" s="136"/>
      <c r="AW928" s="136"/>
      <c r="AX928" s="136"/>
      <c r="AY928" s="136"/>
      <c r="AZ928" s="136"/>
      <c r="BA928" s="136"/>
      <c r="BB928" s="136"/>
      <c r="BC928" s="136"/>
      <c r="BD928" s="136"/>
      <c r="BE928" s="136"/>
      <c r="BF928" s="136"/>
      <c r="BG928" s="136"/>
      <c r="BH928" s="136"/>
      <c r="BI928" s="136"/>
    </row>
    <row r="929" spans="1:61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  <c r="AA929" s="136"/>
      <c r="AB929" s="136"/>
      <c r="AC929" s="136"/>
      <c r="AD929" s="136"/>
      <c r="AE929" s="136"/>
      <c r="AF929" s="136"/>
      <c r="AG929" s="136"/>
      <c r="AH929" s="136"/>
      <c r="AI929" s="136"/>
      <c r="AJ929" s="136"/>
      <c r="AK929" s="136"/>
      <c r="AL929" s="136"/>
      <c r="AM929" s="136"/>
      <c r="AN929" s="136"/>
      <c r="AO929" s="136"/>
      <c r="AP929" s="136"/>
      <c r="AQ929" s="136"/>
      <c r="AR929" s="136"/>
      <c r="AS929" s="136"/>
      <c r="AT929" s="136"/>
      <c r="AU929" s="136"/>
      <c r="AV929" s="136"/>
      <c r="AW929" s="136"/>
      <c r="AX929" s="136"/>
      <c r="AY929" s="136"/>
      <c r="AZ929" s="136"/>
      <c r="BA929" s="136"/>
      <c r="BB929" s="136"/>
      <c r="BC929" s="136"/>
      <c r="BD929" s="136"/>
      <c r="BE929" s="136"/>
      <c r="BF929" s="136"/>
      <c r="BG929" s="136"/>
      <c r="BH929" s="136"/>
      <c r="BI929" s="136"/>
    </row>
    <row r="930" spans="1:61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  <c r="AA930" s="136"/>
      <c r="AB930" s="136"/>
      <c r="AC930" s="136"/>
      <c r="AD930" s="136"/>
      <c r="AE930" s="136"/>
      <c r="AF930" s="136"/>
      <c r="AG930" s="136"/>
      <c r="AH930" s="136"/>
      <c r="AI930" s="136"/>
      <c r="AJ930" s="136"/>
      <c r="AK930" s="136"/>
      <c r="AL930" s="136"/>
      <c r="AM930" s="136"/>
      <c r="AN930" s="136"/>
      <c r="AO930" s="136"/>
      <c r="AP930" s="136"/>
      <c r="AQ930" s="136"/>
      <c r="AR930" s="136"/>
      <c r="AS930" s="136"/>
      <c r="AT930" s="136"/>
      <c r="AU930" s="136"/>
      <c r="AV930" s="136"/>
      <c r="AW930" s="136"/>
      <c r="AX930" s="136"/>
      <c r="AY930" s="136"/>
      <c r="AZ930" s="136"/>
      <c r="BA930" s="136"/>
      <c r="BB930" s="136"/>
      <c r="BC930" s="136"/>
      <c r="BD930" s="136"/>
      <c r="BE930" s="136"/>
      <c r="BF930" s="136"/>
      <c r="BG930" s="136"/>
      <c r="BH930" s="136"/>
      <c r="BI930" s="136"/>
    </row>
    <row r="931" spans="1:61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  <c r="AA931" s="136"/>
      <c r="AB931" s="136"/>
      <c r="AC931" s="136"/>
      <c r="AD931" s="136"/>
      <c r="AE931" s="136"/>
      <c r="AF931" s="136"/>
      <c r="AG931" s="136"/>
      <c r="AH931" s="136"/>
      <c r="AI931" s="136"/>
      <c r="AJ931" s="136"/>
      <c r="AK931" s="136"/>
      <c r="AL931" s="136"/>
      <c r="AM931" s="136"/>
      <c r="AN931" s="136"/>
      <c r="AO931" s="136"/>
      <c r="AP931" s="136"/>
      <c r="AQ931" s="136"/>
      <c r="AR931" s="136"/>
      <c r="AS931" s="136"/>
      <c r="AT931" s="136"/>
      <c r="AU931" s="136"/>
      <c r="AV931" s="136"/>
      <c r="AW931" s="136"/>
      <c r="AX931" s="136"/>
      <c r="AY931" s="136"/>
      <c r="AZ931" s="136"/>
      <c r="BA931" s="136"/>
      <c r="BB931" s="136"/>
      <c r="BC931" s="136"/>
      <c r="BD931" s="136"/>
      <c r="BE931" s="136"/>
      <c r="BF931" s="136"/>
      <c r="BG931" s="136"/>
      <c r="BH931" s="136"/>
      <c r="BI931" s="136"/>
    </row>
    <row r="932" spans="1:61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  <c r="AA932" s="136"/>
      <c r="AB932" s="136"/>
      <c r="AC932" s="136"/>
      <c r="AD932" s="136"/>
      <c r="AE932" s="136"/>
      <c r="AF932" s="136"/>
      <c r="AG932" s="136"/>
      <c r="AH932" s="136"/>
      <c r="AI932" s="136"/>
      <c r="AJ932" s="136"/>
      <c r="AK932" s="136"/>
      <c r="AL932" s="136"/>
      <c r="AM932" s="136"/>
      <c r="AN932" s="136"/>
      <c r="AO932" s="136"/>
      <c r="AP932" s="136"/>
      <c r="AQ932" s="136"/>
      <c r="AR932" s="136"/>
      <c r="AS932" s="136"/>
      <c r="AT932" s="136"/>
      <c r="AU932" s="136"/>
      <c r="AV932" s="136"/>
      <c r="AW932" s="136"/>
      <c r="AX932" s="136"/>
      <c r="AY932" s="136"/>
      <c r="AZ932" s="136"/>
      <c r="BA932" s="136"/>
      <c r="BB932" s="136"/>
      <c r="BC932" s="136"/>
      <c r="BD932" s="136"/>
      <c r="BE932" s="136"/>
      <c r="BF932" s="136"/>
      <c r="BG932" s="136"/>
      <c r="BH932" s="136"/>
      <c r="BI932" s="136"/>
    </row>
    <row r="933" spans="1:61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  <c r="AA933" s="136"/>
      <c r="AB933" s="136"/>
      <c r="AC933" s="136"/>
      <c r="AD933" s="136"/>
      <c r="AE933" s="136"/>
      <c r="AF933" s="136"/>
      <c r="AG933" s="136"/>
      <c r="AH933" s="136"/>
      <c r="AI933" s="136"/>
      <c r="AJ933" s="136"/>
      <c r="AK933" s="136"/>
      <c r="AL933" s="136"/>
      <c r="AM933" s="136"/>
      <c r="AN933" s="136"/>
      <c r="AO933" s="136"/>
      <c r="AP933" s="136"/>
      <c r="AQ933" s="136"/>
      <c r="AR933" s="136"/>
      <c r="AS933" s="136"/>
      <c r="AT933" s="136"/>
      <c r="AU933" s="136"/>
      <c r="AV933" s="136"/>
      <c r="AW933" s="136"/>
      <c r="AX933" s="136"/>
      <c r="AY933" s="136"/>
      <c r="AZ933" s="136"/>
      <c r="BA933" s="136"/>
      <c r="BB933" s="136"/>
      <c r="BC933" s="136"/>
      <c r="BD933" s="136"/>
      <c r="BE933" s="136"/>
      <c r="BF933" s="136"/>
      <c r="BG933" s="136"/>
      <c r="BH933" s="136"/>
      <c r="BI933" s="136"/>
    </row>
    <row r="934" spans="1:61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  <c r="AA934" s="136"/>
      <c r="AB934" s="136"/>
      <c r="AC934" s="136"/>
      <c r="AD934" s="136"/>
      <c r="AE934" s="136"/>
      <c r="AF934" s="136"/>
      <c r="AG934" s="136"/>
      <c r="AH934" s="136"/>
      <c r="AI934" s="136"/>
      <c r="AJ934" s="136"/>
      <c r="AK934" s="136"/>
      <c r="AL934" s="136"/>
      <c r="AM934" s="136"/>
      <c r="AN934" s="136"/>
      <c r="AO934" s="136"/>
      <c r="AP934" s="136"/>
      <c r="AQ934" s="136"/>
      <c r="AR934" s="136"/>
      <c r="AS934" s="136"/>
      <c r="AT934" s="136"/>
      <c r="AU934" s="136"/>
      <c r="AV934" s="136"/>
      <c r="AW934" s="136"/>
      <c r="AX934" s="136"/>
      <c r="AY934" s="136"/>
      <c r="AZ934" s="136"/>
      <c r="BA934" s="136"/>
      <c r="BB934" s="136"/>
      <c r="BC934" s="136"/>
      <c r="BD934" s="136"/>
      <c r="BE934" s="136"/>
      <c r="BF934" s="136"/>
      <c r="BG934" s="136"/>
      <c r="BH934" s="136"/>
      <c r="BI934" s="136"/>
    </row>
    <row r="935" spans="1:61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  <c r="AA935" s="136"/>
      <c r="AB935" s="136"/>
      <c r="AC935" s="136"/>
      <c r="AD935" s="136"/>
      <c r="AE935" s="136"/>
      <c r="AF935" s="136"/>
      <c r="AG935" s="136"/>
      <c r="AH935" s="136"/>
      <c r="AI935" s="136"/>
      <c r="AJ935" s="136"/>
      <c r="AK935" s="136"/>
      <c r="AL935" s="136"/>
      <c r="AM935" s="136"/>
      <c r="AN935" s="136"/>
      <c r="AO935" s="136"/>
      <c r="AP935" s="136"/>
      <c r="AQ935" s="136"/>
      <c r="AR935" s="136"/>
      <c r="AS935" s="136"/>
      <c r="AT935" s="136"/>
      <c r="AU935" s="136"/>
      <c r="AV935" s="136"/>
      <c r="AW935" s="136"/>
      <c r="AX935" s="136"/>
      <c r="AY935" s="136"/>
      <c r="AZ935" s="136"/>
      <c r="BA935" s="136"/>
      <c r="BB935" s="136"/>
      <c r="BC935" s="136"/>
      <c r="BD935" s="136"/>
      <c r="BE935" s="136"/>
      <c r="BF935" s="136"/>
      <c r="BG935" s="136"/>
      <c r="BH935" s="136"/>
      <c r="BI935" s="136"/>
    </row>
    <row r="936" spans="1:61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  <c r="AA936" s="136"/>
      <c r="AB936" s="136"/>
      <c r="AC936" s="136"/>
      <c r="AD936" s="136"/>
      <c r="AE936" s="136"/>
      <c r="AF936" s="136"/>
      <c r="AG936" s="136"/>
      <c r="AH936" s="136"/>
      <c r="AI936" s="136"/>
      <c r="AJ936" s="136"/>
      <c r="AK936" s="136"/>
      <c r="AL936" s="136"/>
      <c r="AM936" s="136"/>
      <c r="AN936" s="136"/>
      <c r="AO936" s="136"/>
      <c r="AP936" s="136"/>
      <c r="AQ936" s="136"/>
      <c r="AR936" s="136"/>
      <c r="AS936" s="136"/>
      <c r="AT936" s="136"/>
      <c r="AU936" s="136"/>
      <c r="AV936" s="136"/>
      <c r="AW936" s="136"/>
      <c r="AX936" s="136"/>
      <c r="AY936" s="136"/>
      <c r="AZ936" s="136"/>
      <c r="BA936" s="136"/>
      <c r="BB936" s="136"/>
      <c r="BC936" s="136"/>
      <c r="BD936" s="136"/>
      <c r="BE936" s="136"/>
      <c r="BF936" s="136"/>
      <c r="BG936" s="136"/>
      <c r="BH936" s="136"/>
      <c r="BI936" s="136"/>
    </row>
    <row r="937" spans="1:61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  <c r="AA937" s="136"/>
      <c r="AB937" s="136"/>
      <c r="AC937" s="136"/>
      <c r="AD937" s="136"/>
      <c r="AE937" s="136"/>
      <c r="AF937" s="136"/>
      <c r="AG937" s="136"/>
      <c r="AH937" s="136"/>
      <c r="AI937" s="136"/>
      <c r="AJ937" s="136"/>
      <c r="AK937" s="136"/>
      <c r="AL937" s="136"/>
      <c r="AM937" s="136"/>
      <c r="AN937" s="136"/>
      <c r="AO937" s="136"/>
      <c r="AP937" s="136"/>
      <c r="AQ937" s="136"/>
      <c r="AR937" s="136"/>
      <c r="AS937" s="136"/>
      <c r="AT937" s="136"/>
      <c r="AU937" s="136"/>
      <c r="AV937" s="136"/>
      <c r="AW937" s="136"/>
      <c r="AX937" s="136"/>
      <c r="AY937" s="136"/>
      <c r="AZ937" s="136"/>
      <c r="BA937" s="136"/>
      <c r="BB937" s="136"/>
      <c r="BC937" s="136"/>
      <c r="BD937" s="136"/>
      <c r="BE937" s="136"/>
      <c r="BF937" s="136"/>
      <c r="BG937" s="136"/>
      <c r="BH937" s="136"/>
      <c r="BI937" s="136"/>
    </row>
    <row r="938" spans="1:61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  <c r="AA938" s="136"/>
      <c r="AB938" s="136"/>
      <c r="AC938" s="136"/>
      <c r="AD938" s="136"/>
      <c r="AE938" s="136"/>
      <c r="AF938" s="136"/>
      <c r="AG938" s="136"/>
      <c r="AH938" s="136"/>
      <c r="AI938" s="136"/>
      <c r="AJ938" s="136"/>
      <c r="AK938" s="136"/>
      <c r="AL938" s="136"/>
      <c r="AM938" s="136"/>
      <c r="AN938" s="136"/>
      <c r="AO938" s="136"/>
      <c r="AP938" s="136"/>
      <c r="AQ938" s="136"/>
      <c r="AR938" s="136"/>
      <c r="AS938" s="136"/>
      <c r="AT938" s="136"/>
      <c r="AU938" s="136"/>
      <c r="AV938" s="136"/>
      <c r="AW938" s="136"/>
      <c r="AX938" s="136"/>
      <c r="AY938" s="136"/>
      <c r="AZ938" s="136"/>
      <c r="BA938" s="136"/>
      <c r="BB938" s="136"/>
      <c r="BC938" s="136"/>
      <c r="BD938" s="136"/>
      <c r="BE938" s="136"/>
      <c r="BF938" s="136"/>
      <c r="BG938" s="136"/>
      <c r="BH938" s="136"/>
      <c r="BI938" s="136"/>
    </row>
    <row r="939" spans="1:61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  <c r="AA939" s="136"/>
      <c r="AB939" s="136"/>
      <c r="AC939" s="136"/>
      <c r="AD939" s="136"/>
      <c r="AE939" s="136"/>
      <c r="AF939" s="136"/>
      <c r="AG939" s="136"/>
      <c r="AH939" s="136"/>
      <c r="AI939" s="136"/>
      <c r="AJ939" s="136"/>
      <c r="AK939" s="136"/>
      <c r="AL939" s="136"/>
      <c r="AM939" s="136"/>
      <c r="AN939" s="136"/>
      <c r="AO939" s="136"/>
      <c r="AP939" s="136"/>
      <c r="AQ939" s="136"/>
      <c r="AR939" s="136"/>
      <c r="AS939" s="136"/>
      <c r="AT939" s="136"/>
      <c r="AU939" s="136"/>
      <c r="AV939" s="136"/>
      <c r="AW939" s="136"/>
      <c r="AX939" s="136"/>
      <c r="AY939" s="136"/>
      <c r="AZ939" s="136"/>
      <c r="BA939" s="136"/>
      <c r="BB939" s="136"/>
      <c r="BC939" s="136"/>
      <c r="BD939" s="136"/>
      <c r="BE939" s="136"/>
      <c r="BF939" s="136"/>
      <c r="BG939" s="136"/>
      <c r="BH939" s="136"/>
      <c r="BI939" s="136"/>
    </row>
    <row r="940" spans="1:61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  <c r="AA940" s="136"/>
      <c r="AB940" s="136"/>
      <c r="AC940" s="136"/>
      <c r="AD940" s="136"/>
      <c r="AE940" s="136"/>
      <c r="AF940" s="136"/>
      <c r="AG940" s="136"/>
      <c r="AH940" s="136"/>
      <c r="AI940" s="136"/>
      <c r="AJ940" s="136"/>
      <c r="AK940" s="136"/>
      <c r="AL940" s="136"/>
      <c r="AM940" s="136"/>
      <c r="AN940" s="136"/>
      <c r="AO940" s="136"/>
      <c r="AP940" s="136"/>
      <c r="AQ940" s="136"/>
      <c r="AR940" s="136"/>
      <c r="AS940" s="136"/>
      <c r="AT940" s="136"/>
      <c r="AU940" s="136"/>
      <c r="AV940" s="136"/>
      <c r="AW940" s="136"/>
      <c r="AX940" s="136"/>
      <c r="AY940" s="136"/>
      <c r="AZ940" s="136"/>
      <c r="BA940" s="136"/>
      <c r="BB940" s="136"/>
      <c r="BC940" s="136"/>
      <c r="BD940" s="136"/>
      <c r="BE940" s="136"/>
      <c r="BF940" s="136"/>
      <c r="BG940" s="136"/>
      <c r="BH940" s="136"/>
      <c r="BI940" s="136"/>
    </row>
    <row r="941" spans="1:61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  <c r="AA941" s="136"/>
      <c r="AB941" s="136"/>
      <c r="AC941" s="136"/>
      <c r="AD941" s="136"/>
      <c r="AE941" s="136"/>
      <c r="AF941" s="136"/>
      <c r="AG941" s="136"/>
      <c r="AH941" s="136"/>
      <c r="AI941" s="136"/>
      <c r="AJ941" s="136"/>
      <c r="AK941" s="136"/>
      <c r="AL941" s="136"/>
      <c r="AM941" s="136"/>
      <c r="AN941" s="136"/>
      <c r="AO941" s="136"/>
      <c r="AP941" s="136"/>
      <c r="AQ941" s="136"/>
      <c r="AR941" s="136"/>
      <c r="AS941" s="136"/>
      <c r="AT941" s="136"/>
      <c r="AU941" s="136"/>
      <c r="AV941" s="136"/>
      <c r="AW941" s="136"/>
      <c r="AX941" s="136"/>
      <c r="AY941" s="136"/>
      <c r="AZ941" s="136"/>
      <c r="BA941" s="136"/>
      <c r="BB941" s="136"/>
      <c r="BC941" s="136"/>
      <c r="BD941" s="136"/>
      <c r="BE941" s="136"/>
      <c r="BF941" s="136"/>
      <c r="BG941" s="136"/>
      <c r="BH941" s="136"/>
      <c r="BI941" s="136"/>
    </row>
    <row r="942" spans="1:61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  <c r="AA942" s="136"/>
      <c r="AB942" s="136"/>
      <c r="AC942" s="136"/>
      <c r="AD942" s="136"/>
      <c r="AE942" s="136"/>
      <c r="AF942" s="136"/>
      <c r="AG942" s="136"/>
      <c r="AH942" s="136"/>
      <c r="AI942" s="136"/>
      <c r="AJ942" s="136"/>
      <c r="AK942" s="136"/>
      <c r="AL942" s="136"/>
      <c r="AM942" s="136"/>
      <c r="AN942" s="136"/>
      <c r="AO942" s="136"/>
      <c r="AP942" s="136"/>
      <c r="AQ942" s="136"/>
      <c r="AR942" s="136"/>
      <c r="AS942" s="136"/>
      <c r="AT942" s="136"/>
      <c r="AU942" s="136"/>
      <c r="AV942" s="136"/>
      <c r="AW942" s="136"/>
      <c r="AX942" s="136"/>
      <c r="AY942" s="136"/>
      <c r="AZ942" s="136"/>
      <c r="BA942" s="136"/>
      <c r="BB942" s="136"/>
      <c r="BC942" s="136"/>
      <c r="BD942" s="136"/>
      <c r="BE942" s="136"/>
      <c r="BF942" s="136"/>
      <c r="BG942" s="136"/>
      <c r="BH942" s="136"/>
      <c r="BI942" s="136"/>
    </row>
    <row r="943" spans="1:61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  <c r="AA943" s="136"/>
      <c r="AB943" s="136"/>
      <c r="AC943" s="136"/>
      <c r="AD943" s="136"/>
      <c r="AE943" s="136"/>
      <c r="AF943" s="136"/>
      <c r="AG943" s="136"/>
      <c r="AH943" s="136"/>
      <c r="AI943" s="136"/>
      <c r="AJ943" s="136"/>
      <c r="AK943" s="136"/>
      <c r="AL943" s="136"/>
      <c r="AM943" s="136"/>
      <c r="AN943" s="136"/>
      <c r="AO943" s="136"/>
      <c r="AP943" s="136"/>
      <c r="AQ943" s="136"/>
      <c r="AR943" s="136"/>
      <c r="AS943" s="136"/>
      <c r="AT943" s="136"/>
      <c r="AU943" s="136"/>
      <c r="AV943" s="136"/>
      <c r="AW943" s="136"/>
      <c r="AX943" s="136"/>
      <c r="AY943" s="136"/>
      <c r="AZ943" s="136"/>
      <c r="BA943" s="136"/>
      <c r="BB943" s="136"/>
      <c r="BC943" s="136"/>
      <c r="BD943" s="136"/>
      <c r="BE943" s="136"/>
      <c r="BF943" s="136"/>
      <c r="BG943" s="136"/>
      <c r="BH943" s="136"/>
      <c r="BI943" s="136"/>
    </row>
    <row r="944" spans="1:61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  <c r="AA944" s="136"/>
      <c r="AB944" s="136"/>
      <c r="AC944" s="136"/>
      <c r="AD944" s="136"/>
      <c r="AE944" s="136"/>
      <c r="AF944" s="136"/>
      <c r="AG944" s="136"/>
      <c r="AH944" s="136"/>
      <c r="AI944" s="136"/>
      <c r="AJ944" s="136"/>
      <c r="AK944" s="136"/>
      <c r="AL944" s="136"/>
      <c r="AM944" s="136"/>
      <c r="AN944" s="136"/>
      <c r="AO944" s="136"/>
      <c r="AP944" s="136"/>
      <c r="AQ944" s="136"/>
      <c r="AR944" s="136"/>
      <c r="AS944" s="136"/>
      <c r="AT944" s="136"/>
      <c r="AU944" s="136"/>
      <c r="AV944" s="136"/>
      <c r="AW944" s="136"/>
      <c r="AX944" s="136"/>
      <c r="AY944" s="136"/>
      <c r="AZ944" s="136"/>
      <c r="BA944" s="136"/>
      <c r="BB944" s="136"/>
      <c r="BC944" s="136"/>
      <c r="BD944" s="136"/>
      <c r="BE944" s="136"/>
      <c r="BF944" s="136"/>
      <c r="BG944" s="136"/>
      <c r="BH944" s="136"/>
      <c r="BI944" s="136"/>
    </row>
    <row r="945" spans="1:61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  <c r="AA945" s="136"/>
      <c r="AB945" s="136"/>
      <c r="AC945" s="136"/>
      <c r="AD945" s="136"/>
      <c r="AE945" s="136"/>
      <c r="AF945" s="136"/>
      <c r="AG945" s="136"/>
      <c r="AH945" s="136"/>
      <c r="AI945" s="136"/>
      <c r="AJ945" s="136"/>
      <c r="AK945" s="136"/>
      <c r="AL945" s="136"/>
      <c r="AM945" s="136"/>
      <c r="AN945" s="136"/>
      <c r="AO945" s="136"/>
      <c r="AP945" s="136"/>
      <c r="AQ945" s="136"/>
      <c r="AR945" s="136"/>
      <c r="AS945" s="136"/>
      <c r="AT945" s="136"/>
      <c r="AU945" s="136"/>
      <c r="AV945" s="136"/>
      <c r="AW945" s="136"/>
      <c r="AX945" s="136"/>
      <c r="AY945" s="136"/>
      <c r="AZ945" s="136"/>
      <c r="BA945" s="136"/>
      <c r="BB945" s="136"/>
      <c r="BC945" s="136"/>
      <c r="BD945" s="136"/>
      <c r="BE945" s="136"/>
      <c r="BF945" s="136"/>
      <c r="BG945" s="136"/>
      <c r="BH945" s="136"/>
      <c r="BI945" s="136"/>
    </row>
    <row r="946" spans="1:61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  <c r="AA946" s="136"/>
      <c r="AB946" s="136"/>
      <c r="AC946" s="136"/>
      <c r="AD946" s="136"/>
      <c r="AE946" s="136"/>
      <c r="AF946" s="136"/>
      <c r="AG946" s="136"/>
      <c r="AH946" s="136"/>
      <c r="AI946" s="136"/>
      <c r="AJ946" s="136"/>
      <c r="AK946" s="136"/>
      <c r="AL946" s="136"/>
      <c r="AM946" s="136"/>
      <c r="AN946" s="136"/>
      <c r="AO946" s="136"/>
      <c r="AP946" s="136"/>
      <c r="AQ946" s="136"/>
      <c r="AR946" s="136"/>
      <c r="AS946" s="136"/>
      <c r="AT946" s="136"/>
      <c r="AU946" s="136"/>
      <c r="AV946" s="136"/>
      <c r="AW946" s="136"/>
      <c r="AX946" s="136"/>
      <c r="AY946" s="136"/>
      <c r="AZ946" s="136"/>
      <c r="BA946" s="136"/>
      <c r="BB946" s="136"/>
      <c r="BC946" s="136"/>
      <c r="BD946" s="136"/>
      <c r="BE946" s="136"/>
      <c r="BF946" s="136"/>
      <c r="BG946" s="136"/>
      <c r="BH946" s="136"/>
      <c r="BI946" s="136"/>
    </row>
    <row r="947" spans="1:61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  <c r="AA947" s="136"/>
      <c r="AB947" s="136"/>
      <c r="AC947" s="136"/>
      <c r="AD947" s="136"/>
      <c r="AE947" s="136"/>
      <c r="AF947" s="136"/>
      <c r="AG947" s="136"/>
      <c r="AH947" s="136"/>
      <c r="AI947" s="136"/>
      <c r="AJ947" s="136"/>
      <c r="AK947" s="136"/>
      <c r="AL947" s="136"/>
      <c r="AM947" s="136"/>
      <c r="AN947" s="136"/>
      <c r="AO947" s="136"/>
      <c r="AP947" s="136"/>
      <c r="AQ947" s="136"/>
      <c r="AR947" s="136"/>
      <c r="AS947" s="136"/>
      <c r="AT947" s="136"/>
      <c r="AU947" s="136"/>
      <c r="AV947" s="136"/>
      <c r="AW947" s="136"/>
      <c r="AX947" s="136"/>
      <c r="AY947" s="136"/>
      <c r="AZ947" s="136"/>
      <c r="BA947" s="136"/>
      <c r="BB947" s="136"/>
      <c r="BC947" s="136"/>
      <c r="BD947" s="136"/>
      <c r="BE947" s="136"/>
      <c r="BF947" s="136"/>
      <c r="BG947" s="136"/>
      <c r="BH947" s="136"/>
      <c r="BI947" s="136"/>
    </row>
    <row r="948" spans="1:61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  <c r="AA948" s="136"/>
      <c r="AB948" s="136"/>
      <c r="AC948" s="136"/>
      <c r="AD948" s="136"/>
      <c r="AE948" s="136"/>
      <c r="AF948" s="136"/>
      <c r="AG948" s="136"/>
      <c r="AH948" s="136"/>
      <c r="AI948" s="136"/>
      <c r="AJ948" s="136"/>
      <c r="AK948" s="136"/>
      <c r="AL948" s="136"/>
      <c r="AM948" s="136"/>
      <c r="AN948" s="136"/>
      <c r="AO948" s="136"/>
      <c r="AP948" s="136"/>
      <c r="AQ948" s="136"/>
      <c r="AR948" s="136"/>
      <c r="AS948" s="136"/>
      <c r="AT948" s="136"/>
      <c r="AU948" s="136"/>
      <c r="AV948" s="136"/>
      <c r="AW948" s="136"/>
      <c r="AX948" s="136"/>
      <c r="AY948" s="136"/>
      <c r="AZ948" s="136"/>
      <c r="BA948" s="136"/>
      <c r="BB948" s="136"/>
      <c r="BC948" s="136"/>
      <c r="BD948" s="136"/>
      <c r="BE948" s="136"/>
      <c r="BF948" s="136"/>
      <c r="BG948" s="136"/>
      <c r="BH948" s="136"/>
      <c r="BI948" s="136"/>
    </row>
    <row r="949" spans="1:61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  <c r="AA949" s="136"/>
      <c r="AB949" s="136"/>
      <c r="AC949" s="136"/>
      <c r="AD949" s="136"/>
      <c r="AE949" s="136"/>
      <c r="AF949" s="136"/>
      <c r="AG949" s="136"/>
      <c r="AH949" s="136"/>
      <c r="AI949" s="136"/>
      <c r="AJ949" s="136"/>
      <c r="AK949" s="136"/>
      <c r="AL949" s="136"/>
      <c r="AM949" s="136"/>
      <c r="AN949" s="136"/>
      <c r="AO949" s="136"/>
      <c r="AP949" s="136"/>
      <c r="AQ949" s="136"/>
      <c r="AR949" s="136"/>
      <c r="AS949" s="136"/>
      <c r="AT949" s="136"/>
      <c r="AU949" s="136"/>
      <c r="AV949" s="136"/>
      <c r="AW949" s="136"/>
      <c r="AX949" s="136"/>
      <c r="AY949" s="136"/>
      <c r="AZ949" s="136"/>
      <c r="BA949" s="136"/>
      <c r="BB949" s="136"/>
      <c r="BC949" s="136"/>
      <c r="BD949" s="136"/>
      <c r="BE949" s="136"/>
      <c r="BF949" s="136"/>
      <c r="BG949" s="136"/>
      <c r="BH949" s="136"/>
      <c r="BI949" s="136"/>
    </row>
    <row r="950" spans="1:61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  <c r="AA950" s="136"/>
      <c r="AB950" s="136"/>
      <c r="AC950" s="136"/>
      <c r="AD950" s="136"/>
      <c r="AE950" s="136"/>
      <c r="AF950" s="136"/>
      <c r="AG950" s="136"/>
      <c r="AH950" s="136"/>
      <c r="AI950" s="136"/>
      <c r="AJ950" s="136"/>
      <c r="AK950" s="136"/>
      <c r="AL950" s="136"/>
      <c r="AM950" s="136"/>
      <c r="AN950" s="136"/>
      <c r="AO950" s="136"/>
      <c r="AP950" s="136"/>
      <c r="AQ950" s="136"/>
      <c r="AR950" s="136"/>
      <c r="AS950" s="136"/>
      <c r="AT950" s="136"/>
      <c r="AU950" s="136"/>
      <c r="AV950" s="136"/>
      <c r="AW950" s="136"/>
      <c r="AX950" s="136"/>
      <c r="AY950" s="136"/>
      <c r="AZ950" s="136"/>
      <c r="BA950" s="136"/>
      <c r="BB950" s="136"/>
      <c r="BC950" s="136"/>
      <c r="BD950" s="136"/>
      <c r="BE950" s="136"/>
      <c r="BF950" s="136"/>
      <c r="BG950" s="136"/>
      <c r="BH950" s="136"/>
      <c r="BI950" s="136"/>
    </row>
    <row r="951" spans="1:61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  <c r="AA951" s="136"/>
      <c r="AB951" s="136"/>
      <c r="AC951" s="136"/>
      <c r="AD951" s="136"/>
      <c r="AE951" s="136"/>
      <c r="AF951" s="136"/>
      <c r="AG951" s="136"/>
      <c r="AH951" s="136"/>
      <c r="AI951" s="136"/>
      <c r="AJ951" s="136"/>
      <c r="AK951" s="136"/>
      <c r="AL951" s="136"/>
      <c r="AM951" s="136"/>
      <c r="AN951" s="136"/>
      <c r="AO951" s="136"/>
      <c r="AP951" s="136"/>
      <c r="AQ951" s="136"/>
      <c r="AR951" s="136"/>
      <c r="AS951" s="136"/>
      <c r="AT951" s="136"/>
      <c r="AU951" s="136"/>
      <c r="AV951" s="136"/>
      <c r="AW951" s="136"/>
      <c r="AX951" s="136"/>
      <c r="AY951" s="136"/>
      <c r="AZ951" s="136"/>
      <c r="BA951" s="136"/>
      <c r="BB951" s="136"/>
      <c r="BC951" s="136"/>
      <c r="BD951" s="136"/>
      <c r="BE951" s="136"/>
      <c r="BF951" s="136"/>
      <c r="BG951" s="136"/>
      <c r="BH951" s="136"/>
      <c r="BI951" s="136"/>
    </row>
    <row r="952" spans="1:61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  <c r="AA952" s="136"/>
      <c r="AB952" s="136"/>
      <c r="AC952" s="136"/>
      <c r="AD952" s="136"/>
      <c r="AE952" s="136"/>
      <c r="AF952" s="136"/>
      <c r="AG952" s="136"/>
      <c r="AH952" s="136"/>
      <c r="AI952" s="136"/>
      <c r="AJ952" s="136"/>
      <c r="AK952" s="136"/>
      <c r="AL952" s="136"/>
      <c r="AM952" s="136"/>
      <c r="AN952" s="136"/>
      <c r="AO952" s="136"/>
      <c r="AP952" s="136"/>
      <c r="AQ952" s="136"/>
      <c r="AR952" s="136"/>
      <c r="AS952" s="136"/>
      <c r="AT952" s="136"/>
      <c r="AU952" s="136"/>
      <c r="AV952" s="136"/>
      <c r="AW952" s="136"/>
      <c r="AX952" s="136"/>
      <c r="AY952" s="136"/>
      <c r="AZ952" s="136"/>
      <c r="BA952" s="136"/>
      <c r="BB952" s="136"/>
      <c r="BC952" s="136"/>
      <c r="BD952" s="136"/>
      <c r="BE952" s="136"/>
      <c r="BF952" s="136"/>
      <c r="BG952" s="136"/>
      <c r="BH952" s="136"/>
      <c r="BI952" s="136"/>
    </row>
    <row r="953" spans="1:61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6"/>
      <c r="BA953" s="136"/>
      <c r="BB953" s="136"/>
      <c r="BC953" s="136"/>
      <c r="BD953" s="136"/>
      <c r="BE953" s="136"/>
      <c r="BF953" s="136"/>
      <c r="BG953" s="136"/>
      <c r="BH953" s="136"/>
      <c r="BI953" s="136"/>
    </row>
    <row r="954" spans="1:61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  <c r="AA954" s="136"/>
      <c r="AB954" s="136"/>
      <c r="AC954" s="136"/>
      <c r="AD954" s="136"/>
      <c r="AE954" s="136"/>
      <c r="AF954" s="136"/>
      <c r="AG954" s="136"/>
      <c r="AH954" s="136"/>
      <c r="AI954" s="136"/>
      <c r="AJ954" s="136"/>
      <c r="AK954" s="136"/>
      <c r="AL954" s="136"/>
      <c r="AM954" s="136"/>
      <c r="AN954" s="136"/>
      <c r="AO954" s="136"/>
      <c r="AP954" s="136"/>
      <c r="AQ954" s="136"/>
      <c r="AR954" s="136"/>
      <c r="AS954" s="136"/>
      <c r="AT954" s="136"/>
      <c r="AU954" s="136"/>
      <c r="AV954" s="136"/>
      <c r="AW954" s="136"/>
      <c r="AX954" s="136"/>
      <c r="AY954" s="136"/>
      <c r="AZ954" s="136"/>
      <c r="BA954" s="136"/>
      <c r="BB954" s="136"/>
      <c r="BC954" s="136"/>
      <c r="BD954" s="136"/>
      <c r="BE954" s="136"/>
      <c r="BF954" s="136"/>
      <c r="BG954" s="136"/>
      <c r="BH954" s="136"/>
      <c r="BI954" s="136"/>
    </row>
    <row r="955" spans="1:61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  <c r="AA955" s="136"/>
      <c r="AB955" s="136"/>
      <c r="AC955" s="136"/>
      <c r="AD955" s="136"/>
      <c r="AE955" s="136"/>
      <c r="AF955" s="136"/>
      <c r="AG955" s="136"/>
      <c r="AH955" s="136"/>
      <c r="AI955" s="136"/>
      <c r="AJ955" s="136"/>
      <c r="AK955" s="136"/>
      <c r="AL955" s="136"/>
      <c r="AM955" s="136"/>
      <c r="AN955" s="136"/>
      <c r="AO955" s="136"/>
      <c r="AP955" s="136"/>
      <c r="AQ955" s="136"/>
      <c r="AR955" s="136"/>
      <c r="AS955" s="136"/>
      <c r="AT955" s="136"/>
      <c r="AU955" s="136"/>
      <c r="AV955" s="136"/>
      <c r="AW955" s="136"/>
      <c r="AX955" s="136"/>
      <c r="AY955" s="136"/>
      <c r="AZ955" s="136"/>
      <c r="BA955" s="136"/>
      <c r="BB955" s="136"/>
      <c r="BC955" s="136"/>
      <c r="BD955" s="136"/>
      <c r="BE955" s="136"/>
      <c r="BF955" s="136"/>
      <c r="BG955" s="136"/>
      <c r="BH955" s="136"/>
      <c r="BI955" s="136"/>
    </row>
    <row r="956" spans="1:61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  <c r="AA956" s="136"/>
      <c r="AB956" s="136"/>
      <c r="AC956" s="136"/>
      <c r="AD956" s="136"/>
      <c r="AE956" s="136"/>
      <c r="AF956" s="136"/>
      <c r="AG956" s="136"/>
      <c r="AH956" s="136"/>
      <c r="AI956" s="136"/>
      <c r="AJ956" s="136"/>
      <c r="AK956" s="136"/>
      <c r="AL956" s="136"/>
      <c r="AM956" s="136"/>
      <c r="AN956" s="136"/>
      <c r="AO956" s="136"/>
      <c r="AP956" s="136"/>
      <c r="AQ956" s="136"/>
      <c r="AR956" s="136"/>
      <c r="AS956" s="136"/>
      <c r="AT956" s="136"/>
      <c r="AU956" s="136"/>
      <c r="AV956" s="136"/>
      <c r="AW956" s="136"/>
      <c r="AX956" s="136"/>
      <c r="AY956" s="136"/>
      <c r="AZ956" s="136"/>
      <c r="BA956" s="136"/>
      <c r="BB956" s="136"/>
      <c r="BC956" s="136"/>
      <c r="BD956" s="136"/>
      <c r="BE956" s="136"/>
      <c r="BF956" s="136"/>
      <c r="BG956" s="136"/>
      <c r="BH956" s="136"/>
      <c r="BI956" s="136"/>
    </row>
    <row r="957" spans="1:61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  <c r="AA957" s="136"/>
      <c r="AB957" s="136"/>
      <c r="AC957" s="136"/>
      <c r="AD957" s="136"/>
      <c r="AE957" s="136"/>
      <c r="AF957" s="136"/>
      <c r="AG957" s="136"/>
      <c r="AH957" s="136"/>
      <c r="AI957" s="136"/>
      <c r="AJ957" s="136"/>
      <c r="AK957" s="136"/>
      <c r="AL957" s="136"/>
      <c r="AM957" s="136"/>
      <c r="AN957" s="136"/>
      <c r="AO957" s="136"/>
      <c r="AP957" s="136"/>
      <c r="AQ957" s="136"/>
      <c r="AR957" s="136"/>
      <c r="AS957" s="136"/>
      <c r="AT957" s="136"/>
      <c r="AU957" s="136"/>
      <c r="AV957" s="136"/>
      <c r="AW957" s="136"/>
      <c r="AX957" s="136"/>
      <c r="AY957" s="136"/>
      <c r="AZ957" s="136"/>
      <c r="BA957" s="136"/>
      <c r="BB957" s="136"/>
      <c r="BC957" s="136"/>
      <c r="BD957" s="136"/>
      <c r="BE957" s="136"/>
      <c r="BF957" s="136"/>
      <c r="BG957" s="136"/>
      <c r="BH957" s="136"/>
      <c r="BI957" s="136"/>
    </row>
    <row r="958" spans="1:61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  <c r="AA958" s="136"/>
      <c r="AB958" s="136"/>
      <c r="AC958" s="136"/>
      <c r="AD958" s="136"/>
      <c r="AE958" s="136"/>
      <c r="AF958" s="136"/>
      <c r="AG958" s="136"/>
      <c r="AH958" s="136"/>
      <c r="AI958" s="136"/>
      <c r="AJ958" s="136"/>
      <c r="AK958" s="136"/>
      <c r="AL958" s="136"/>
      <c r="AM958" s="136"/>
      <c r="AN958" s="136"/>
      <c r="AO958" s="136"/>
      <c r="AP958" s="136"/>
      <c r="AQ958" s="136"/>
      <c r="AR958" s="136"/>
      <c r="AS958" s="136"/>
      <c r="AT958" s="136"/>
      <c r="AU958" s="136"/>
      <c r="AV958" s="136"/>
      <c r="AW958" s="136"/>
      <c r="AX958" s="136"/>
      <c r="AY958" s="136"/>
      <c r="AZ958" s="136"/>
      <c r="BA958" s="136"/>
      <c r="BB958" s="136"/>
      <c r="BC958" s="136"/>
      <c r="BD958" s="136"/>
      <c r="BE958" s="136"/>
      <c r="BF958" s="136"/>
      <c r="BG958" s="136"/>
      <c r="BH958" s="136"/>
      <c r="BI958" s="136"/>
    </row>
    <row r="959" spans="1:61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  <c r="AA959" s="136"/>
      <c r="AB959" s="136"/>
      <c r="AC959" s="136"/>
      <c r="AD959" s="136"/>
      <c r="AE959" s="136"/>
      <c r="AF959" s="136"/>
      <c r="AG959" s="136"/>
      <c r="AH959" s="136"/>
      <c r="AI959" s="136"/>
      <c r="AJ959" s="136"/>
      <c r="AK959" s="136"/>
      <c r="AL959" s="136"/>
      <c r="AM959" s="136"/>
      <c r="AN959" s="136"/>
      <c r="AO959" s="136"/>
      <c r="AP959" s="136"/>
      <c r="AQ959" s="136"/>
      <c r="AR959" s="136"/>
      <c r="AS959" s="136"/>
      <c r="AT959" s="136"/>
      <c r="AU959" s="136"/>
      <c r="AV959" s="136"/>
      <c r="AW959" s="136"/>
      <c r="AX959" s="136"/>
      <c r="AY959" s="136"/>
      <c r="AZ959" s="136"/>
      <c r="BA959" s="136"/>
      <c r="BB959" s="136"/>
      <c r="BC959" s="136"/>
      <c r="BD959" s="136"/>
      <c r="BE959" s="136"/>
      <c r="BF959" s="136"/>
      <c r="BG959" s="136"/>
      <c r="BH959" s="136"/>
      <c r="BI959" s="136"/>
    </row>
    <row r="960" spans="1:61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  <c r="AA960" s="136"/>
      <c r="AB960" s="136"/>
      <c r="AC960" s="136"/>
      <c r="AD960" s="136"/>
      <c r="AE960" s="136"/>
      <c r="AF960" s="136"/>
      <c r="AG960" s="136"/>
      <c r="AH960" s="136"/>
      <c r="AI960" s="136"/>
      <c r="AJ960" s="136"/>
      <c r="AK960" s="136"/>
      <c r="AL960" s="136"/>
      <c r="AM960" s="136"/>
      <c r="AN960" s="136"/>
      <c r="AO960" s="136"/>
      <c r="AP960" s="136"/>
      <c r="AQ960" s="136"/>
      <c r="AR960" s="136"/>
      <c r="AS960" s="136"/>
      <c r="AT960" s="136"/>
      <c r="AU960" s="136"/>
      <c r="AV960" s="136"/>
      <c r="AW960" s="136"/>
      <c r="AX960" s="136"/>
      <c r="AY960" s="136"/>
      <c r="AZ960" s="136"/>
      <c r="BA960" s="136"/>
      <c r="BB960" s="136"/>
      <c r="BC960" s="136"/>
      <c r="BD960" s="136"/>
      <c r="BE960" s="136"/>
      <c r="BF960" s="136"/>
      <c r="BG960" s="136"/>
      <c r="BH960" s="136"/>
      <c r="BI960" s="136"/>
    </row>
    <row r="961" spans="1:61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  <c r="AA961" s="136"/>
      <c r="AB961" s="136"/>
      <c r="AC961" s="136"/>
      <c r="AD961" s="136"/>
      <c r="AE961" s="136"/>
      <c r="AF961" s="136"/>
      <c r="AG961" s="136"/>
      <c r="AH961" s="136"/>
      <c r="AI961" s="136"/>
      <c r="AJ961" s="136"/>
      <c r="AK961" s="136"/>
      <c r="AL961" s="136"/>
      <c r="AM961" s="136"/>
      <c r="AN961" s="136"/>
      <c r="AO961" s="136"/>
      <c r="AP961" s="136"/>
      <c r="AQ961" s="136"/>
      <c r="AR961" s="136"/>
      <c r="AS961" s="136"/>
      <c r="AT961" s="136"/>
      <c r="AU961" s="136"/>
      <c r="AV961" s="136"/>
      <c r="AW961" s="136"/>
      <c r="AX961" s="136"/>
      <c r="AY961" s="136"/>
      <c r="AZ961" s="136"/>
      <c r="BA961" s="136"/>
      <c r="BB961" s="136"/>
      <c r="BC961" s="136"/>
      <c r="BD961" s="136"/>
      <c r="BE961" s="136"/>
      <c r="BF961" s="136"/>
      <c r="BG961" s="136"/>
      <c r="BH961" s="136"/>
      <c r="BI961" s="136"/>
    </row>
    <row r="962" spans="1:61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  <c r="AA962" s="136"/>
      <c r="AB962" s="136"/>
      <c r="AC962" s="136"/>
      <c r="AD962" s="136"/>
      <c r="AE962" s="136"/>
      <c r="AF962" s="136"/>
      <c r="AG962" s="136"/>
      <c r="AH962" s="136"/>
      <c r="AI962" s="136"/>
      <c r="AJ962" s="136"/>
      <c r="AK962" s="136"/>
      <c r="AL962" s="136"/>
      <c r="AM962" s="136"/>
      <c r="AN962" s="136"/>
      <c r="AO962" s="136"/>
      <c r="AP962" s="136"/>
      <c r="AQ962" s="136"/>
      <c r="AR962" s="136"/>
      <c r="AS962" s="136"/>
      <c r="AT962" s="136"/>
      <c r="AU962" s="136"/>
      <c r="AV962" s="136"/>
      <c r="AW962" s="136"/>
      <c r="AX962" s="136"/>
      <c r="AY962" s="136"/>
      <c r="AZ962" s="136"/>
      <c r="BA962" s="136"/>
      <c r="BB962" s="136"/>
      <c r="BC962" s="136"/>
      <c r="BD962" s="136"/>
      <c r="BE962" s="136"/>
      <c r="BF962" s="136"/>
      <c r="BG962" s="136"/>
      <c r="BH962" s="136"/>
      <c r="BI962" s="136"/>
    </row>
    <row r="963" spans="1:61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  <c r="AA963" s="136"/>
      <c r="AB963" s="136"/>
      <c r="AC963" s="136"/>
      <c r="AD963" s="136"/>
      <c r="AE963" s="136"/>
      <c r="AF963" s="136"/>
      <c r="AG963" s="136"/>
      <c r="AH963" s="136"/>
      <c r="AI963" s="136"/>
      <c r="AJ963" s="136"/>
      <c r="AK963" s="136"/>
      <c r="AL963" s="136"/>
      <c r="AM963" s="136"/>
      <c r="AN963" s="136"/>
      <c r="AO963" s="136"/>
      <c r="AP963" s="136"/>
      <c r="AQ963" s="136"/>
      <c r="AR963" s="136"/>
      <c r="AS963" s="136"/>
      <c r="AT963" s="136"/>
      <c r="AU963" s="136"/>
      <c r="AV963" s="136"/>
      <c r="AW963" s="136"/>
      <c r="AX963" s="136"/>
      <c r="AY963" s="136"/>
      <c r="AZ963" s="136"/>
      <c r="BA963" s="136"/>
      <c r="BB963" s="136"/>
      <c r="BC963" s="136"/>
      <c r="BD963" s="136"/>
      <c r="BE963" s="136"/>
      <c r="BF963" s="136"/>
      <c r="BG963" s="136"/>
      <c r="BH963" s="136"/>
      <c r="BI963" s="136"/>
    </row>
    <row r="964" spans="1:61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  <c r="AA964" s="136"/>
      <c r="AB964" s="136"/>
      <c r="AC964" s="136"/>
      <c r="AD964" s="136"/>
      <c r="AE964" s="136"/>
      <c r="AF964" s="136"/>
      <c r="AG964" s="136"/>
      <c r="AH964" s="136"/>
      <c r="AI964" s="136"/>
      <c r="AJ964" s="136"/>
      <c r="AK964" s="136"/>
      <c r="AL964" s="136"/>
      <c r="AM964" s="136"/>
      <c r="AN964" s="136"/>
      <c r="AO964" s="136"/>
      <c r="AP964" s="136"/>
      <c r="AQ964" s="136"/>
      <c r="AR964" s="136"/>
      <c r="AS964" s="136"/>
      <c r="AT964" s="136"/>
      <c r="AU964" s="136"/>
      <c r="AV964" s="136"/>
      <c r="AW964" s="136"/>
      <c r="AX964" s="136"/>
      <c r="AY964" s="136"/>
      <c r="AZ964" s="136"/>
      <c r="BA964" s="136"/>
      <c r="BB964" s="136"/>
      <c r="BC964" s="136"/>
      <c r="BD964" s="136"/>
      <c r="BE964" s="136"/>
      <c r="BF964" s="136"/>
      <c r="BG964" s="136"/>
      <c r="BH964" s="136"/>
      <c r="BI964" s="136"/>
    </row>
    <row r="965" spans="1:61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  <c r="AA965" s="136"/>
      <c r="AB965" s="136"/>
      <c r="AC965" s="136"/>
      <c r="AD965" s="136"/>
      <c r="AE965" s="136"/>
      <c r="AF965" s="136"/>
      <c r="AG965" s="136"/>
      <c r="AH965" s="136"/>
      <c r="AI965" s="136"/>
      <c r="AJ965" s="136"/>
      <c r="AK965" s="136"/>
      <c r="AL965" s="136"/>
      <c r="AM965" s="136"/>
      <c r="AN965" s="136"/>
      <c r="AO965" s="136"/>
      <c r="AP965" s="136"/>
      <c r="AQ965" s="136"/>
      <c r="AR965" s="136"/>
      <c r="AS965" s="136"/>
      <c r="AT965" s="136"/>
      <c r="AU965" s="136"/>
      <c r="AV965" s="136"/>
      <c r="AW965" s="136"/>
      <c r="AX965" s="136"/>
      <c r="AY965" s="136"/>
      <c r="AZ965" s="136"/>
      <c r="BA965" s="136"/>
      <c r="BB965" s="136"/>
      <c r="BC965" s="136"/>
      <c r="BD965" s="136"/>
      <c r="BE965" s="136"/>
      <c r="BF965" s="136"/>
      <c r="BG965" s="136"/>
      <c r="BH965" s="136"/>
      <c r="BI965" s="136"/>
    </row>
    <row r="966" spans="1:61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  <c r="AA966" s="136"/>
      <c r="AB966" s="136"/>
      <c r="AC966" s="136"/>
      <c r="AD966" s="136"/>
      <c r="AE966" s="136"/>
      <c r="AF966" s="136"/>
      <c r="AG966" s="136"/>
      <c r="AH966" s="136"/>
      <c r="AI966" s="136"/>
      <c r="AJ966" s="136"/>
      <c r="AK966" s="136"/>
      <c r="AL966" s="136"/>
      <c r="AM966" s="136"/>
      <c r="AN966" s="136"/>
      <c r="AO966" s="136"/>
      <c r="AP966" s="136"/>
      <c r="AQ966" s="136"/>
      <c r="AR966" s="136"/>
      <c r="AS966" s="136"/>
      <c r="AT966" s="136"/>
      <c r="AU966" s="136"/>
      <c r="AV966" s="136"/>
      <c r="AW966" s="136"/>
      <c r="AX966" s="136"/>
      <c r="AY966" s="136"/>
      <c r="AZ966" s="136"/>
      <c r="BA966" s="136"/>
      <c r="BB966" s="136"/>
      <c r="BC966" s="136"/>
      <c r="BD966" s="136"/>
      <c r="BE966" s="136"/>
      <c r="BF966" s="136"/>
      <c r="BG966" s="136"/>
      <c r="BH966" s="136"/>
      <c r="BI966" s="136"/>
    </row>
    <row r="967" spans="1:61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  <c r="AA967" s="136"/>
      <c r="AB967" s="136"/>
      <c r="AC967" s="136"/>
      <c r="AD967" s="136"/>
      <c r="AE967" s="136"/>
      <c r="AF967" s="136"/>
      <c r="AG967" s="136"/>
      <c r="AH967" s="136"/>
      <c r="AI967" s="136"/>
      <c r="AJ967" s="136"/>
      <c r="AK967" s="136"/>
      <c r="AL967" s="136"/>
      <c r="AM967" s="136"/>
      <c r="AN967" s="136"/>
      <c r="AO967" s="136"/>
      <c r="AP967" s="136"/>
      <c r="AQ967" s="136"/>
      <c r="AR967" s="136"/>
      <c r="AS967" s="136"/>
      <c r="AT967" s="136"/>
      <c r="AU967" s="136"/>
      <c r="AV967" s="136"/>
      <c r="AW967" s="136"/>
      <c r="AX967" s="136"/>
      <c r="AY967" s="136"/>
      <c r="AZ967" s="136"/>
      <c r="BA967" s="136"/>
      <c r="BB967" s="136"/>
      <c r="BC967" s="136"/>
      <c r="BD967" s="136"/>
      <c r="BE967" s="136"/>
      <c r="BF967" s="136"/>
      <c r="BG967" s="136"/>
      <c r="BH967" s="136"/>
      <c r="BI967" s="136"/>
    </row>
    <row r="968" spans="1:61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  <c r="AA968" s="136"/>
      <c r="AB968" s="136"/>
      <c r="AC968" s="136"/>
      <c r="AD968" s="136"/>
      <c r="AE968" s="136"/>
      <c r="AF968" s="136"/>
      <c r="AG968" s="136"/>
      <c r="AH968" s="136"/>
      <c r="AI968" s="136"/>
      <c r="AJ968" s="136"/>
      <c r="AK968" s="136"/>
      <c r="AL968" s="136"/>
      <c r="AM968" s="136"/>
      <c r="AN968" s="136"/>
      <c r="AO968" s="136"/>
      <c r="AP968" s="136"/>
      <c r="AQ968" s="136"/>
      <c r="AR968" s="136"/>
      <c r="AS968" s="136"/>
      <c r="AT968" s="136"/>
      <c r="AU968" s="136"/>
      <c r="AV968" s="136"/>
      <c r="AW968" s="136"/>
      <c r="AX968" s="136"/>
      <c r="AY968" s="136"/>
      <c r="AZ968" s="136"/>
      <c r="BA968" s="136"/>
      <c r="BB968" s="136"/>
      <c r="BC968" s="136"/>
      <c r="BD968" s="136"/>
      <c r="BE968" s="136"/>
      <c r="BF968" s="136"/>
      <c r="BG968" s="136"/>
      <c r="BH968" s="136"/>
      <c r="BI968" s="136"/>
    </row>
    <row r="969" spans="1:61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  <c r="AA969" s="136"/>
      <c r="AB969" s="136"/>
      <c r="AC969" s="136"/>
      <c r="AD969" s="136"/>
      <c r="AE969" s="136"/>
      <c r="AF969" s="136"/>
      <c r="AG969" s="136"/>
      <c r="AH969" s="136"/>
      <c r="AI969" s="136"/>
      <c r="AJ969" s="136"/>
      <c r="AK969" s="136"/>
      <c r="AL969" s="136"/>
      <c r="AM969" s="136"/>
      <c r="AN969" s="136"/>
      <c r="AO969" s="136"/>
      <c r="AP969" s="136"/>
      <c r="AQ969" s="136"/>
      <c r="AR969" s="136"/>
      <c r="AS969" s="136"/>
      <c r="AT969" s="136"/>
      <c r="AU969" s="136"/>
      <c r="AV969" s="136"/>
      <c r="AW969" s="136"/>
      <c r="AX969" s="136"/>
      <c r="AY969" s="136"/>
      <c r="AZ969" s="136"/>
      <c r="BA969" s="136"/>
      <c r="BB969" s="136"/>
      <c r="BC969" s="136"/>
      <c r="BD969" s="136"/>
      <c r="BE969" s="136"/>
      <c r="BF969" s="136"/>
      <c r="BG969" s="136"/>
      <c r="BH969" s="136"/>
      <c r="BI969" s="136"/>
    </row>
    <row r="970" spans="1:61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  <c r="AA970" s="136"/>
      <c r="AB970" s="136"/>
      <c r="AC970" s="136"/>
      <c r="AD970" s="136"/>
      <c r="AE970" s="136"/>
      <c r="AF970" s="136"/>
      <c r="AG970" s="136"/>
      <c r="AH970" s="136"/>
      <c r="AI970" s="136"/>
      <c r="AJ970" s="136"/>
      <c r="AK970" s="136"/>
      <c r="AL970" s="136"/>
      <c r="AM970" s="136"/>
      <c r="AN970" s="136"/>
      <c r="AO970" s="136"/>
      <c r="AP970" s="136"/>
      <c r="AQ970" s="136"/>
      <c r="AR970" s="136"/>
      <c r="AS970" s="136"/>
      <c r="AT970" s="136"/>
      <c r="AU970" s="136"/>
      <c r="AV970" s="136"/>
      <c r="AW970" s="136"/>
      <c r="AX970" s="136"/>
      <c r="AY970" s="136"/>
      <c r="AZ970" s="136"/>
      <c r="BA970" s="136"/>
      <c r="BB970" s="136"/>
      <c r="BC970" s="136"/>
      <c r="BD970" s="136"/>
      <c r="BE970" s="136"/>
      <c r="BF970" s="136"/>
      <c r="BG970" s="136"/>
      <c r="BH970" s="136"/>
      <c r="BI970" s="136"/>
    </row>
    <row r="971" spans="1:61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  <c r="AA971" s="136"/>
      <c r="AB971" s="136"/>
      <c r="AC971" s="136"/>
      <c r="AD971" s="136"/>
      <c r="AE971" s="136"/>
      <c r="AF971" s="136"/>
      <c r="AG971" s="136"/>
      <c r="AH971" s="136"/>
      <c r="AI971" s="136"/>
      <c r="AJ971" s="136"/>
      <c r="AK971" s="136"/>
      <c r="AL971" s="136"/>
      <c r="AM971" s="136"/>
      <c r="AN971" s="136"/>
      <c r="AO971" s="136"/>
      <c r="AP971" s="136"/>
      <c r="AQ971" s="136"/>
      <c r="AR971" s="136"/>
      <c r="AS971" s="136"/>
      <c r="AT971" s="136"/>
      <c r="AU971" s="136"/>
      <c r="AV971" s="136"/>
      <c r="AW971" s="136"/>
      <c r="AX971" s="136"/>
      <c r="AY971" s="136"/>
      <c r="AZ971" s="136"/>
      <c r="BA971" s="136"/>
      <c r="BB971" s="136"/>
      <c r="BC971" s="136"/>
      <c r="BD971" s="136"/>
      <c r="BE971" s="136"/>
      <c r="BF971" s="136"/>
      <c r="BG971" s="136"/>
      <c r="BH971" s="136"/>
      <c r="BI971" s="136"/>
    </row>
    <row r="972" spans="1:61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  <c r="AA972" s="136"/>
      <c r="AB972" s="136"/>
      <c r="AC972" s="136"/>
      <c r="AD972" s="136"/>
      <c r="AE972" s="136"/>
      <c r="AF972" s="136"/>
      <c r="AG972" s="136"/>
      <c r="AH972" s="136"/>
      <c r="AI972" s="136"/>
      <c r="AJ972" s="136"/>
      <c r="AK972" s="136"/>
      <c r="AL972" s="136"/>
      <c r="AM972" s="136"/>
      <c r="AN972" s="136"/>
      <c r="AO972" s="136"/>
      <c r="AP972" s="136"/>
      <c r="AQ972" s="136"/>
      <c r="AR972" s="136"/>
      <c r="AS972" s="136"/>
      <c r="AT972" s="136"/>
      <c r="AU972" s="136"/>
      <c r="AV972" s="136"/>
      <c r="AW972" s="136"/>
      <c r="AX972" s="136"/>
      <c r="AY972" s="136"/>
      <c r="AZ972" s="136"/>
      <c r="BA972" s="136"/>
      <c r="BB972" s="136"/>
      <c r="BC972" s="136"/>
      <c r="BD972" s="136"/>
      <c r="BE972" s="136"/>
      <c r="BF972" s="136"/>
      <c r="BG972" s="136"/>
      <c r="BH972" s="136"/>
      <c r="BI972" s="136"/>
    </row>
    <row r="973" spans="1:61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  <c r="AA973" s="136"/>
      <c r="AB973" s="136"/>
      <c r="AC973" s="136"/>
      <c r="AD973" s="136"/>
      <c r="AE973" s="136"/>
      <c r="AF973" s="136"/>
      <c r="AG973" s="136"/>
      <c r="AH973" s="136"/>
      <c r="AI973" s="136"/>
      <c r="AJ973" s="136"/>
      <c r="AK973" s="136"/>
      <c r="AL973" s="136"/>
      <c r="AM973" s="136"/>
      <c r="AN973" s="136"/>
      <c r="AO973" s="136"/>
      <c r="AP973" s="136"/>
      <c r="AQ973" s="136"/>
      <c r="AR973" s="136"/>
      <c r="AS973" s="136"/>
      <c r="AT973" s="136"/>
      <c r="AU973" s="136"/>
      <c r="AV973" s="136"/>
      <c r="AW973" s="136"/>
      <c r="AX973" s="136"/>
      <c r="AY973" s="136"/>
      <c r="AZ973" s="136"/>
      <c r="BA973" s="136"/>
      <c r="BB973" s="136"/>
      <c r="BC973" s="136"/>
      <c r="BD973" s="136"/>
      <c r="BE973" s="136"/>
      <c r="BF973" s="136"/>
      <c r="BG973" s="136"/>
      <c r="BH973" s="136"/>
      <c r="BI973" s="136"/>
    </row>
    <row r="974" spans="1:61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  <c r="AA974" s="136"/>
      <c r="AB974" s="136"/>
      <c r="AC974" s="136"/>
      <c r="AD974" s="136"/>
      <c r="AE974" s="136"/>
      <c r="AF974" s="136"/>
      <c r="AG974" s="136"/>
      <c r="AH974" s="136"/>
      <c r="AI974" s="136"/>
      <c r="AJ974" s="136"/>
      <c r="AK974" s="136"/>
      <c r="AL974" s="136"/>
      <c r="AM974" s="136"/>
      <c r="AN974" s="136"/>
      <c r="AO974" s="136"/>
      <c r="AP974" s="136"/>
      <c r="AQ974" s="136"/>
      <c r="AR974" s="136"/>
      <c r="AS974" s="136"/>
      <c r="AT974" s="136"/>
      <c r="AU974" s="136"/>
      <c r="AV974" s="136"/>
      <c r="AW974" s="136"/>
      <c r="AX974" s="136"/>
      <c r="AY974" s="136"/>
      <c r="AZ974" s="136"/>
      <c r="BA974" s="136"/>
      <c r="BB974" s="136"/>
      <c r="BC974" s="136"/>
      <c r="BD974" s="136"/>
      <c r="BE974" s="136"/>
      <c r="BF974" s="136"/>
      <c r="BG974" s="136"/>
      <c r="BH974" s="136"/>
      <c r="BI974" s="136"/>
    </row>
    <row r="975" spans="1:61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  <c r="AA975" s="136"/>
      <c r="AB975" s="136"/>
      <c r="AC975" s="136"/>
      <c r="AD975" s="136"/>
      <c r="AE975" s="136"/>
      <c r="AF975" s="136"/>
      <c r="AG975" s="136"/>
      <c r="AH975" s="136"/>
      <c r="AI975" s="136"/>
      <c r="AJ975" s="136"/>
      <c r="AK975" s="136"/>
      <c r="AL975" s="136"/>
      <c r="AM975" s="136"/>
      <c r="AN975" s="136"/>
      <c r="AO975" s="136"/>
      <c r="AP975" s="136"/>
      <c r="AQ975" s="136"/>
      <c r="AR975" s="136"/>
      <c r="AS975" s="136"/>
      <c r="AT975" s="136"/>
      <c r="AU975" s="136"/>
      <c r="AV975" s="136"/>
      <c r="AW975" s="136"/>
      <c r="AX975" s="136"/>
      <c r="AY975" s="136"/>
      <c r="AZ975" s="136"/>
      <c r="BA975" s="136"/>
      <c r="BB975" s="136"/>
      <c r="BC975" s="136"/>
      <c r="BD975" s="136"/>
      <c r="BE975" s="136"/>
      <c r="BF975" s="136"/>
      <c r="BG975" s="136"/>
      <c r="BH975" s="136"/>
      <c r="BI975" s="136"/>
    </row>
    <row r="976" spans="1:61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  <c r="AA976" s="136"/>
      <c r="AB976" s="136"/>
      <c r="AC976" s="136"/>
      <c r="AD976" s="136"/>
      <c r="AE976" s="136"/>
      <c r="AF976" s="136"/>
      <c r="AG976" s="136"/>
      <c r="AH976" s="136"/>
      <c r="AI976" s="136"/>
      <c r="AJ976" s="136"/>
      <c r="AK976" s="136"/>
      <c r="AL976" s="136"/>
      <c r="AM976" s="136"/>
      <c r="AN976" s="136"/>
      <c r="AO976" s="136"/>
      <c r="AP976" s="136"/>
      <c r="AQ976" s="136"/>
      <c r="AR976" s="136"/>
      <c r="AS976" s="136"/>
      <c r="AT976" s="136"/>
      <c r="AU976" s="136"/>
      <c r="AV976" s="136"/>
      <c r="AW976" s="136"/>
      <c r="AX976" s="136"/>
      <c r="AY976" s="136"/>
      <c r="AZ976" s="136"/>
      <c r="BA976" s="136"/>
      <c r="BB976" s="136"/>
      <c r="BC976" s="136"/>
      <c r="BD976" s="136"/>
      <c r="BE976" s="136"/>
      <c r="BF976" s="136"/>
      <c r="BG976" s="136"/>
      <c r="BH976" s="136"/>
      <c r="BI976" s="136"/>
    </row>
    <row r="977" spans="1:61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  <c r="AA977" s="136"/>
      <c r="AB977" s="136"/>
      <c r="AC977" s="136"/>
      <c r="AD977" s="136"/>
      <c r="AE977" s="136"/>
      <c r="AF977" s="136"/>
      <c r="AG977" s="136"/>
      <c r="AH977" s="136"/>
      <c r="AI977" s="136"/>
      <c r="AJ977" s="136"/>
      <c r="AK977" s="136"/>
      <c r="AL977" s="136"/>
      <c r="AM977" s="136"/>
      <c r="AN977" s="136"/>
      <c r="AO977" s="136"/>
      <c r="AP977" s="136"/>
      <c r="AQ977" s="136"/>
      <c r="AR977" s="136"/>
      <c r="AS977" s="136"/>
      <c r="AT977" s="136"/>
      <c r="AU977" s="136"/>
      <c r="AV977" s="136"/>
      <c r="AW977" s="136"/>
      <c r="AX977" s="136"/>
      <c r="AY977" s="136"/>
      <c r="AZ977" s="136"/>
      <c r="BA977" s="136"/>
      <c r="BB977" s="136"/>
      <c r="BC977" s="136"/>
      <c r="BD977" s="136"/>
      <c r="BE977" s="136"/>
      <c r="BF977" s="136"/>
      <c r="BG977" s="136"/>
      <c r="BH977" s="136"/>
      <c r="BI977" s="136"/>
    </row>
    <row r="978" spans="1:61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  <c r="AA978" s="136"/>
      <c r="AB978" s="136"/>
      <c r="AC978" s="136"/>
      <c r="AD978" s="136"/>
      <c r="AE978" s="136"/>
      <c r="AF978" s="136"/>
      <c r="AG978" s="136"/>
      <c r="AH978" s="136"/>
      <c r="AI978" s="136"/>
      <c r="AJ978" s="136"/>
      <c r="AK978" s="136"/>
      <c r="AL978" s="136"/>
      <c r="AM978" s="136"/>
      <c r="AN978" s="136"/>
      <c r="AO978" s="136"/>
      <c r="AP978" s="136"/>
      <c r="AQ978" s="136"/>
      <c r="AR978" s="136"/>
      <c r="AS978" s="136"/>
      <c r="AT978" s="136"/>
      <c r="AU978" s="136"/>
      <c r="AV978" s="136"/>
      <c r="AW978" s="136"/>
      <c r="AX978" s="136"/>
      <c r="AY978" s="136"/>
      <c r="AZ978" s="136"/>
      <c r="BA978" s="136"/>
      <c r="BB978" s="136"/>
      <c r="BC978" s="136"/>
      <c r="BD978" s="136"/>
      <c r="BE978" s="136"/>
      <c r="BF978" s="136"/>
      <c r="BG978" s="136"/>
      <c r="BH978" s="136"/>
      <c r="BI978" s="136"/>
    </row>
    <row r="979" spans="1:61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  <c r="AA979" s="136"/>
      <c r="AB979" s="136"/>
      <c r="AC979" s="136"/>
      <c r="AD979" s="136"/>
      <c r="AE979" s="136"/>
      <c r="AF979" s="136"/>
      <c r="AG979" s="136"/>
      <c r="AH979" s="136"/>
      <c r="AI979" s="136"/>
      <c r="AJ979" s="136"/>
      <c r="AK979" s="136"/>
      <c r="AL979" s="136"/>
      <c r="AM979" s="136"/>
      <c r="AN979" s="136"/>
      <c r="AO979" s="136"/>
      <c r="AP979" s="136"/>
      <c r="AQ979" s="136"/>
      <c r="AR979" s="136"/>
      <c r="AS979" s="136"/>
      <c r="AT979" s="136"/>
      <c r="AU979" s="136"/>
      <c r="AV979" s="136"/>
      <c r="AW979" s="136"/>
      <c r="AX979" s="136"/>
      <c r="AY979" s="136"/>
      <c r="AZ979" s="136"/>
      <c r="BA979" s="136"/>
      <c r="BB979" s="136"/>
      <c r="BC979" s="136"/>
      <c r="BD979" s="136"/>
      <c r="BE979" s="136"/>
      <c r="BF979" s="136"/>
      <c r="BG979" s="136"/>
      <c r="BH979" s="136"/>
      <c r="BI979" s="136"/>
    </row>
    <row r="980" spans="1:61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  <c r="AA980" s="136"/>
      <c r="AB980" s="136"/>
      <c r="AC980" s="136"/>
      <c r="AD980" s="136"/>
      <c r="AE980" s="136"/>
      <c r="AF980" s="136"/>
      <c r="AG980" s="136"/>
      <c r="AH980" s="136"/>
      <c r="AI980" s="136"/>
      <c r="AJ980" s="136"/>
      <c r="AK980" s="136"/>
      <c r="AL980" s="136"/>
      <c r="AM980" s="136"/>
      <c r="AN980" s="136"/>
      <c r="AO980" s="136"/>
      <c r="AP980" s="136"/>
      <c r="AQ980" s="136"/>
      <c r="AR980" s="136"/>
      <c r="AS980" s="136"/>
      <c r="AT980" s="136"/>
      <c r="AU980" s="136"/>
      <c r="AV980" s="136"/>
      <c r="AW980" s="136"/>
      <c r="AX980" s="136"/>
      <c r="AY980" s="136"/>
      <c r="AZ980" s="136"/>
      <c r="BA980" s="136"/>
      <c r="BB980" s="136"/>
      <c r="BC980" s="136"/>
      <c r="BD980" s="136"/>
      <c r="BE980" s="136"/>
      <c r="BF980" s="136"/>
      <c r="BG980" s="136"/>
      <c r="BH980" s="136"/>
      <c r="BI980" s="136"/>
    </row>
    <row r="981" spans="1:61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  <c r="AA981" s="136"/>
      <c r="AB981" s="136"/>
      <c r="AC981" s="136"/>
      <c r="AD981" s="136"/>
      <c r="AE981" s="136"/>
      <c r="AF981" s="136"/>
      <c r="AG981" s="136"/>
      <c r="AH981" s="136"/>
      <c r="AI981" s="136"/>
      <c r="AJ981" s="136"/>
      <c r="AK981" s="136"/>
      <c r="AL981" s="136"/>
      <c r="AM981" s="136"/>
      <c r="AN981" s="136"/>
      <c r="AO981" s="136"/>
      <c r="AP981" s="136"/>
      <c r="AQ981" s="136"/>
      <c r="AR981" s="136"/>
      <c r="AS981" s="136"/>
      <c r="AT981" s="136"/>
      <c r="AU981" s="136"/>
      <c r="AV981" s="136"/>
      <c r="AW981" s="136"/>
      <c r="AX981" s="136"/>
      <c r="AY981" s="136"/>
      <c r="AZ981" s="136"/>
      <c r="BA981" s="136"/>
      <c r="BB981" s="136"/>
      <c r="BC981" s="136"/>
      <c r="BD981" s="136"/>
      <c r="BE981" s="136"/>
      <c r="BF981" s="136"/>
      <c r="BG981" s="136"/>
      <c r="BH981" s="136"/>
      <c r="BI981" s="136"/>
    </row>
    <row r="982" spans="1:61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  <c r="AA982" s="136"/>
      <c r="AB982" s="136"/>
      <c r="AC982" s="136"/>
      <c r="AD982" s="136"/>
      <c r="AE982" s="136"/>
      <c r="AF982" s="136"/>
      <c r="AG982" s="136"/>
      <c r="AH982" s="136"/>
      <c r="AI982" s="136"/>
      <c r="AJ982" s="136"/>
      <c r="AK982" s="136"/>
      <c r="AL982" s="136"/>
      <c r="AM982" s="136"/>
      <c r="AN982" s="136"/>
      <c r="AO982" s="136"/>
      <c r="AP982" s="136"/>
      <c r="AQ982" s="136"/>
      <c r="AR982" s="136"/>
      <c r="AS982" s="136"/>
      <c r="AT982" s="136"/>
      <c r="AU982" s="136"/>
      <c r="AV982" s="136"/>
      <c r="AW982" s="136"/>
      <c r="AX982" s="136"/>
      <c r="AY982" s="136"/>
      <c r="AZ982" s="136"/>
      <c r="BA982" s="136"/>
      <c r="BB982" s="136"/>
      <c r="BC982" s="136"/>
      <c r="BD982" s="136"/>
      <c r="BE982" s="136"/>
      <c r="BF982" s="136"/>
      <c r="BG982" s="136"/>
      <c r="BH982" s="136"/>
      <c r="BI982" s="136"/>
    </row>
    <row r="983" spans="1:61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  <c r="AA983" s="136"/>
      <c r="AB983" s="136"/>
      <c r="AC983" s="136"/>
      <c r="AD983" s="136"/>
      <c r="AE983" s="136"/>
      <c r="AF983" s="136"/>
      <c r="AG983" s="136"/>
      <c r="AH983" s="136"/>
      <c r="AI983" s="136"/>
      <c r="AJ983" s="136"/>
      <c r="AK983" s="136"/>
      <c r="AL983" s="136"/>
      <c r="AM983" s="136"/>
      <c r="AN983" s="136"/>
      <c r="AO983" s="136"/>
      <c r="AP983" s="136"/>
      <c r="AQ983" s="136"/>
      <c r="AR983" s="136"/>
      <c r="AS983" s="136"/>
      <c r="AT983" s="136"/>
      <c r="AU983" s="136"/>
      <c r="AV983" s="136"/>
      <c r="AW983" s="136"/>
      <c r="AX983" s="136"/>
      <c r="AY983" s="136"/>
      <c r="AZ983" s="136"/>
      <c r="BA983" s="136"/>
      <c r="BB983" s="136"/>
      <c r="BC983" s="136"/>
      <c r="BD983" s="136"/>
      <c r="BE983" s="136"/>
      <c r="BF983" s="136"/>
      <c r="BG983" s="136"/>
      <c r="BH983" s="136"/>
      <c r="BI983" s="136"/>
    </row>
    <row r="984" spans="1:61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  <c r="AA984" s="136"/>
      <c r="AB984" s="136"/>
      <c r="AC984" s="136"/>
      <c r="AD984" s="136"/>
      <c r="AE984" s="136"/>
      <c r="AF984" s="136"/>
      <c r="AG984" s="136"/>
      <c r="AH984" s="136"/>
      <c r="AI984" s="136"/>
      <c r="AJ984" s="136"/>
      <c r="AK984" s="136"/>
      <c r="AL984" s="136"/>
      <c r="AM984" s="136"/>
      <c r="AN984" s="136"/>
      <c r="AO984" s="136"/>
      <c r="AP984" s="136"/>
      <c r="AQ984" s="136"/>
      <c r="AR984" s="136"/>
      <c r="AS984" s="136"/>
      <c r="AT984" s="136"/>
      <c r="AU984" s="136"/>
      <c r="AV984" s="136"/>
      <c r="AW984" s="136"/>
      <c r="AX984" s="136"/>
      <c r="AY984" s="136"/>
      <c r="AZ984" s="136"/>
      <c r="BA984" s="136"/>
      <c r="BB984" s="136"/>
      <c r="BC984" s="136"/>
      <c r="BD984" s="136"/>
      <c r="BE984" s="136"/>
      <c r="BF984" s="136"/>
      <c r="BG984" s="136"/>
      <c r="BH984" s="136"/>
      <c r="BI984" s="136"/>
    </row>
    <row r="985" spans="1:61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  <c r="AA985" s="136"/>
      <c r="AB985" s="136"/>
      <c r="AC985" s="136"/>
      <c r="AD985" s="136"/>
      <c r="AE985" s="136"/>
      <c r="AF985" s="136"/>
      <c r="AG985" s="136"/>
      <c r="AH985" s="136"/>
      <c r="AI985" s="136"/>
      <c r="AJ985" s="136"/>
      <c r="AK985" s="136"/>
      <c r="AL985" s="136"/>
      <c r="AM985" s="136"/>
      <c r="AN985" s="136"/>
      <c r="AO985" s="136"/>
      <c r="AP985" s="136"/>
      <c r="AQ985" s="136"/>
      <c r="AR985" s="136"/>
      <c r="AS985" s="136"/>
      <c r="AT985" s="136"/>
      <c r="AU985" s="136"/>
      <c r="AV985" s="136"/>
      <c r="AW985" s="136"/>
      <c r="AX985" s="136"/>
      <c r="AY985" s="136"/>
      <c r="AZ985" s="136"/>
      <c r="BA985" s="136"/>
      <c r="BB985" s="136"/>
      <c r="BC985" s="136"/>
      <c r="BD985" s="136"/>
      <c r="BE985" s="136"/>
      <c r="BF985" s="136"/>
      <c r="BG985" s="136"/>
      <c r="BH985" s="136"/>
      <c r="BI985" s="136"/>
    </row>
    <row r="986" spans="1:61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  <c r="AA986" s="136"/>
      <c r="AB986" s="136"/>
      <c r="AC986" s="136"/>
      <c r="AD986" s="136"/>
      <c r="AE986" s="136"/>
      <c r="AF986" s="136"/>
      <c r="AG986" s="136"/>
      <c r="AH986" s="136"/>
      <c r="AI986" s="136"/>
      <c r="AJ986" s="136"/>
      <c r="AK986" s="136"/>
      <c r="AL986" s="136"/>
      <c r="AM986" s="136"/>
      <c r="AN986" s="136"/>
      <c r="AO986" s="136"/>
      <c r="AP986" s="136"/>
      <c r="AQ986" s="136"/>
      <c r="AR986" s="136"/>
      <c r="AS986" s="136"/>
      <c r="AT986" s="136"/>
      <c r="AU986" s="136"/>
      <c r="AV986" s="136"/>
      <c r="AW986" s="136"/>
      <c r="AX986" s="136"/>
      <c r="AY986" s="136"/>
      <c r="AZ986" s="136"/>
      <c r="BA986" s="136"/>
      <c r="BB986" s="136"/>
      <c r="BC986" s="136"/>
      <c r="BD986" s="136"/>
      <c r="BE986" s="136"/>
      <c r="BF986" s="136"/>
      <c r="BG986" s="136"/>
      <c r="BH986" s="136"/>
      <c r="BI986" s="136"/>
    </row>
    <row r="987" spans="1:61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  <c r="AA987" s="136"/>
      <c r="AB987" s="136"/>
      <c r="AC987" s="136"/>
      <c r="AD987" s="136"/>
      <c r="AE987" s="136"/>
      <c r="AF987" s="136"/>
      <c r="AG987" s="136"/>
      <c r="AH987" s="136"/>
      <c r="AI987" s="136"/>
      <c r="AJ987" s="136"/>
      <c r="AK987" s="136"/>
      <c r="AL987" s="136"/>
      <c r="AM987" s="136"/>
      <c r="AN987" s="136"/>
      <c r="AO987" s="136"/>
      <c r="AP987" s="136"/>
      <c r="AQ987" s="136"/>
      <c r="AR987" s="136"/>
      <c r="AS987" s="136"/>
      <c r="AT987" s="136"/>
      <c r="AU987" s="136"/>
      <c r="AV987" s="136"/>
      <c r="AW987" s="136"/>
      <c r="AX987" s="136"/>
      <c r="AY987" s="136"/>
      <c r="AZ987" s="136"/>
      <c r="BA987" s="136"/>
      <c r="BB987" s="136"/>
      <c r="BC987" s="136"/>
      <c r="BD987" s="136"/>
      <c r="BE987" s="136"/>
      <c r="BF987" s="136"/>
      <c r="BG987" s="136"/>
      <c r="BH987" s="136"/>
      <c r="BI987" s="136"/>
    </row>
    <row r="988" spans="1:61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  <c r="AA988" s="136"/>
      <c r="AB988" s="136"/>
      <c r="AC988" s="136"/>
      <c r="AD988" s="136"/>
      <c r="AE988" s="136"/>
      <c r="AF988" s="136"/>
      <c r="AG988" s="136"/>
      <c r="AH988" s="136"/>
      <c r="AI988" s="136"/>
      <c r="AJ988" s="136"/>
      <c r="AK988" s="136"/>
      <c r="AL988" s="136"/>
      <c r="AM988" s="136"/>
      <c r="AN988" s="136"/>
      <c r="AO988" s="136"/>
      <c r="AP988" s="136"/>
      <c r="AQ988" s="136"/>
      <c r="AR988" s="136"/>
      <c r="AS988" s="136"/>
      <c r="AT988" s="136"/>
      <c r="AU988" s="136"/>
      <c r="AV988" s="136"/>
      <c r="AW988" s="136"/>
      <c r="AX988" s="136"/>
      <c r="AY988" s="136"/>
      <c r="AZ988" s="136"/>
      <c r="BA988" s="136"/>
      <c r="BB988" s="136"/>
      <c r="BC988" s="136"/>
      <c r="BD988" s="136"/>
      <c r="BE988" s="136"/>
      <c r="BF988" s="136"/>
      <c r="BG988" s="136"/>
      <c r="BH988" s="136"/>
      <c r="BI988" s="136"/>
    </row>
    <row r="989" spans="1:61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  <c r="AA989" s="136"/>
      <c r="AB989" s="136"/>
      <c r="AC989" s="136"/>
      <c r="AD989" s="136"/>
      <c r="AE989" s="136"/>
      <c r="AF989" s="136"/>
      <c r="AG989" s="136"/>
      <c r="AH989" s="136"/>
      <c r="AI989" s="136"/>
      <c r="AJ989" s="136"/>
      <c r="AK989" s="136"/>
      <c r="AL989" s="136"/>
      <c r="AM989" s="136"/>
      <c r="AN989" s="136"/>
      <c r="AO989" s="136"/>
      <c r="AP989" s="136"/>
      <c r="AQ989" s="136"/>
      <c r="AR989" s="136"/>
      <c r="AS989" s="136"/>
      <c r="AT989" s="136"/>
      <c r="AU989" s="136"/>
      <c r="AV989" s="136"/>
      <c r="AW989" s="136"/>
      <c r="AX989" s="136"/>
      <c r="AY989" s="136"/>
      <c r="AZ989" s="136"/>
      <c r="BA989" s="136"/>
      <c r="BB989" s="136"/>
      <c r="BC989" s="136"/>
      <c r="BD989" s="136"/>
      <c r="BE989" s="136"/>
      <c r="BF989" s="136"/>
      <c r="BG989" s="136"/>
      <c r="BH989" s="136"/>
      <c r="BI989" s="136"/>
    </row>
    <row r="990" spans="1:61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  <c r="AA990" s="136"/>
      <c r="AB990" s="136"/>
      <c r="AC990" s="136"/>
      <c r="AD990" s="136"/>
      <c r="AE990" s="136"/>
      <c r="AF990" s="136"/>
      <c r="AG990" s="136"/>
      <c r="AH990" s="136"/>
      <c r="AI990" s="136"/>
      <c r="AJ990" s="136"/>
      <c r="AK990" s="136"/>
      <c r="AL990" s="136"/>
      <c r="AM990" s="136"/>
      <c r="AN990" s="136"/>
      <c r="AO990" s="136"/>
      <c r="AP990" s="136"/>
      <c r="AQ990" s="136"/>
      <c r="AR990" s="136"/>
      <c r="AS990" s="136"/>
      <c r="AT990" s="136"/>
      <c r="AU990" s="136"/>
      <c r="AV990" s="136"/>
      <c r="AW990" s="136"/>
      <c r="AX990" s="136"/>
      <c r="AY990" s="136"/>
      <c r="AZ990" s="136"/>
      <c r="BA990" s="136"/>
      <c r="BB990" s="136"/>
      <c r="BC990" s="136"/>
      <c r="BD990" s="136"/>
      <c r="BE990" s="136"/>
      <c r="BF990" s="136"/>
      <c r="BG990" s="136"/>
      <c r="BH990" s="136"/>
      <c r="BI990" s="136"/>
    </row>
    <row r="991" spans="1:61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  <c r="AA991" s="136"/>
      <c r="AB991" s="136"/>
      <c r="AC991" s="136"/>
      <c r="AD991" s="136"/>
      <c r="AE991" s="136"/>
      <c r="AF991" s="136"/>
      <c r="AG991" s="136"/>
      <c r="AH991" s="136"/>
      <c r="AI991" s="136"/>
      <c r="AJ991" s="136"/>
      <c r="AK991" s="136"/>
      <c r="AL991" s="136"/>
      <c r="AM991" s="136"/>
      <c r="AN991" s="136"/>
      <c r="AO991" s="136"/>
      <c r="AP991" s="136"/>
      <c r="AQ991" s="136"/>
      <c r="AR991" s="136"/>
      <c r="AS991" s="136"/>
      <c r="AT991" s="136"/>
      <c r="AU991" s="136"/>
      <c r="AV991" s="136"/>
      <c r="AW991" s="136"/>
      <c r="AX991" s="136"/>
      <c r="AY991" s="136"/>
      <c r="AZ991" s="136"/>
      <c r="BA991" s="136"/>
      <c r="BB991" s="136"/>
      <c r="BC991" s="136"/>
      <c r="BD991" s="136"/>
      <c r="BE991" s="136"/>
      <c r="BF991" s="136"/>
      <c r="BG991" s="136"/>
      <c r="BH991" s="136"/>
      <c r="BI991" s="136"/>
    </row>
    <row r="992" spans="1:61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  <c r="AA992" s="136"/>
      <c r="AB992" s="136"/>
      <c r="AC992" s="136"/>
      <c r="AD992" s="136"/>
      <c r="AE992" s="136"/>
      <c r="AF992" s="136"/>
      <c r="AG992" s="136"/>
      <c r="AH992" s="136"/>
      <c r="AI992" s="136"/>
      <c r="AJ992" s="136"/>
      <c r="AK992" s="136"/>
      <c r="AL992" s="136"/>
      <c r="AM992" s="136"/>
      <c r="AN992" s="136"/>
      <c r="AO992" s="136"/>
      <c r="AP992" s="136"/>
      <c r="AQ992" s="136"/>
      <c r="AR992" s="136"/>
      <c r="AS992" s="136"/>
      <c r="AT992" s="136"/>
      <c r="AU992" s="136"/>
      <c r="AV992" s="136"/>
      <c r="AW992" s="136"/>
      <c r="AX992" s="136"/>
      <c r="AY992" s="136"/>
      <c r="AZ992" s="136"/>
      <c r="BA992" s="136"/>
      <c r="BB992" s="136"/>
      <c r="BC992" s="136"/>
      <c r="BD992" s="136"/>
      <c r="BE992" s="136"/>
      <c r="BF992" s="136"/>
      <c r="BG992" s="136"/>
      <c r="BH992" s="136"/>
      <c r="BI992" s="136"/>
    </row>
    <row r="993" spans="1:61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  <c r="AA993" s="136"/>
      <c r="AB993" s="136"/>
      <c r="AC993" s="136"/>
      <c r="AD993" s="136"/>
      <c r="AE993" s="136"/>
      <c r="AF993" s="136"/>
      <c r="AG993" s="136"/>
      <c r="AH993" s="136"/>
      <c r="AI993" s="136"/>
      <c r="AJ993" s="136"/>
      <c r="AK993" s="136"/>
      <c r="AL993" s="136"/>
      <c r="AM993" s="136"/>
      <c r="AN993" s="136"/>
      <c r="AO993" s="136"/>
      <c r="AP993" s="136"/>
      <c r="AQ993" s="136"/>
      <c r="AR993" s="136"/>
      <c r="AS993" s="136"/>
      <c r="AT993" s="136"/>
      <c r="AU993" s="136"/>
      <c r="AV993" s="136"/>
      <c r="AW993" s="136"/>
      <c r="AX993" s="136"/>
      <c r="AY993" s="136"/>
      <c r="AZ993" s="136"/>
      <c r="BA993" s="136"/>
      <c r="BB993" s="136"/>
      <c r="BC993" s="136"/>
      <c r="BD993" s="136"/>
      <c r="BE993" s="136"/>
      <c r="BF993" s="136"/>
      <c r="BG993" s="136"/>
      <c r="BH993" s="136"/>
      <c r="BI993" s="136"/>
    </row>
    <row r="994" spans="1:61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  <c r="AA994" s="136"/>
      <c r="AB994" s="136"/>
      <c r="AC994" s="136"/>
      <c r="AD994" s="136"/>
      <c r="AE994" s="136"/>
      <c r="AF994" s="136"/>
      <c r="AG994" s="136"/>
      <c r="AH994" s="136"/>
      <c r="AI994" s="136"/>
      <c r="AJ994" s="136"/>
      <c r="AK994" s="136"/>
      <c r="AL994" s="136"/>
      <c r="AM994" s="136"/>
      <c r="AN994" s="136"/>
      <c r="AO994" s="136"/>
      <c r="AP994" s="136"/>
      <c r="AQ994" s="136"/>
      <c r="AR994" s="136"/>
      <c r="AS994" s="136"/>
      <c r="AT994" s="136"/>
      <c r="AU994" s="136"/>
      <c r="AV994" s="136"/>
      <c r="AW994" s="136"/>
      <c r="AX994" s="136"/>
      <c r="AY994" s="136"/>
      <c r="AZ994" s="136"/>
      <c r="BA994" s="136"/>
      <c r="BB994" s="136"/>
      <c r="BC994" s="136"/>
      <c r="BD994" s="136"/>
      <c r="BE994" s="136"/>
      <c r="BF994" s="136"/>
      <c r="BG994" s="136"/>
      <c r="BH994" s="136"/>
      <c r="BI994" s="136"/>
    </row>
    <row r="995" spans="1:61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6"/>
      <c r="BA995" s="136"/>
      <c r="BB995" s="136"/>
      <c r="BC995" s="136"/>
      <c r="BD995" s="136"/>
      <c r="BE995" s="136"/>
      <c r="BF995" s="136"/>
      <c r="BG995" s="136"/>
      <c r="BH995" s="136"/>
      <c r="BI995" s="136"/>
    </row>
    <row r="996" spans="1:61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  <c r="AA996" s="136"/>
      <c r="AB996" s="136"/>
      <c r="AC996" s="136"/>
      <c r="AD996" s="136"/>
      <c r="AE996" s="136"/>
      <c r="AF996" s="136"/>
      <c r="AG996" s="136"/>
      <c r="AH996" s="136"/>
      <c r="AI996" s="136"/>
      <c r="AJ996" s="136"/>
      <c r="AK996" s="136"/>
      <c r="AL996" s="136"/>
      <c r="AM996" s="136"/>
      <c r="AN996" s="136"/>
      <c r="AO996" s="136"/>
      <c r="AP996" s="136"/>
      <c r="AQ996" s="136"/>
      <c r="AR996" s="136"/>
      <c r="AS996" s="136"/>
      <c r="AT996" s="136"/>
      <c r="AU996" s="136"/>
      <c r="AV996" s="136"/>
      <c r="AW996" s="136"/>
      <c r="AX996" s="136"/>
      <c r="AY996" s="136"/>
      <c r="AZ996" s="136"/>
      <c r="BA996" s="136"/>
      <c r="BB996" s="136"/>
      <c r="BC996" s="136"/>
      <c r="BD996" s="136"/>
      <c r="BE996" s="136"/>
      <c r="BF996" s="136"/>
      <c r="BG996" s="136"/>
      <c r="BH996" s="136"/>
      <c r="BI996" s="136"/>
    </row>
    <row r="997" spans="1:61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  <c r="AA997" s="136"/>
      <c r="AB997" s="136"/>
      <c r="AC997" s="136"/>
      <c r="AD997" s="136"/>
      <c r="AE997" s="136"/>
      <c r="AF997" s="136"/>
      <c r="AG997" s="136"/>
      <c r="AH997" s="136"/>
      <c r="AI997" s="136"/>
      <c r="AJ997" s="136"/>
      <c r="AK997" s="136"/>
      <c r="AL997" s="136"/>
      <c r="AM997" s="136"/>
      <c r="AN997" s="136"/>
      <c r="AO997" s="136"/>
      <c r="AP997" s="136"/>
      <c r="AQ997" s="136"/>
      <c r="AR997" s="136"/>
      <c r="AS997" s="136"/>
      <c r="AT997" s="136"/>
      <c r="AU997" s="136"/>
      <c r="AV997" s="136"/>
      <c r="AW997" s="136"/>
      <c r="AX997" s="136"/>
      <c r="AY997" s="136"/>
      <c r="AZ997" s="136"/>
      <c r="BA997" s="136"/>
      <c r="BB997" s="136"/>
      <c r="BC997" s="136"/>
      <c r="BD997" s="136"/>
      <c r="BE997" s="136"/>
      <c r="BF997" s="136"/>
      <c r="BG997" s="136"/>
      <c r="BH997" s="136"/>
      <c r="BI997" s="136"/>
    </row>
    <row r="998" spans="1:61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  <c r="AA998" s="136"/>
      <c r="AB998" s="136"/>
      <c r="AC998" s="136"/>
      <c r="AD998" s="136"/>
      <c r="AE998" s="136"/>
      <c r="AF998" s="136"/>
      <c r="AG998" s="136"/>
      <c r="AH998" s="136"/>
      <c r="AI998" s="136"/>
      <c r="AJ998" s="136"/>
      <c r="AK998" s="136"/>
      <c r="AL998" s="136"/>
      <c r="AM998" s="136"/>
      <c r="AN998" s="136"/>
      <c r="AO998" s="136"/>
      <c r="AP998" s="136"/>
      <c r="AQ998" s="136"/>
      <c r="AR998" s="136"/>
      <c r="AS998" s="136"/>
      <c r="AT998" s="136"/>
      <c r="AU998" s="136"/>
      <c r="AV998" s="136"/>
      <c r="AW998" s="136"/>
      <c r="AX998" s="136"/>
      <c r="AY998" s="136"/>
      <c r="AZ998" s="136"/>
      <c r="BA998" s="136"/>
      <c r="BB998" s="136"/>
      <c r="BC998" s="136"/>
      <c r="BD998" s="136"/>
      <c r="BE998" s="136"/>
      <c r="BF998" s="136"/>
      <c r="BG998" s="136"/>
      <c r="BH998" s="136"/>
      <c r="BI998" s="136"/>
    </row>
    <row r="999" spans="1:61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  <c r="AA999" s="136"/>
      <c r="AB999" s="136"/>
      <c r="AC999" s="136"/>
      <c r="AD999" s="136"/>
      <c r="AE999" s="136"/>
      <c r="AF999" s="136"/>
      <c r="AG999" s="136"/>
      <c r="AH999" s="136"/>
      <c r="AI999" s="136"/>
      <c r="AJ999" s="136"/>
      <c r="AK999" s="136"/>
      <c r="AL999" s="136"/>
      <c r="AM999" s="136"/>
      <c r="AN999" s="136"/>
      <c r="AO999" s="136"/>
      <c r="AP999" s="136"/>
      <c r="AQ999" s="136"/>
      <c r="AR999" s="136"/>
      <c r="AS999" s="136"/>
      <c r="AT999" s="136"/>
      <c r="AU999" s="136"/>
      <c r="AV999" s="136"/>
      <c r="AW999" s="136"/>
      <c r="AX999" s="136"/>
      <c r="AY999" s="136"/>
      <c r="AZ999" s="136"/>
      <c r="BA999" s="136"/>
      <c r="BB999" s="136"/>
      <c r="BC999" s="136"/>
      <c r="BD999" s="136"/>
      <c r="BE999" s="136"/>
      <c r="BF999" s="136"/>
      <c r="BG999" s="136"/>
      <c r="BH999" s="136"/>
      <c r="BI999" s="136"/>
    </row>
    <row r="1000" spans="1:61">
      <c r="A1000" s="136"/>
      <c r="B1000" s="136"/>
      <c r="C1000" s="136"/>
      <c r="D1000" s="136"/>
      <c r="E1000" s="136"/>
      <c r="F1000" s="136"/>
      <c r="G1000" s="136"/>
      <c r="H1000" s="136"/>
      <c r="I1000" s="136"/>
      <c r="J1000" s="136"/>
      <c r="K1000" s="136"/>
      <c r="L1000" s="136"/>
      <c r="M1000" s="136"/>
      <c r="N1000" s="136"/>
      <c r="O1000" s="136"/>
      <c r="P1000" s="136"/>
      <c r="Q1000" s="136"/>
      <c r="R1000" s="136"/>
      <c r="S1000" s="136"/>
      <c r="T1000" s="136"/>
      <c r="U1000" s="136"/>
      <c r="V1000" s="136"/>
      <c r="W1000" s="136"/>
      <c r="X1000" s="136"/>
      <c r="Y1000" s="136"/>
      <c r="Z1000" s="136"/>
      <c r="AA1000" s="136"/>
      <c r="AB1000" s="136"/>
      <c r="AC1000" s="136"/>
      <c r="AD1000" s="136"/>
      <c r="AE1000" s="136"/>
      <c r="AF1000" s="136"/>
      <c r="AG1000" s="136"/>
      <c r="AH1000" s="136"/>
      <c r="AI1000" s="136"/>
      <c r="AJ1000" s="136"/>
      <c r="AK1000" s="136"/>
      <c r="AL1000" s="136"/>
      <c r="AM1000" s="136"/>
      <c r="AN1000" s="136"/>
      <c r="AO1000" s="136"/>
      <c r="AP1000" s="136"/>
      <c r="AQ1000" s="136"/>
      <c r="AR1000" s="136"/>
      <c r="AS1000" s="136"/>
      <c r="AT1000" s="136"/>
      <c r="AU1000" s="136"/>
      <c r="AV1000" s="136"/>
      <c r="AW1000" s="136"/>
      <c r="AX1000" s="136"/>
      <c r="AY1000" s="136"/>
      <c r="AZ1000" s="136"/>
      <c r="BA1000" s="136"/>
      <c r="BB1000" s="136"/>
      <c r="BC1000" s="136"/>
      <c r="BD1000" s="136"/>
      <c r="BE1000" s="136"/>
      <c r="BF1000" s="136"/>
      <c r="BG1000" s="136"/>
      <c r="BH1000" s="136"/>
      <c r="BI1000" s="136"/>
    </row>
    <row r="1001" spans="1:61">
      <c r="A1001" s="136"/>
      <c r="B1001" s="136"/>
      <c r="C1001" s="136"/>
      <c r="D1001" s="136"/>
      <c r="E1001" s="136"/>
      <c r="F1001" s="136"/>
      <c r="G1001" s="136"/>
      <c r="H1001" s="136"/>
      <c r="I1001" s="136"/>
      <c r="J1001" s="136"/>
      <c r="K1001" s="136"/>
      <c r="L1001" s="136"/>
      <c r="M1001" s="136"/>
      <c r="N1001" s="136"/>
      <c r="O1001" s="136"/>
      <c r="P1001" s="136"/>
      <c r="Q1001" s="136"/>
      <c r="R1001" s="136"/>
      <c r="S1001" s="136"/>
      <c r="T1001" s="136"/>
      <c r="U1001" s="136"/>
      <c r="V1001" s="136"/>
      <c r="W1001" s="136"/>
      <c r="X1001" s="136"/>
      <c r="Y1001" s="136"/>
      <c r="Z1001" s="136"/>
      <c r="AA1001" s="136"/>
      <c r="AB1001" s="136"/>
      <c r="AC1001" s="136"/>
      <c r="AD1001" s="136"/>
      <c r="AE1001" s="136"/>
      <c r="AF1001" s="136"/>
      <c r="AG1001" s="136"/>
      <c r="AH1001" s="136"/>
      <c r="AI1001" s="136"/>
      <c r="AJ1001" s="136"/>
      <c r="AK1001" s="136"/>
      <c r="AL1001" s="136"/>
      <c r="AM1001" s="136"/>
      <c r="AN1001" s="136"/>
      <c r="AO1001" s="136"/>
      <c r="AP1001" s="136"/>
      <c r="AQ1001" s="136"/>
      <c r="AR1001" s="136"/>
      <c r="AS1001" s="136"/>
      <c r="AT1001" s="136"/>
      <c r="AU1001" s="136"/>
      <c r="AV1001" s="136"/>
      <c r="AW1001" s="136"/>
      <c r="AX1001" s="136"/>
      <c r="AY1001" s="136"/>
      <c r="AZ1001" s="136"/>
      <c r="BA1001" s="136"/>
      <c r="BB1001" s="136"/>
      <c r="BC1001" s="136"/>
      <c r="BD1001" s="136"/>
      <c r="BE1001" s="136"/>
      <c r="BF1001" s="136"/>
      <c r="BG1001" s="136"/>
      <c r="BH1001" s="136"/>
      <c r="BI1001" s="136"/>
    </row>
    <row r="1002" spans="1:61">
      <c r="A1002" s="136"/>
      <c r="B1002" s="136"/>
      <c r="C1002" s="136"/>
      <c r="D1002" s="136"/>
      <c r="E1002" s="136"/>
      <c r="F1002" s="136"/>
      <c r="G1002" s="136"/>
      <c r="H1002" s="136"/>
      <c r="I1002" s="136"/>
      <c r="J1002" s="136"/>
      <c r="K1002" s="136"/>
      <c r="L1002" s="136"/>
      <c r="M1002" s="136"/>
      <c r="N1002" s="136"/>
      <c r="O1002" s="136"/>
      <c r="P1002" s="136"/>
      <c r="Q1002" s="136"/>
      <c r="R1002" s="136"/>
      <c r="S1002" s="136"/>
      <c r="T1002" s="136"/>
      <c r="U1002" s="136"/>
      <c r="V1002" s="136"/>
      <c r="W1002" s="136"/>
      <c r="X1002" s="136"/>
      <c r="Y1002" s="136"/>
      <c r="Z1002" s="136"/>
      <c r="AA1002" s="136"/>
      <c r="AB1002" s="136"/>
      <c r="AC1002" s="136"/>
      <c r="AD1002" s="136"/>
      <c r="AE1002" s="136"/>
      <c r="AF1002" s="136"/>
      <c r="AG1002" s="136"/>
      <c r="AH1002" s="136"/>
      <c r="AI1002" s="136"/>
      <c r="AJ1002" s="136"/>
      <c r="AK1002" s="136"/>
      <c r="AL1002" s="136"/>
      <c r="AM1002" s="136"/>
      <c r="AN1002" s="136"/>
      <c r="AO1002" s="136"/>
      <c r="AP1002" s="136"/>
      <c r="AQ1002" s="136"/>
      <c r="AR1002" s="136"/>
      <c r="AS1002" s="136"/>
      <c r="AT1002" s="136"/>
      <c r="AU1002" s="136"/>
      <c r="AV1002" s="136"/>
      <c r="AW1002" s="136"/>
      <c r="AX1002" s="136"/>
      <c r="AY1002" s="136"/>
      <c r="AZ1002" s="136"/>
      <c r="BA1002" s="136"/>
      <c r="BB1002" s="136"/>
      <c r="BC1002" s="136"/>
      <c r="BD1002" s="136"/>
      <c r="BE1002" s="136"/>
      <c r="BF1002" s="136"/>
      <c r="BG1002" s="136"/>
      <c r="BH1002" s="136"/>
      <c r="BI1002" s="136"/>
    </row>
  </sheetData>
  <mergeCells count="133">
    <mergeCell ref="AI2:AI3"/>
    <mergeCell ref="AK2:AK3"/>
    <mergeCell ref="AO2:AO3"/>
    <mergeCell ref="AP2:AP3"/>
    <mergeCell ref="AQ2:AQ3"/>
    <mergeCell ref="AS2:AS3"/>
    <mergeCell ref="AT2:AT3"/>
    <mergeCell ref="AU2:AU3"/>
    <mergeCell ref="AW2:AW3"/>
    <mergeCell ref="AX2:AX3"/>
    <mergeCell ref="D1:O1"/>
    <mergeCell ref="Q1:W1"/>
    <mergeCell ref="Y1:AE1"/>
    <mergeCell ref="AG1:AM1"/>
    <mergeCell ref="AO1:AU1"/>
    <mergeCell ref="AW1:AY1"/>
    <mergeCell ref="A2:A3"/>
    <mergeCell ref="AY2:AY3"/>
    <mergeCell ref="S2:S3"/>
    <mergeCell ref="U2:U3"/>
    <mergeCell ref="V2:V3"/>
    <mergeCell ref="W2:W3"/>
    <mergeCell ref="Y2:Y3"/>
    <mergeCell ref="Z2:Z3"/>
    <mergeCell ref="AA2:AA3"/>
    <mergeCell ref="AC2:AC3"/>
    <mergeCell ref="AD2:AD3"/>
    <mergeCell ref="AE2:AE3"/>
    <mergeCell ref="AG2:AG3"/>
    <mergeCell ref="AH2:AH3"/>
    <mergeCell ref="AL2:AL3"/>
    <mergeCell ref="AM2:AM3"/>
    <mergeCell ref="B2:B3"/>
    <mergeCell ref="W30:W31"/>
    <mergeCell ref="Y30:Y31"/>
    <mergeCell ref="N30:N31"/>
    <mergeCell ref="O30:O31"/>
    <mergeCell ref="Q30:Q31"/>
    <mergeCell ref="R30:R31"/>
    <mergeCell ref="S30:S31"/>
    <mergeCell ref="U30:U31"/>
    <mergeCell ref="V30:V31"/>
    <mergeCell ref="A57:A58"/>
    <mergeCell ref="B57:B58"/>
    <mergeCell ref="C57:C58"/>
    <mergeCell ref="D57:D58"/>
    <mergeCell ref="E57:E58"/>
    <mergeCell ref="F57:F58"/>
    <mergeCell ref="G57:G58"/>
    <mergeCell ref="I57:I58"/>
    <mergeCell ref="J57:J58"/>
    <mergeCell ref="K57:K58"/>
    <mergeCell ref="M57:M58"/>
    <mergeCell ref="N57:N58"/>
    <mergeCell ref="O57:O58"/>
    <mergeCell ref="Q57:Q58"/>
    <mergeCell ref="R57:R58"/>
    <mergeCell ref="S57:S58"/>
    <mergeCell ref="U57:U58"/>
    <mergeCell ref="V57:V58"/>
    <mergeCell ref="W57:W58"/>
    <mergeCell ref="Y57:Y58"/>
    <mergeCell ref="Z57:Z58"/>
    <mergeCell ref="AA57:AA58"/>
    <mergeCell ref="AC57:AC58"/>
    <mergeCell ref="AD57:AD58"/>
    <mergeCell ref="AE57:AE58"/>
    <mergeCell ref="AG57:AG58"/>
    <mergeCell ref="AH57:AH58"/>
    <mergeCell ref="AH30:AH31"/>
    <mergeCell ref="AI57:AI58"/>
    <mergeCell ref="AT57:AT58"/>
    <mergeCell ref="AU57:AU58"/>
    <mergeCell ref="AW57:AW58"/>
    <mergeCell ref="AX57:AX58"/>
    <mergeCell ref="AY57:AY58"/>
    <mergeCell ref="AK57:AK58"/>
    <mergeCell ref="AL57:AL58"/>
    <mergeCell ref="AM57:AM58"/>
    <mergeCell ref="AO57:AO58"/>
    <mergeCell ref="AP57:AP58"/>
    <mergeCell ref="AQ57:AQ58"/>
    <mergeCell ref="AS57:AS58"/>
    <mergeCell ref="AX30:AX31"/>
    <mergeCell ref="AY30:AY31"/>
    <mergeCell ref="C2:C3"/>
    <mergeCell ref="A30:A31"/>
    <mergeCell ref="B30:B31"/>
    <mergeCell ref="C30:C31"/>
    <mergeCell ref="D30:D31"/>
    <mergeCell ref="D2:D3"/>
    <mergeCell ref="E2:E3"/>
    <mergeCell ref="F2:F3"/>
    <mergeCell ref="G2:G3"/>
    <mergeCell ref="E29:G29"/>
    <mergeCell ref="E30:E31"/>
    <mergeCell ref="F30:F31"/>
    <mergeCell ref="G30:G31"/>
    <mergeCell ref="I2:I3"/>
    <mergeCell ref="J2:J3"/>
    <mergeCell ref="N2:N3"/>
    <mergeCell ref="O2:O3"/>
    <mergeCell ref="K2:K3"/>
    <mergeCell ref="M2:M3"/>
    <mergeCell ref="I29:O29"/>
    <mergeCell ref="I30:I31"/>
    <mergeCell ref="J30:J31"/>
    <mergeCell ref="K30:K31"/>
    <mergeCell ref="M30:M31"/>
    <mergeCell ref="Q2:Q3"/>
    <mergeCell ref="R2:R3"/>
    <mergeCell ref="Q29:W29"/>
    <mergeCell ref="Y29:AE29"/>
    <mergeCell ref="AG29:AM29"/>
    <mergeCell ref="AO29:AU29"/>
    <mergeCell ref="AW29:AY29"/>
    <mergeCell ref="AU30:AU31"/>
    <mergeCell ref="AW30:AW31"/>
    <mergeCell ref="AL30:AL31"/>
    <mergeCell ref="AM30:AM31"/>
    <mergeCell ref="AO30:AO31"/>
    <mergeCell ref="AP30:AP31"/>
    <mergeCell ref="AQ30:AQ31"/>
    <mergeCell ref="AS30:AS31"/>
    <mergeCell ref="AT30:AT31"/>
    <mergeCell ref="AI30:AI31"/>
    <mergeCell ref="AK30:AK31"/>
    <mergeCell ref="Z30:Z31"/>
    <mergeCell ref="AA30:AA31"/>
    <mergeCell ref="AC30:AC31"/>
    <mergeCell ref="AD30:AD31"/>
    <mergeCell ref="AE30:AE31"/>
    <mergeCell ref="AG30:AG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F1001"/>
  <sheetViews>
    <sheetView workbookViewId="0">
      <selection sqref="A1:F1"/>
    </sheetView>
  </sheetViews>
  <sheetFormatPr baseColWidth="10" defaultColWidth="14.5" defaultRowHeight="15" customHeight="1"/>
  <cols>
    <col min="2" max="2" width="25.5" customWidth="1"/>
    <col min="3" max="7" width="21.1640625" customWidth="1"/>
    <col min="9" max="9" width="22" customWidth="1"/>
    <col min="10" max="10" width="20.5" customWidth="1"/>
    <col min="11" max="11" width="19.5" customWidth="1"/>
    <col min="13" max="13" width="18.1640625" customWidth="1"/>
    <col min="14" max="14" width="20.33203125" customWidth="1"/>
    <col min="15" max="15" width="20.5" customWidth="1"/>
    <col min="16" max="16" width="20" customWidth="1"/>
    <col min="19" max="19" width="25" customWidth="1"/>
    <col min="20" max="21" width="23.33203125" customWidth="1"/>
    <col min="24" max="24" width="25.1640625" customWidth="1"/>
    <col min="25" max="25" width="20.5" customWidth="1"/>
    <col min="26" max="26" width="21" customWidth="1"/>
    <col min="28" max="28" width="16.1640625" customWidth="1"/>
    <col min="29" max="29" width="21.6640625" customWidth="1"/>
    <col min="30" max="30" width="21.5" customWidth="1"/>
    <col min="31" max="31" width="27.33203125" customWidth="1"/>
  </cols>
  <sheetData>
    <row r="1" spans="1:32" ht="29.25" customHeight="1">
      <c r="A1" s="278" t="s">
        <v>286</v>
      </c>
      <c r="B1" s="260"/>
      <c r="C1" s="260"/>
      <c r="D1" s="260"/>
      <c r="E1" s="260"/>
      <c r="F1" s="260"/>
      <c r="G1" s="279" t="s">
        <v>287</v>
      </c>
      <c r="H1" s="260"/>
      <c r="I1" s="260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</row>
    <row r="2" spans="1:32" ht="55.5" customHeight="1">
      <c r="A2" s="280" t="s">
        <v>288</v>
      </c>
      <c r="B2" s="260"/>
      <c r="C2" s="260"/>
      <c r="D2" s="260"/>
      <c r="E2" s="260"/>
      <c r="F2" s="260"/>
      <c r="G2" s="281" t="s">
        <v>289</v>
      </c>
      <c r="H2" s="260"/>
      <c r="I2" s="260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</row>
    <row r="3" spans="1:32">
      <c r="A3" s="282" t="s">
        <v>290</v>
      </c>
      <c r="B3" s="231"/>
      <c r="C3" s="231"/>
      <c r="D3" s="231"/>
      <c r="E3" s="231"/>
      <c r="F3" s="232"/>
      <c r="G3" s="159"/>
      <c r="H3" s="283" t="s">
        <v>291</v>
      </c>
      <c r="I3" s="231"/>
      <c r="J3" s="231"/>
      <c r="K3" s="232"/>
      <c r="L3" s="159"/>
      <c r="M3" s="289" t="s">
        <v>292</v>
      </c>
      <c r="N3" s="231"/>
      <c r="O3" s="231"/>
      <c r="P3" s="232"/>
      <c r="Q3" s="159"/>
      <c r="R3" s="284" t="s">
        <v>158</v>
      </c>
      <c r="S3" s="231"/>
      <c r="T3" s="231"/>
      <c r="U3" s="232"/>
      <c r="V3" s="159"/>
      <c r="W3" s="285" t="s">
        <v>159</v>
      </c>
      <c r="X3" s="231"/>
      <c r="Y3" s="231"/>
      <c r="Z3" s="232"/>
      <c r="AA3" s="159"/>
      <c r="AB3" s="286" t="s">
        <v>293</v>
      </c>
      <c r="AC3" s="287"/>
      <c r="AD3" s="287"/>
      <c r="AE3" s="288"/>
      <c r="AF3" s="160"/>
    </row>
    <row r="4" spans="1:32">
      <c r="A4" s="161" t="s">
        <v>59</v>
      </c>
      <c r="B4" s="161" t="s">
        <v>294</v>
      </c>
      <c r="C4" s="161"/>
      <c r="D4" s="161"/>
      <c r="E4" s="161" t="s">
        <v>295</v>
      </c>
      <c r="F4" s="161" t="s">
        <v>296</v>
      </c>
      <c r="G4" s="162"/>
      <c r="H4" s="161" t="s">
        <v>59</v>
      </c>
      <c r="I4" s="161" t="s">
        <v>294</v>
      </c>
      <c r="J4" s="161" t="s">
        <v>295</v>
      </c>
      <c r="K4" s="161" t="s">
        <v>296</v>
      </c>
      <c r="L4" s="162"/>
      <c r="M4" s="161" t="s">
        <v>59</v>
      </c>
      <c r="N4" s="161" t="s">
        <v>294</v>
      </c>
      <c r="O4" s="161" t="s">
        <v>295</v>
      </c>
      <c r="P4" s="161" t="s">
        <v>296</v>
      </c>
      <c r="Q4" s="162"/>
      <c r="R4" s="161" t="s">
        <v>59</v>
      </c>
      <c r="S4" s="161" t="s">
        <v>294</v>
      </c>
      <c r="T4" s="161" t="s">
        <v>295</v>
      </c>
      <c r="U4" s="161" t="s">
        <v>296</v>
      </c>
      <c r="V4" s="162"/>
      <c r="W4" s="161" t="s">
        <v>59</v>
      </c>
      <c r="X4" s="161" t="s">
        <v>294</v>
      </c>
      <c r="Y4" s="161" t="s">
        <v>295</v>
      </c>
      <c r="Z4" s="161" t="s">
        <v>296</v>
      </c>
      <c r="AA4" s="162"/>
      <c r="AB4" s="163" t="s">
        <v>59</v>
      </c>
      <c r="AC4" s="163" t="s">
        <v>294</v>
      </c>
      <c r="AD4" s="163" t="s">
        <v>295</v>
      </c>
      <c r="AE4" s="163" t="s">
        <v>296</v>
      </c>
      <c r="AF4" s="164"/>
    </row>
    <row r="5" spans="1:32">
      <c r="A5" s="165">
        <v>1</v>
      </c>
      <c r="B5" s="166">
        <v>32.299999999999997</v>
      </c>
      <c r="C5" s="166"/>
      <c r="D5" s="166"/>
      <c r="E5" s="165">
        <f t="shared" ref="E5:E28" si="0">B5/100</f>
        <v>0.32299999999999995</v>
      </c>
      <c r="F5" s="165">
        <f t="shared" ref="F5:F28" si="1">E5*1000</f>
        <v>322.99999999999994</v>
      </c>
      <c r="G5" s="159"/>
      <c r="H5" s="165">
        <v>1</v>
      </c>
      <c r="I5" s="167">
        <v>32.1</v>
      </c>
      <c r="J5" s="165">
        <f t="shared" ref="J5:J28" si="2">I5/100</f>
        <v>0.32100000000000001</v>
      </c>
      <c r="K5" s="165">
        <f t="shared" ref="K5:K28" si="3">J5*1000</f>
        <v>321</v>
      </c>
      <c r="L5" s="159"/>
      <c r="M5" s="165">
        <v>1</v>
      </c>
      <c r="N5" s="167">
        <v>32.4</v>
      </c>
      <c r="O5" s="165">
        <f t="shared" ref="O5:O28" si="4">N5/100</f>
        <v>0.32400000000000001</v>
      </c>
      <c r="P5" s="165">
        <f t="shared" ref="P5:P28" si="5">O5*1000</f>
        <v>324</v>
      </c>
      <c r="Q5" s="159"/>
      <c r="R5" s="165">
        <v>1</v>
      </c>
      <c r="S5" s="167">
        <v>33</v>
      </c>
      <c r="T5" s="165">
        <f t="shared" ref="T5:T28" si="6">S5/100</f>
        <v>0.33</v>
      </c>
      <c r="U5" s="165">
        <f t="shared" ref="U5:U28" si="7">T5*1000</f>
        <v>330</v>
      </c>
      <c r="V5" s="159"/>
      <c r="W5" s="165">
        <v>1</v>
      </c>
      <c r="X5" s="167">
        <v>34.1</v>
      </c>
      <c r="Y5" s="165">
        <f t="shared" ref="Y5:Y28" si="8">X5/100</f>
        <v>0.34100000000000003</v>
      </c>
      <c r="Z5" s="165">
        <f t="shared" ref="Z5:Z28" si="9">Y5*1000</f>
        <v>341</v>
      </c>
      <c r="AA5" s="159"/>
      <c r="AB5" s="168">
        <v>1</v>
      </c>
      <c r="AC5" s="169">
        <v>34.6</v>
      </c>
      <c r="AD5" s="168">
        <f t="shared" ref="AD5:AD28" si="10">AC5/100</f>
        <v>0.34600000000000003</v>
      </c>
      <c r="AE5" s="168">
        <f t="shared" ref="AE5:AE28" si="11">AD5*1000</f>
        <v>346.00000000000006</v>
      </c>
      <c r="AF5" s="159"/>
    </row>
    <row r="6" spans="1:32">
      <c r="A6" s="170">
        <v>2</v>
      </c>
      <c r="B6" s="171">
        <v>30.7</v>
      </c>
      <c r="C6" s="171"/>
      <c r="D6" s="171"/>
      <c r="E6" s="170">
        <f t="shared" si="0"/>
        <v>0.307</v>
      </c>
      <c r="F6" s="170">
        <f t="shared" si="1"/>
        <v>307</v>
      </c>
      <c r="G6" s="172"/>
      <c r="H6" s="170">
        <v>2</v>
      </c>
      <c r="I6" s="173">
        <v>29.7</v>
      </c>
      <c r="J6" s="170">
        <f t="shared" si="2"/>
        <v>0.29699999999999999</v>
      </c>
      <c r="K6" s="170">
        <f t="shared" si="3"/>
        <v>297</v>
      </c>
      <c r="L6" s="172"/>
      <c r="M6" s="170">
        <v>2</v>
      </c>
      <c r="N6" s="173">
        <v>30.3</v>
      </c>
      <c r="O6" s="170">
        <f t="shared" si="4"/>
        <v>0.30299999999999999</v>
      </c>
      <c r="P6" s="170">
        <f t="shared" si="5"/>
        <v>303</v>
      </c>
      <c r="Q6" s="172"/>
      <c r="R6" s="170">
        <v>2</v>
      </c>
      <c r="S6" s="173">
        <v>31.6</v>
      </c>
      <c r="T6" s="170">
        <f t="shared" si="6"/>
        <v>0.316</v>
      </c>
      <c r="U6" s="170">
        <f t="shared" si="7"/>
        <v>316</v>
      </c>
      <c r="V6" s="172"/>
      <c r="W6" s="170">
        <v>2</v>
      </c>
      <c r="X6" s="173">
        <v>31.7</v>
      </c>
      <c r="Y6" s="170">
        <f t="shared" si="8"/>
        <v>0.317</v>
      </c>
      <c r="Z6" s="170">
        <f t="shared" si="9"/>
        <v>317</v>
      </c>
      <c r="AA6" s="172"/>
      <c r="AB6" s="170">
        <v>2</v>
      </c>
      <c r="AC6" s="173">
        <v>31.6</v>
      </c>
      <c r="AD6" s="170">
        <f t="shared" si="10"/>
        <v>0.316</v>
      </c>
      <c r="AE6" s="170">
        <f t="shared" si="11"/>
        <v>316</v>
      </c>
      <c r="AF6" s="172"/>
    </row>
    <row r="7" spans="1:32">
      <c r="A7" s="165">
        <v>3</v>
      </c>
      <c r="B7" s="166">
        <v>33</v>
      </c>
      <c r="C7" s="166"/>
      <c r="D7" s="166"/>
      <c r="E7" s="165">
        <f t="shared" si="0"/>
        <v>0.33</v>
      </c>
      <c r="F7" s="165">
        <f t="shared" si="1"/>
        <v>330</v>
      </c>
      <c r="G7" s="159"/>
      <c r="H7" s="165">
        <v>3</v>
      </c>
      <c r="I7" s="167">
        <v>35.1</v>
      </c>
      <c r="J7" s="165">
        <f t="shared" si="2"/>
        <v>0.35100000000000003</v>
      </c>
      <c r="K7" s="165">
        <f t="shared" si="3"/>
        <v>351.00000000000006</v>
      </c>
      <c r="L7" s="159"/>
      <c r="M7" s="165">
        <v>3</v>
      </c>
      <c r="N7" s="167">
        <v>35.4</v>
      </c>
      <c r="O7" s="165">
        <f t="shared" si="4"/>
        <v>0.35399999999999998</v>
      </c>
      <c r="P7" s="165">
        <f t="shared" si="5"/>
        <v>354</v>
      </c>
      <c r="Q7" s="159"/>
      <c r="R7" s="165">
        <v>3</v>
      </c>
      <c r="S7" s="167">
        <v>36.6</v>
      </c>
      <c r="T7" s="165">
        <f t="shared" si="6"/>
        <v>0.36599999999999999</v>
      </c>
      <c r="U7" s="165">
        <f t="shared" si="7"/>
        <v>366</v>
      </c>
      <c r="V7" s="159"/>
      <c r="W7" s="165">
        <v>3</v>
      </c>
      <c r="X7" s="167">
        <v>37.4</v>
      </c>
      <c r="Y7" s="165">
        <f t="shared" si="8"/>
        <v>0.374</v>
      </c>
      <c r="Z7" s="165">
        <f t="shared" si="9"/>
        <v>374</v>
      </c>
      <c r="AA7" s="159"/>
      <c r="AB7" s="168">
        <v>3</v>
      </c>
      <c r="AC7" s="169">
        <v>37.200000000000003</v>
      </c>
      <c r="AD7" s="168">
        <f t="shared" si="10"/>
        <v>0.37200000000000005</v>
      </c>
      <c r="AE7" s="168">
        <f t="shared" si="11"/>
        <v>372.00000000000006</v>
      </c>
      <c r="AF7" s="159"/>
    </row>
    <row r="8" spans="1:32">
      <c r="A8" s="170">
        <v>4</v>
      </c>
      <c r="B8" s="171">
        <v>31.5</v>
      </c>
      <c r="C8" s="171"/>
      <c r="D8" s="171"/>
      <c r="E8" s="170">
        <f t="shared" si="0"/>
        <v>0.315</v>
      </c>
      <c r="F8" s="170">
        <f t="shared" si="1"/>
        <v>315</v>
      </c>
      <c r="G8" s="172"/>
      <c r="H8" s="170">
        <v>4</v>
      </c>
      <c r="I8" s="173">
        <v>31.6</v>
      </c>
      <c r="J8" s="170">
        <f t="shared" si="2"/>
        <v>0.316</v>
      </c>
      <c r="K8" s="170">
        <f t="shared" si="3"/>
        <v>316</v>
      </c>
      <c r="L8" s="172"/>
      <c r="M8" s="170">
        <v>4</v>
      </c>
      <c r="N8" s="173">
        <v>32.700000000000003</v>
      </c>
      <c r="O8" s="170">
        <f t="shared" si="4"/>
        <v>0.32700000000000001</v>
      </c>
      <c r="P8" s="170">
        <f t="shared" si="5"/>
        <v>327</v>
      </c>
      <c r="Q8" s="172"/>
      <c r="R8" s="170">
        <v>4</v>
      </c>
      <c r="S8" s="173">
        <v>32.4</v>
      </c>
      <c r="T8" s="170">
        <f t="shared" si="6"/>
        <v>0.32400000000000001</v>
      </c>
      <c r="U8" s="170">
        <f t="shared" si="7"/>
        <v>324</v>
      </c>
      <c r="V8" s="172"/>
      <c r="W8" s="170">
        <v>4</v>
      </c>
      <c r="X8" s="173">
        <v>33.4</v>
      </c>
      <c r="Y8" s="170">
        <f t="shared" si="8"/>
        <v>0.33399999999999996</v>
      </c>
      <c r="Z8" s="170">
        <f t="shared" si="9"/>
        <v>333.99999999999994</v>
      </c>
      <c r="AA8" s="172"/>
      <c r="AB8" s="170">
        <v>4</v>
      </c>
      <c r="AC8" s="173">
        <v>33.4</v>
      </c>
      <c r="AD8" s="170">
        <f t="shared" si="10"/>
        <v>0.33399999999999996</v>
      </c>
      <c r="AE8" s="170">
        <f t="shared" si="11"/>
        <v>333.99999999999994</v>
      </c>
      <c r="AF8" s="172"/>
    </row>
    <row r="9" spans="1:32">
      <c r="A9" s="165">
        <v>5</v>
      </c>
      <c r="B9" s="166">
        <v>30.3</v>
      </c>
      <c r="C9" s="166"/>
      <c r="D9" s="166"/>
      <c r="E9" s="165">
        <f t="shared" si="0"/>
        <v>0.30299999999999999</v>
      </c>
      <c r="F9" s="165">
        <f t="shared" si="1"/>
        <v>303</v>
      </c>
      <c r="G9" s="159"/>
      <c r="H9" s="165">
        <v>5</v>
      </c>
      <c r="I9" s="167">
        <v>30.2</v>
      </c>
      <c r="J9" s="165">
        <f t="shared" si="2"/>
        <v>0.30199999999999999</v>
      </c>
      <c r="K9" s="165">
        <f t="shared" si="3"/>
        <v>302</v>
      </c>
      <c r="L9" s="159"/>
      <c r="M9" s="165">
        <v>5</v>
      </c>
      <c r="N9" s="167">
        <v>30.8</v>
      </c>
      <c r="O9" s="165">
        <f t="shared" si="4"/>
        <v>0.308</v>
      </c>
      <c r="P9" s="165">
        <f t="shared" si="5"/>
        <v>308</v>
      </c>
      <c r="Q9" s="159"/>
      <c r="R9" s="165">
        <v>5</v>
      </c>
      <c r="S9" s="167">
        <v>31.8</v>
      </c>
      <c r="T9" s="165">
        <f t="shared" si="6"/>
        <v>0.318</v>
      </c>
      <c r="U9" s="165">
        <f t="shared" si="7"/>
        <v>318</v>
      </c>
      <c r="V9" s="159"/>
      <c r="W9" s="165">
        <v>5</v>
      </c>
      <c r="X9" s="167">
        <v>33</v>
      </c>
      <c r="Y9" s="165">
        <f t="shared" si="8"/>
        <v>0.33</v>
      </c>
      <c r="Z9" s="165">
        <f t="shared" si="9"/>
        <v>330</v>
      </c>
      <c r="AA9" s="159"/>
      <c r="AB9" s="168">
        <v>5</v>
      </c>
      <c r="AC9" s="169">
        <v>33.1</v>
      </c>
      <c r="AD9" s="168">
        <f t="shared" si="10"/>
        <v>0.33100000000000002</v>
      </c>
      <c r="AE9" s="168">
        <f t="shared" si="11"/>
        <v>331</v>
      </c>
      <c r="AF9" s="159"/>
    </row>
    <row r="10" spans="1:32">
      <c r="A10" s="170">
        <v>6</v>
      </c>
      <c r="B10" s="171">
        <v>30</v>
      </c>
      <c r="C10" s="171"/>
      <c r="D10" s="171"/>
      <c r="E10" s="170">
        <f t="shared" si="0"/>
        <v>0.3</v>
      </c>
      <c r="F10" s="170">
        <f t="shared" si="1"/>
        <v>300</v>
      </c>
      <c r="G10" s="172"/>
      <c r="H10" s="170">
        <v>6</v>
      </c>
      <c r="I10" s="173">
        <v>29</v>
      </c>
      <c r="J10" s="170">
        <f t="shared" si="2"/>
        <v>0.28999999999999998</v>
      </c>
      <c r="K10" s="170">
        <f t="shared" si="3"/>
        <v>290</v>
      </c>
      <c r="L10" s="172"/>
      <c r="M10" s="170">
        <v>6</v>
      </c>
      <c r="N10" s="173">
        <v>28.9</v>
      </c>
      <c r="O10" s="170">
        <f t="shared" si="4"/>
        <v>0.28899999999999998</v>
      </c>
      <c r="P10" s="170">
        <f t="shared" si="5"/>
        <v>289</v>
      </c>
      <c r="Q10" s="172"/>
      <c r="R10" s="170">
        <v>6</v>
      </c>
      <c r="S10" s="173">
        <v>29.6</v>
      </c>
      <c r="T10" s="170">
        <f t="shared" si="6"/>
        <v>0.29600000000000004</v>
      </c>
      <c r="U10" s="170">
        <f t="shared" si="7"/>
        <v>296.00000000000006</v>
      </c>
      <c r="V10" s="172"/>
      <c r="W10" s="170">
        <v>6</v>
      </c>
      <c r="X10" s="173">
        <v>30.5</v>
      </c>
      <c r="Y10" s="170">
        <f t="shared" si="8"/>
        <v>0.30499999999999999</v>
      </c>
      <c r="Z10" s="170">
        <f t="shared" si="9"/>
        <v>305</v>
      </c>
      <c r="AA10" s="172"/>
      <c r="AB10" s="170">
        <v>6</v>
      </c>
      <c r="AC10" s="173">
        <v>30.4</v>
      </c>
      <c r="AD10" s="170">
        <f t="shared" si="10"/>
        <v>0.30399999999999999</v>
      </c>
      <c r="AE10" s="170">
        <f t="shared" si="11"/>
        <v>304</v>
      </c>
      <c r="AF10" s="172"/>
    </row>
    <row r="11" spans="1:32">
      <c r="A11" s="165">
        <v>7</v>
      </c>
      <c r="B11" s="166">
        <v>20.8</v>
      </c>
      <c r="C11" s="166"/>
      <c r="D11" s="166"/>
      <c r="E11" s="165">
        <f t="shared" si="0"/>
        <v>0.20800000000000002</v>
      </c>
      <c r="F11" s="165">
        <f t="shared" si="1"/>
        <v>208.00000000000003</v>
      </c>
      <c r="G11" s="159"/>
      <c r="H11" s="165">
        <v>7</v>
      </c>
      <c r="I11" s="167">
        <v>20.6</v>
      </c>
      <c r="J11" s="165">
        <f t="shared" si="2"/>
        <v>0.20600000000000002</v>
      </c>
      <c r="K11" s="165">
        <f t="shared" si="3"/>
        <v>206.00000000000003</v>
      </c>
      <c r="L11" s="159"/>
      <c r="M11" s="165">
        <v>7</v>
      </c>
      <c r="N11" s="167">
        <v>21.3</v>
      </c>
      <c r="O11" s="165">
        <f t="shared" si="4"/>
        <v>0.21299999999999999</v>
      </c>
      <c r="P11" s="165">
        <f t="shared" si="5"/>
        <v>213</v>
      </c>
      <c r="Q11" s="159"/>
      <c r="R11" s="165">
        <v>7</v>
      </c>
      <c r="S11" s="167">
        <v>21.7</v>
      </c>
      <c r="T11" s="165">
        <f t="shared" si="6"/>
        <v>0.217</v>
      </c>
      <c r="U11" s="165">
        <f t="shared" si="7"/>
        <v>217</v>
      </c>
      <c r="V11" s="159"/>
      <c r="W11" s="165">
        <v>7</v>
      </c>
      <c r="X11" s="167">
        <v>22.1</v>
      </c>
      <c r="Y11" s="165">
        <f t="shared" si="8"/>
        <v>0.221</v>
      </c>
      <c r="Z11" s="165">
        <f t="shared" si="9"/>
        <v>221</v>
      </c>
      <c r="AA11" s="159"/>
      <c r="AB11" s="168">
        <v>7</v>
      </c>
      <c r="AC11" s="169">
        <v>21.7</v>
      </c>
      <c r="AD11" s="168">
        <f t="shared" si="10"/>
        <v>0.217</v>
      </c>
      <c r="AE11" s="168">
        <f t="shared" si="11"/>
        <v>217</v>
      </c>
      <c r="AF11" s="159"/>
    </row>
    <row r="12" spans="1:32">
      <c r="A12" s="170">
        <v>8</v>
      </c>
      <c r="B12" s="171">
        <v>21.7</v>
      </c>
      <c r="C12" s="171"/>
      <c r="D12" s="171"/>
      <c r="E12" s="170">
        <f t="shared" si="0"/>
        <v>0.217</v>
      </c>
      <c r="F12" s="170">
        <f t="shared" si="1"/>
        <v>217</v>
      </c>
      <c r="G12" s="172"/>
      <c r="H12" s="170">
        <v>8</v>
      </c>
      <c r="I12" s="173">
        <v>21.7</v>
      </c>
      <c r="J12" s="170">
        <f t="shared" si="2"/>
        <v>0.217</v>
      </c>
      <c r="K12" s="170">
        <f t="shared" si="3"/>
        <v>217</v>
      </c>
      <c r="L12" s="172"/>
      <c r="M12" s="170">
        <v>8</v>
      </c>
      <c r="N12" s="173">
        <v>22.6</v>
      </c>
      <c r="O12" s="170">
        <f t="shared" si="4"/>
        <v>0.22600000000000001</v>
      </c>
      <c r="P12" s="170">
        <f t="shared" si="5"/>
        <v>226</v>
      </c>
      <c r="Q12" s="172"/>
      <c r="R12" s="170">
        <v>8</v>
      </c>
      <c r="S12" s="173">
        <v>22.6</v>
      </c>
      <c r="T12" s="170">
        <f t="shared" si="6"/>
        <v>0.22600000000000001</v>
      </c>
      <c r="U12" s="170">
        <f t="shared" si="7"/>
        <v>226</v>
      </c>
      <c r="V12" s="172"/>
      <c r="W12" s="170">
        <v>8</v>
      </c>
      <c r="X12" s="173">
        <v>23.3</v>
      </c>
      <c r="Y12" s="170">
        <f t="shared" si="8"/>
        <v>0.23300000000000001</v>
      </c>
      <c r="Z12" s="170">
        <f t="shared" si="9"/>
        <v>233</v>
      </c>
      <c r="AA12" s="172"/>
      <c r="AB12" s="170">
        <v>8</v>
      </c>
      <c r="AC12" s="173">
        <v>23.6</v>
      </c>
      <c r="AD12" s="170">
        <f t="shared" si="10"/>
        <v>0.23600000000000002</v>
      </c>
      <c r="AE12" s="170">
        <f t="shared" si="11"/>
        <v>236.00000000000003</v>
      </c>
      <c r="AF12" s="172"/>
    </row>
    <row r="13" spans="1:32">
      <c r="A13" s="165">
        <v>9</v>
      </c>
      <c r="B13" s="166">
        <v>20.8</v>
      </c>
      <c r="C13" s="166"/>
      <c r="D13" s="166"/>
      <c r="E13" s="165">
        <f t="shared" si="0"/>
        <v>0.20800000000000002</v>
      </c>
      <c r="F13" s="165">
        <f t="shared" si="1"/>
        <v>208.00000000000003</v>
      </c>
      <c r="G13" s="159"/>
      <c r="H13" s="165">
        <v>9</v>
      </c>
      <c r="I13" s="167">
        <v>21.9</v>
      </c>
      <c r="J13" s="165">
        <f t="shared" si="2"/>
        <v>0.21899999999999997</v>
      </c>
      <c r="K13" s="165">
        <f t="shared" si="3"/>
        <v>218.99999999999997</v>
      </c>
      <c r="L13" s="159"/>
      <c r="M13" s="165">
        <v>9</v>
      </c>
      <c r="N13" s="167">
        <v>23.2</v>
      </c>
      <c r="O13" s="165">
        <f t="shared" si="4"/>
        <v>0.23199999999999998</v>
      </c>
      <c r="P13" s="165">
        <f t="shared" si="5"/>
        <v>231.99999999999997</v>
      </c>
      <c r="Q13" s="159"/>
      <c r="R13" s="165">
        <v>9</v>
      </c>
      <c r="S13" s="167">
        <v>22.9</v>
      </c>
      <c r="T13" s="165">
        <f t="shared" si="6"/>
        <v>0.22899999999999998</v>
      </c>
      <c r="U13" s="165">
        <f t="shared" si="7"/>
        <v>228.99999999999997</v>
      </c>
      <c r="V13" s="159"/>
      <c r="W13" s="165">
        <v>9</v>
      </c>
      <c r="X13" s="167">
        <v>22.2</v>
      </c>
      <c r="Y13" s="165">
        <f t="shared" si="8"/>
        <v>0.222</v>
      </c>
      <c r="Z13" s="165">
        <f t="shared" si="9"/>
        <v>222</v>
      </c>
      <c r="AA13" s="159"/>
      <c r="AB13" s="168">
        <v>9</v>
      </c>
      <c r="AC13" s="169">
        <v>22.6</v>
      </c>
      <c r="AD13" s="168">
        <f t="shared" si="10"/>
        <v>0.22600000000000001</v>
      </c>
      <c r="AE13" s="168">
        <f t="shared" si="11"/>
        <v>226</v>
      </c>
      <c r="AF13" s="159"/>
    </row>
    <row r="14" spans="1:32">
      <c r="A14" s="170">
        <v>10</v>
      </c>
      <c r="B14" s="171">
        <v>21.4</v>
      </c>
      <c r="C14" s="171"/>
      <c r="D14" s="171"/>
      <c r="E14" s="170">
        <f t="shared" si="0"/>
        <v>0.214</v>
      </c>
      <c r="F14" s="170">
        <f t="shared" si="1"/>
        <v>214</v>
      </c>
      <c r="G14" s="172"/>
      <c r="H14" s="170">
        <v>10</v>
      </c>
      <c r="I14" s="173">
        <v>21.5</v>
      </c>
      <c r="J14" s="170">
        <f t="shared" si="2"/>
        <v>0.215</v>
      </c>
      <c r="K14" s="170">
        <f t="shared" si="3"/>
        <v>215</v>
      </c>
      <c r="L14" s="172"/>
      <c r="M14" s="170">
        <v>10</v>
      </c>
      <c r="N14" s="173">
        <v>21.7</v>
      </c>
      <c r="O14" s="170">
        <f t="shared" si="4"/>
        <v>0.217</v>
      </c>
      <c r="P14" s="170">
        <f t="shared" si="5"/>
        <v>217</v>
      </c>
      <c r="Q14" s="172"/>
      <c r="R14" s="170">
        <v>10</v>
      </c>
      <c r="S14" s="173">
        <v>21.9</v>
      </c>
      <c r="T14" s="170">
        <f t="shared" si="6"/>
        <v>0.21899999999999997</v>
      </c>
      <c r="U14" s="170">
        <f t="shared" si="7"/>
        <v>218.99999999999997</v>
      </c>
      <c r="V14" s="172"/>
      <c r="W14" s="170">
        <v>10</v>
      </c>
      <c r="X14" s="173">
        <v>22.9</v>
      </c>
      <c r="Y14" s="170">
        <f t="shared" si="8"/>
        <v>0.22899999999999998</v>
      </c>
      <c r="Z14" s="170">
        <f t="shared" si="9"/>
        <v>228.99999999999997</v>
      </c>
      <c r="AA14" s="172"/>
      <c r="AB14" s="170">
        <v>10</v>
      </c>
      <c r="AC14" s="173">
        <v>22.8</v>
      </c>
      <c r="AD14" s="170">
        <f t="shared" si="10"/>
        <v>0.22800000000000001</v>
      </c>
      <c r="AE14" s="170">
        <f t="shared" si="11"/>
        <v>228</v>
      </c>
      <c r="AF14" s="172"/>
    </row>
    <row r="15" spans="1:32">
      <c r="A15" s="165">
        <v>11</v>
      </c>
      <c r="B15" s="166">
        <v>22</v>
      </c>
      <c r="C15" s="166"/>
      <c r="D15" s="166"/>
      <c r="E15" s="165">
        <f t="shared" si="0"/>
        <v>0.22</v>
      </c>
      <c r="F15" s="165">
        <f t="shared" si="1"/>
        <v>220</v>
      </c>
      <c r="G15" s="159"/>
      <c r="H15" s="165">
        <v>11</v>
      </c>
      <c r="I15" s="167">
        <v>22.2</v>
      </c>
      <c r="J15" s="165">
        <f t="shared" si="2"/>
        <v>0.222</v>
      </c>
      <c r="K15" s="165">
        <f t="shared" si="3"/>
        <v>222</v>
      </c>
      <c r="L15" s="159"/>
      <c r="M15" s="165">
        <v>11</v>
      </c>
      <c r="N15" s="167">
        <v>22.2</v>
      </c>
      <c r="O15" s="165">
        <f t="shared" si="4"/>
        <v>0.222</v>
      </c>
      <c r="P15" s="165">
        <f t="shared" si="5"/>
        <v>222</v>
      </c>
      <c r="Q15" s="159"/>
      <c r="R15" s="165">
        <v>11</v>
      </c>
      <c r="S15" s="167">
        <v>22.2</v>
      </c>
      <c r="T15" s="165">
        <f t="shared" si="6"/>
        <v>0.222</v>
      </c>
      <c r="U15" s="165">
        <f t="shared" si="7"/>
        <v>222</v>
      </c>
      <c r="V15" s="159"/>
      <c r="W15" s="165">
        <v>11</v>
      </c>
      <c r="X15" s="167">
        <v>22.9</v>
      </c>
      <c r="Y15" s="165">
        <f t="shared" si="8"/>
        <v>0.22899999999999998</v>
      </c>
      <c r="Z15" s="165">
        <f t="shared" si="9"/>
        <v>228.99999999999997</v>
      </c>
      <c r="AA15" s="159"/>
      <c r="AB15" s="168">
        <v>11</v>
      </c>
      <c r="AC15" s="169">
        <v>23.2</v>
      </c>
      <c r="AD15" s="168">
        <f t="shared" si="10"/>
        <v>0.23199999999999998</v>
      </c>
      <c r="AE15" s="168">
        <f t="shared" si="11"/>
        <v>231.99999999999997</v>
      </c>
      <c r="AF15" s="159"/>
    </row>
    <row r="16" spans="1:32">
      <c r="A16" s="170">
        <v>12</v>
      </c>
      <c r="B16" s="171">
        <v>23</v>
      </c>
      <c r="C16" s="171"/>
      <c r="D16" s="171"/>
      <c r="E16" s="170">
        <f t="shared" si="0"/>
        <v>0.23</v>
      </c>
      <c r="F16" s="170">
        <f t="shared" si="1"/>
        <v>230</v>
      </c>
      <c r="G16" s="172"/>
      <c r="H16" s="170">
        <v>12</v>
      </c>
      <c r="I16" s="173">
        <v>23.3</v>
      </c>
      <c r="J16" s="170">
        <f t="shared" si="2"/>
        <v>0.23300000000000001</v>
      </c>
      <c r="K16" s="170">
        <f t="shared" si="3"/>
        <v>233</v>
      </c>
      <c r="L16" s="172"/>
      <c r="M16" s="170">
        <v>12</v>
      </c>
      <c r="N16" s="173">
        <v>24.6</v>
      </c>
      <c r="O16" s="170">
        <f t="shared" si="4"/>
        <v>0.24600000000000002</v>
      </c>
      <c r="P16" s="170">
        <f t="shared" si="5"/>
        <v>246.00000000000003</v>
      </c>
      <c r="Q16" s="172"/>
      <c r="R16" s="170">
        <v>12</v>
      </c>
      <c r="S16" s="173">
        <v>24.5</v>
      </c>
      <c r="T16" s="170">
        <f t="shared" si="6"/>
        <v>0.245</v>
      </c>
      <c r="U16" s="170">
        <f t="shared" si="7"/>
        <v>245</v>
      </c>
      <c r="V16" s="172"/>
      <c r="W16" s="170">
        <v>12</v>
      </c>
      <c r="X16" s="173">
        <v>25.9</v>
      </c>
      <c r="Y16" s="170">
        <f t="shared" si="8"/>
        <v>0.25900000000000001</v>
      </c>
      <c r="Z16" s="170">
        <f t="shared" si="9"/>
        <v>259</v>
      </c>
      <c r="AA16" s="172"/>
      <c r="AB16" s="170">
        <v>12</v>
      </c>
      <c r="AC16" s="173">
        <v>25.8</v>
      </c>
      <c r="AD16" s="170">
        <f t="shared" si="10"/>
        <v>0.25800000000000001</v>
      </c>
      <c r="AE16" s="170">
        <f t="shared" si="11"/>
        <v>258</v>
      </c>
      <c r="AF16" s="172"/>
    </row>
    <row r="17" spans="1:32">
      <c r="A17" s="165">
        <v>13</v>
      </c>
      <c r="B17" s="166">
        <v>52.3</v>
      </c>
      <c r="C17" s="166"/>
      <c r="D17" s="166"/>
      <c r="E17" s="165">
        <f t="shared" si="0"/>
        <v>0.52300000000000002</v>
      </c>
      <c r="F17" s="165">
        <f t="shared" si="1"/>
        <v>523</v>
      </c>
      <c r="G17" s="159"/>
      <c r="H17" s="165">
        <v>13</v>
      </c>
      <c r="I17" s="167">
        <v>51.6</v>
      </c>
      <c r="J17" s="165">
        <f t="shared" si="2"/>
        <v>0.51600000000000001</v>
      </c>
      <c r="K17" s="165">
        <f t="shared" si="3"/>
        <v>516</v>
      </c>
      <c r="L17" s="159"/>
      <c r="M17" s="165">
        <v>13</v>
      </c>
      <c r="N17" s="167">
        <v>50.6</v>
      </c>
      <c r="O17" s="165">
        <f t="shared" si="4"/>
        <v>0.50600000000000001</v>
      </c>
      <c r="P17" s="165">
        <f t="shared" si="5"/>
        <v>506</v>
      </c>
      <c r="Q17" s="159"/>
      <c r="R17" s="165">
        <v>13</v>
      </c>
      <c r="S17" s="167">
        <v>49.7</v>
      </c>
      <c r="T17" s="165">
        <f t="shared" si="6"/>
        <v>0.49700000000000005</v>
      </c>
      <c r="U17" s="165">
        <f t="shared" si="7"/>
        <v>497.00000000000006</v>
      </c>
      <c r="V17" s="159"/>
      <c r="W17" s="165">
        <v>13</v>
      </c>
      <c r="X17" s="167">
        <v>47.6</v>
      </c>
      <c r="Y17" s="165">
        <f t="shared" si="8"/>
        <v>0.47600000000000003</v>
      </c>
      <c r="Z17" s="165">
        <f t="shared" si="9"/>
        <v>476.00000000000006</v>
      </c>
      <c r="AA17" s="159"/>
      <c r="AB17" s="168">
        <v>13</v>
      </c>
      <c r="AC17" s="169">
        <v>45.7</v>
      </c>
      <c r="AD17" s="168">
        <f t="shared" si="10"/>
        <v>0.45700000000000002</v>
      </c>
      <c r="AE17" s="168">
        <f t="shared" si="11"/>
        <v>457</v>
      </c>
      <c r="AF17" s="159"/>
    </row>
    <row r="18" spans="1:32">
      <c r="A18" s="170">
        <v>14</v>
      </c>
      <c r="B18" s="171">
        <v>54.1</v>
      </c>
      <c r="C18" s="171"/>
      <c r="D18" s="171"/>
      <c r="E18" s="170">
        <f t="shared" si="0"/>
        <v>0.54100000000000004</v>
      </c>
      <c r="F18" s="170">
        <f t="shared" si="1"/>
        <v>541</v>
      </c>
      <c r="G18" s="172"/>
      <c r="H18" s="170">
        <v>14</v>
      </c>
      <c r="I18" s="173">
        <v>53.7</v>
      </c>
      <c r="J18" s="170">
        <f t="shared" si="2"/>
        <v>0.53700000000000003</v>
      </c>
      <c r="K18" s="170">
        <f t="shared" si="3"/>
        <v>537</v>
      </c>
      <c r="L18" s="172"/>
      <c r="M18" s="170">
        <v>14</v>
      </c>
      <c r="N18" s="173">
        <v>52.4</v>
      </c>
      <c r="O18" s="170">
        <f t="shared" si="4"/>
        <v>0.52400000000000002</v>
      </c>
      <c r="P18" s="170">
        <f t="shared" si="5"/>
        <v>524</v>
      </c>
      <c r="Q18" s="172"/>
      <c r="R18" s="170">
        <v>14</v>
      </c>
      <c r="S18" s="173">
        <v>51.9</v>
      </c>
      <c r="T18" s="170">
        <f t="shared" si="6"/>
        <v>0.51900000000000002</v>
      </c>
      <c r="U18" s="170">
        <f t="shared" si="7"/>
        <v>519</v>
      </c>
      <c r="V18" s="172"/>
      <c r="W18" s="170">
        <v>14</v>
      </c>
      <c r="X18" s="173">
        <v>50.5</v>
      </c>
      <c r="Y18" s="170">
        <f t="shared" si="8"/>
        <v>0.505</v>
      </c>
      <c r="Z18" s="170">
        <f t="shared" si="9"/>
        <v>505</v>
      </c>
      <c r="AA18" s="172"/>
      <c r="AB18" s="170">
        <v>14</v>
      </c>
      <c r="AC18" s="173">
        <v>47.6</v>
      </c>
      <c r="AD18" s="170">
        <f t="shared" si="10"/>
        <v>0.47600000000000003</v>
      </c>
      <c r="AE18" s="170">
        <f t="shared" si="11"/>
        <v>476.00000000000006</v>
      </c>
      <c r="AF18" s="172"/>
    </row>
    <row r="19" spans="1:32">
      <c r="A19" s="165">
        <v>15</v>
      </c>
      <c r="B19" s="166">
        <v>44.2</v>
      </c>
      <c r="C19" s="166"/>
      <c r="D19" s="166"/>
      <c r="E19" s="165">
        <f t="shared" si="0"/>
        <v>0.442</v>
      </c>
      <c r="F19" s="165">
        <f t="shared" si="1"/>
        <v>442</v>
      </c>
      <c r="G19" s="159"/>
      <c r="H19" s="165">
        <v>15</v>
      </c>
      <c r="I19" s="167">
        <v>41.2</v>
      </c>
      <c r="J19" s="165">
        <f t="shared" si="2"/>
        <v>0.41200000000000003</v>
      </c>
      <c r="K19" s="165">
        <f t="shared" si="3"/>
        <v>412.00000000000006</v>
      </c>
      <c r="L19" s="159"/>
      <c r="M19" s="165">
        <v>15</v>
      </c>
      <c r="N19" s="167">
        <v>40.6</v>
      </c>
      <c r="O19" s="165">
        <f t="shared" si="4"/>
        <v>0.40600000000000003</v>
      </c>
      <c r="P19" s="165">
        <f t="shared" si="5"/>
        <v>406</v>
      </c>
      <c r="Q19" s="159"/>
      <c r="R19" s="165">
        <v>15</v>
      </c>
      <c r="S19" s="167">
        <v>40.200000000000003</v>
      </c>
      <c r="T19" s="165">
        <f t="shared" si="6"/>
        <v>0.40200000000000002</v>
      </c>
      <c r="U19" s="165">
        <f t="shared" si="7"/>
        <v>402</v>
      </c>
      <c r="V19" s="159"/>
      <c r="W19" s="165">
        <v>15</v>
      </c>
      <c r="X19" s="167">
        <v>41.3</v>
      </c>
      <c r="Y19" s="165">
        <f t="shared" si="8"/>
        <v>0.41299999999999998</v>
      </c>
      <c r="Z19" s="165">
        <f t="shared" si="9"/>
        <v>413</v>
      </c>
      <c r="AA19" s="159"/>
      <c r="AB19" s="168">
        <v>15</v>
      </c>
      <c r="AC19" s="169">
        <v>41.4</v>
      </c>
      <c r="AD19" s="168">
        <f t="shared" si="10"/>
        <v>0.41399999999999998</v>
      </c>
      <c r="AE19" s="168">
        <f t="shared" si="11"/>
        <v>414</v>
      </c>
      <c r="AF19" s="159"/>
    </row>
    <row r="20" spans="1:32">
      <c r="A20" s="170">
        <v>16</v>
      </c>
      <c r="B20" s="171">
        <v>50</v>
      </c>
      <c r="C20" s="171"/>
      <c r="D20" s="171"/>
      <c r="E20" s="170">
        <f t="shared" si="0"/>
        <v>0.5</v>
      </c>
      <c r="F20" s="170">
        <f t="shared" si="1"/>
        <v>500</v>
      </c>
      <c r="G20" s="172"/>
      <c r="H20" s="170">
        <v>16</v>
      </c>
      <c r="I20" s="173">
        <v>50.9</v>
      </c>
      <c r="J20" s="170">
        <f t="shared" si="2"/>
        <v>0.50900000000000001</v>
      </c>
      <c r="K20" s="170">
        <f t="shared" si="3"/>
        <v>509</v>
      </c>
      <c r="L20" s="172"/>
      <c r="M20" s="170">
        <v>16</v>
      </c>
      <c r="N20" s="173">
        <v>51.5</v>
      </c>
      <c r="O20" s="170">
        <f t="shared" si="4"/>
        <v>0.51500000000000001</v>
      </c>
      <c r="P20" s="170">
        <f t="shared" si="5"/>
        <v>515</v>
      </c>
      <c r="Q20" s="172"/>
      <c r="R20" s="170">
        <v>16</v>
      </c>
      <c r="S20" s="173">
        <v>52.3</v>
      </c>
      <c r="T20" s="170">
        <f t="shared" si="6"/>
        <v>0.52300000000000002</v>
      </c>
      <c r="U20" s="170">
        <f t="shared" si="7"/>
        <v>523</v>
      </c>
      <c r="V20" s="172"/>
      <c r="W20" s="170">
        <v>16</v>
      </c>
      <c r="X20" s="173">
        <v>53.8</v>
      </c>
      <c r="Y20" s="170">
        <f t="shared" si="8"/>
        <v>0.53799999999999992</v>
      </c>
      <c r="Z20" s="170">
        <f t="shared" si="9"/>
        <v>537.99999999999989</v>
      </c>
      <c r="AA20" s="172"/>
      <c r="AB20" s="170">
        <v>16</v>
      </c>
      <c r="AC20" s="173">
        <v>53.9</v>
      </c>
      <c r="AD20" s="170">
        <f t="shared" si="10"/>
        <v>0.53900000000000003</v>
      </c>
      <c r="AE20" s="170">
        <f t="shared" si="11"/>
        <v>539</v>
      </c>
      <c r="AF20" s="172"/>
    </row>
    <row r="21" spans="1:32">
      <c r="A21" s="165">
        <v>17</v>
      </c>
      <c r="B21" s="166">
        <v>52.2</v>
      </c>
      <c r="C21" s="166"/>
      <c r="D21" s="166"/>
      <c r="E21" s="165">
        <f t="shared" si="0"/>
        <v>0.52200000000000002</v>
      </c>
      <c r="F21" s="165">
        <f t="shared" si="1"/>
        <v>522</v>
      </c>
      <c r="G21" s="159"/>
      <c r="H21" s="165">
        <v>17</v>
      </c>
      <c r="I21" s="167">
        <v>48.8</v>
      </c>
      <c r="J21" s="165">
        <f t="shared" si="2"/>
        <v>0.48799999999999999</v>
      </c>
      <c r="K21" s="165">
        <f t="shared" si="3"/>
        <v>488</v>
      </c>
      <c r="L21" s="159"/>
      <c r="M21" s="165">
        <v>17</v>
      </c>
      <c r="N21" s="167">
        <v>45.5</v>
      </c>
      <c r="O21" s="165">
        <f t="shared" si="4"/>
        <v>0.45500000000000002</v>
      </c>
      <c r="P21" s="165">
        <f t="shared" si="5"/>
        <v>455</v>
      </c>
      <c r="Q21" s="159"/>
      <c r="R21" s="165">
        <v>17</v>
      </c>
      <c r="S21" s="167">
        <v>44.7</v>
      </c>
      <c r="T21" s="165">
        <f t="shared" si="6"/>
        <v>0.44700000000000001</v>
      </c>
      <c r="U21" s="165">
        <f t="shared" si="7"/>
        <v>447</v>
      </c>
      <c r="V21" s="159"/>
      <c r="W21" s="165">
        <v>17</v>
      </c>
      <c r="X21" s="167">
        <v>43.2</v>
      </c>
      <c r="Y21" s="165">
        <f t="shared" si="8"/>
        <v>0.43200000000000005</v>
      </c>
      <c r="Z21" s="165">
        <f t="shared" si="9"/>
        <v>432.00000000000006</v>
      </c>
      <c r="AA21" s="159"/>
      <c r="AB21" s="168">
        <v>17</v>
      </c>
      <c r="AC21" s="169">
        <v>43.6</v>
      </c>
      <c r="AD21" s="168">
        <f t="shared" si="10"/>
        <v>0.436</v>
      </c>
      <c r="AE21" s="168">
        <f t="shared" si="11"/>
        <v>436</v>
      </c>
      <c r="AF21" s="159"/>
    </row>
    <row r="22" spans="1:32">
      <c r="A22" s="170">
        <v>18</v>
      </c>
      <c r="B22" s="171">
        <v>52.9</v>
      </c>
      <c r="C22" s="171"/>
      <c r="D22" s="171"/>
      <c r="E22" s="170">
        <f t="shared" si="0"/>
        <v>0.52900000000000003</v>
      </c>
      <c r="F22" s="170">
        <f t="shared" si="1"/>
        <v>529</v>
      </c>
      <c r="G22" s="172"/>
      <c r="H22" s="170">
        <v>18</v>
      </c>
      <c r="I22" s="173">
        <v>50.8</v>
      </c>
      <c r="J22" s="170">
        <f t="shared" si="2"/>
        <v>0.50800000000000001</v>
      </c>
      <c r="K22" s="170">
        <f t="shared" si="3"/>
        <v>508</v>
      </c>
      <c r="L22" s="172"/>
      <c r="M22" s="170">
        <v>18</v>
      </c>
      <c r="N22" s="173">
        <v>46.5</v>
      </c>
      <c r="O22" s="170">
        <f t="shared" si="4"/>
        <v>0.46500000000000002</v>
      </c>
      <c r="P22" s="170">
        <f t="shared" si="5"/>
        <v>465</v>
      </c>
      <c r="Q22" s="172"/>
      <c r="R22" s="170">
        <v>18</v>
      </c>
      <c r="S22" s="173">
        <v>47.1</v>
      </c>
      <c r="T22" s="170">
        <f t="shared" si="6"/>
        <v>0.47100000000000003</v>
      </c>
      <c r="U22" s="170">
        <f t="shared" si="7"/>
        <v>471.00000000000006</v>
      </c>
      <c r="V22" s="172"/>
      <c r="W22" s="170">
        <v>18</v>
      </c>
      <c r="X22" s="173">
        <v>46</v>
      </c>
      <c r="Y22" s="170">
        <f t="shared" si="8"/>
        <v>0.46</v>
      </c>
      <c r="Z22" s="170">
        <f t="shared" si="9"/>
        <v>460</v>
      </c>
      <c r="AA22" s="172"/>
      <c r="AB22" s="170">
        <v>18</v>
      </c>
      <c r="AC22" s="173">
        <v>44.7</v>
      </c>
      <c r="AD22" s="170">
        <f t="shared" si="10"/>
        <v>0.44700000000000001</v>
      </c>
      <c r="AE22" s="170">
        <f t="shared" si="11"/>
        <v>447</v>
      </c>
      <c r="AF22" s="172"/>
    </row>
    <row r="23" spans="1:32">
      <c r="A23" s="165">
        <v>19</v>
      </c>
      <c r="B23" s="166">
        <v>42.6</v>
      </c>
      <c r="C23" s="166"/>
      <c r="D23" s="166"/>
      <c r="E23" s="165">
        <f t="shared" si="0"/>
        <v>0.42599999999999999</v>
      </c>
      <c r="F23" s="165">
        <f t="shared" si="1"/>
        <v>426</v>
      </c>
      <c r="G23" s="159"/>
      <c r="H23" s="165">
        <v>19</v>
      </c>
      <c r="I23" s="167">
        <v>43.5</v>
      </c>
      <c r="J23" s="165">
        <f t="shared" si="2"/>
        <v>0.435</v>
      </c>
      <c r="K23" s="165">
        <f t="shared" si="3"/>
        <v>435</v>
      </c>
      <c r="L23" s="159"/>
      <c r="M23" s="165">
        <v>19</v>
      </c>
      <c r="N23" s="167">
        <v>45</v>
      </c>
      <c r="O23" s="165">
        <f t="shared" si="4"/>
        <v>0.45</v>
      </c>
      <c r="P23" s="165">
        <f t="shared" si="5"/>
        <v>450</v>
      </c>
      <c r="Q23" s="159"/>
      <c r="R23" s="165">
        <v>19</v>
      </c>
      <c r="S23" s="167">
        <v>46</v>
      </c>
      <c r="T23" s="165">
        <f t="shared" si="6"/>
        <v>0.46</v>
      </c>
      <c r="U23" s="165">
        <f t="shared" si="7"/>
        <v>460</v>
      </c>
      <c r="V23" s="159"/>
      <c r="W23" s="165">
        <v>19</v>
      </c>
      <c r="X23" s="167">
        <v>46.5</v>
      </c>
      <c r="Y23" s="165">
        <f t="shared" si="8"/>
        <v>0.46500000000000002</v>
      </c>
      <c r="Z23" s="165">
        <f t="shared" si="9"/>
        <v>465</v>
      </c>
      <c r="AA23" s="159"/>
      <c r="AB23" s="168">
        <v>19</v>
      </c>
      <c r="AC23" s="169">
        <v>46.6</v>
      </c>
      <c r="AD23" s="168">
        <f t="shared" si="10"/>
        <v>0.46600000000000003</v>
      </c>
      <c r="AE23" s="168">
        <f t="shared" si="11"/>
        <v>466</v>
      </c>
      <c r="AF23" s="159"/>
    </row>
    <row r="24" spans="1:32">
      <c r="A24" s="170">
        <v>20</v>
      </c>
      <c r="B24" s="171">
        <v>46.1</v>
      </c>
      <c r="C24" s="171"/>
      <c r="D24" s="171"/>
      <c r="E24" s="170">
        <f t="shared" si="0"/>
        <v>0.46100000000000002</v>
      </c>
      <c r="F24" s="170">
        <f t="shared" si="1"/>
        <v>461</v>
      </c>
      <c r="G24" s="172"/>
      <c r="H24" s="170">
        <v>20</v>
      </c>
      <c r="I24" s="173">
        <v>45.1</v>
      </c>
      <c r="J24" s="170">
        <f t="shared" si="2"/>
        <v>0.45100000000000001</v>
      </c>
      <c r="K24" s="170">
        <f t="shared" si="3"/>
        <v>451</v>
      </c>
      <c r="L24" s="172"/>
      <c r="M24" s="170">
        <v>20</v>
      </c>
      <c r="N24" s="173">
        <v>44.2</v>
      </c>
      <c r="O24" s="170">
        <f t="shared" si="4"/>
        <v>0.442</v>
      </c>
      <c r="P24" s="170">
        <f t="shared" si="5"/>
        <v>442</v>
      </c>
      <c r="Q24" s="172"/>
      <c r="R24" s="170">
        <v>20</v>
      </c>
      <c r="S24" s="173">
        <v>44.7</v>
      </c>
      <c r="T24" s="170">
        <f t="shared" si="6"/>
        <v>0.44700000000000001</v>
      </c>
      <c r="U24" s="170">
        <f t="shared" si="7"/>
        <v>447</v>
      </c>
      <c r="V24" s="172"/>
      <c r="W24" s="170">
        <v>20</v>
      </c>
      <c r="X24" s="173">
        <v>44.1</v>
      </c>
      <c r="Y24" s="170">
        <f t="shared" si="8"/>
        <v>0.441</v>
      </c>
      <c r="Z24" s="170">
        <f t="shared" si="9"/>
        <v>441</v>
      </c>
      <c r="AA24" s="172"/>
      <c r="AB24" s="170">
        <v>20</v>
      </c>
      <c r="AC24" s="173">
        <v>46.8</v>
      </c>
      <c r="AD24" s="170">
        <f t="shared" si="10"/>
        <v>0.46799999999999997</v>
      </c>
      <c r="AE24" s="170">
        <f t="shared" si="11"/>
        <v>468</v>
      </c>
      <c r="AF24" s="172"/>
    </row>
    <row r="25" spans="1:32">
      <c r="A25" s="165">
        <v>21</v>
      </c>
      <c r="B25" s="166">
        <v>45.9</v>
      </c>
      <c r="C25" s="166"/>
      <c r="D25" s="166"/>
      <c r="E25" s="165">
        <f t="shared" si="0"/>
        <v>0.45899999999999996</v>
      </c>
      <c r="F25" s="165">
        <f t="shared" si="1"/>
        <v>458.99999999999994</v>
      </c>
      <c r="G25" s="159"/>
      <c r="H25" s="165">
        <v>21</v>
      </c>
      <c r="I25" s="167">
        <v>47.3</v>
      </c>
      <c r="J25" s="165">
        <f t="shared" si="2"/>
        <v>0.47299999999999998</v>
      </c>
      <c r="K25" s="165">
        <f t="shared" si="3"/>
        <v>473</v>
      </c>
      <c r="L25" s="159"/>
      <c r="M25" s="165">
        <v>21</v>
      </c>
      <c r="N25" s="167">
        <v>48.3</v>
      </c>
      <c r="O25" s="165">
        <f t="shared" si="4"/>
        <v>0.48299999999999998</v>
      </c>
      <c r="P25" s="165">
        <f t="shared" si="5"/>
        <v>483</v>
      </c>
      <c r="Q25" s="159"/>
      <c r="R25" s="165">
        <v>21</v>
      </c>
      <c r="S25" s="167">
        <v>49.5</v>
      </c>
      <c r="T25" s="165">
        <f t="shared" si="6"/>
        <v>0.495</v>
      </c>
      <c r="U25" s="165">
        <f t="shared" si="7"/>
        <v>495</v>
      </c>
      <c r="V25" s="159"/>
      <c r="W25" s="165">
        <v>21</v>
      </c>
      <c r="X25" s="167">
        <v>51.7</v>
      </c>
      <c r="Y25" s="165">
        <f t="shared" si="8"/>
        <v>0.51700000000000002</v>
      </c>
      <c r="Z25" s="165">
        <f t="shared" si="9"/>
        <v>517</v>
      </c>
      <c r="AA25" s="159"/>
      <c r="AB25" s="168">
        <v>21</v>
      </c>
      <c r="AC25" s="169">
        <v>52.5</v>
      </c>
      <c r="AD25" s="168">
        <f t="shared" si="10"/>
        <v>0.52500000000000002</v>
      </c>
      <c r="AE25" s="168">
        <f t="shared" si="11"/>
        <v>525</v>
      </c>
      <c r="AF25" s="159"/>
    </row>
    <row r="26" spans="1:32">
      <c r="A26" s="170">
        <v>22</v>
      </c>
      <c r="B26" s="171">
        <v>39.5</v>
      </c>
      <c r="C26" s="171"/>
      <c r="D26" s="171"/>
      <c r="E26" s="170">
        <f t="shared" si="0"/>
        <v>0.39500000000000002</v>
      </c>
      <c r="F26" s="170">
        <f t="shared" si="1"/>
        <v>395</v>
      </c>
      <c r="G26" s="172"/>
      <c r="H26" s="170">
        <v>22</v>
      </c>
      <c r="I26" s="173">
        <v>40.9</v>
      </c>
      <c r="J26" s="170">
        <f t="shared" si="2"/>
        <v>0.40899999999999997</v>
      </c>
      <c r="K26" s="170">
        <f t="shared" si="3"/>
        <v>409</v>
      </c>
      <c r="L26" s="172"/>
      <c r="M26" s="170">
        <v>22</v>
      </c>
      <c r="N26" s="173">
        <v>39.6</v>
      </c>
      <c r="O26" s="170">
        <f t="shared" si="4"/>
        <v>0.39600000000000002</v>
      </c>
      <c r="P26" s="170">
        <f t="shared" si="5"/>
        <v>396</v>
      </c>
      <c r="Q26" s="172"/>
      <c r="R26" s="170">
        <v>22</v>
      </c>
      <c r="S26" s="173">
        <v>40.9</v>
      </c>
      <c r="T26" s="170">
        <f t="shared" si="6"/>
        <v>0.40899999999999997</v>
      </c>
      <c r="U26" s="170">
        <f t="shared" si="7"/>
        <v>409</v>
      </c>
      <c r="V26" s="172"/>
      <c r="W26" s="170">
        <v>22</v>
      </c>
      <c r="X26" s="173">
        <v>41.5</v>
      </c>
      <c r="Y26" s="170">
        <f t="shared" si="8"/>
        <v>0.41499999999999998</v>
      </c>
      <c r="Z26" s="170">
        <f t="shared" si="9"/>
        <v>415</v>
      </c>
      <c r="AA26" s="172"/>
      <c r="AB26" s="170">
        <v>22</v>
      </c>
      <c r="AC26" s="173">
        <v>43.2</v>
      </c>
      <c r="AD26" s="170">
        <f t="shared" si="10"/>
        <v>0.43200000000000005</v>
      </c>
      <c r="AE26" s="170">
        <f t="shared" si="11"/>
        <v>432.00000000000006</v>
      </c>
      <c r="AF26" s="172"/>
    </row>
    <row r="27" spans="1:32">
      <c r="A27" s="165">
        <v>23</v>
      </c>
      <c r="B27" s="166">
        <v>46.3</v>
      </c>
      <c r="C27" s="166"/>
      <c r="D27" s="166"/>
      <c r="E27" s="165">
        <f t="shared" si="0"/>
        <v>0.46299999999999997</v>
      </c>
      <c r="F27" s="165">
        <f t="shared" si="1"/>
        <v>462.99999999999994</v>
      </c>
      <c r="G27" s="159"/>
      <c r="H27" s="165">
        <v>23</v>
      </c>
      <c r="I27" s="167">
        <v>49.9</v>
      </c>
      <c r="J27" s="165">
        <f t="shared" si="2"/>
        <v>0.499</v>
      </c>
      <c r="K27" s="165">
        <f t="shared" si="3"/>
        <v>499</v>
      </c>
      <c r="L27" s="159"/>
      <c r="M27" s="165">
        <v>23</v>
      </c>
      <c r="N27" s="167">
        <v>52.8</v>
      </c>
      <c r="O27" s="165">
        <f t="shared" si="4"/>
        <v>0.52800000000000002</v>
      </c>
      <c r="P27" s="165">
        <f t="shared" si="5"/>
        <v>528</v>
      </c>
      <c r="Q27" s="159"/>
      <c r="R27" s="165">
        <v>23</v>
      </c>
      <c r="S27" s="167">
        <v>55.4</v>
      </c>
      <c r="T27" s="165">
        <f t="shared" si="6"/>
        <v>0.55399999999999994</v>
      </c>
      <c r="U27" s="165">
        <f t="shared" si="7"/>
        <v>553.99999999999989</v>
      </c>
      <c r="V27" s="159"/>
      <c r="W27" s="165">
        <v>23</v>
      </c>
      <c r="X27" s="167">
        <v>58.4</v>
      </c>
      <c r="Y27" s="165">
        <f t="shared" si="8"/>
        <v>0.58399999999999996</v>
      </c>
      <c r="Z27" s="165">
        <f t="shared" si="9"/>
        <v>584</v>
      </c>
      <c r="AA27" s="159"/>
      <c r="AB27" s="168">
        <v>23</v>
      </c>
      <c r="AC27" s="169">
        <v>58.9</v>
      </c>
      <c r="AD27" s="168">
        <f t="shared" si="10"/>
        <v>0.58899999999999997</v>
      </c>
      <c r="AE27" s="168">
        <f t="shared" si="11"/>
        <v>589</v>
      </c>
      <c r="AF27" s="159"/>
    </row>
    <row r="28" spans="1:32">
      <c r="A28" s="170">
        <v>24</v>
      </c>
      <c r="B28" s="171">
        <v>44.6</v>
      </c>
      <c r="C28" s="171"/>
      <c r="D28" s="171"/>
      <c r="E28" s="170">
        <f t="shared" si="0"/>
        <v>0.44600000000000001</v>
      </c>
      <c r="F28" s="170">
        <f t="shared" si="1"/>
        <v>446</v>
      </c>
      <c r="G28" s="172"/>
      <c r="H28" s="170">
        <v>24</v>
      </c>
      <c r="I28" s="173">
        <v>45.9</v>
      </c>
      <c r="J28" s="170">
        <f t="shared" si="2"/>
        <v>0.45899999999999996</v>
      </c>
      <c r="K28" s="170">
        <f t="shared" si="3"/>
        <v>458.99999999999994</v>
      </c>
      <c r="L28" s="172"/>
      <c r="M28" s="170">
        <v>24</v>
      </c>
      <c r="N28" s="173">
        <v>44.2</v>
      </c>
      <c r="O28" s="170">
        <f t="shared" si="4"/>
        <v>0.442</v>
      </c>
      <c r="P28" s="170">
        <f t="shared" si="5"/>
        <v>442</v>
      </c>
      <c r="Q28" s="172"/>
      <c r="R28" s="170">
        <v>24</v>
      </c>
      <c r="S28" s="173">
        <v>45.9</v>
      </c>
      <c r="T28" s="170">
        <f t="shared" si="6"/>
        <v>0.45899999999999996</v>
      </c>
      <c r="U28" s="170">
        <f t="shared" si="7"/>
        <v>458.99999999999994</v>
      </c>
      <c r="V28" s="172"/>
      <c r="W28" s="170">
        <v>24</v>
      </c>
      <c r="X28" s="173">
        <v>45.9</v>
      </c>
      <c r="Y28" s="170">
        <f t="shared" si="8"/>
        <v>0.45899999999999996</v>
      </c>
      <c r="Z28" s="170">
        <f t="shared" si="9"/>
        <v>458.99999999999994</v>
      </c>
      <c r="AA28" s="172"/>
      <c r="AB28" s="170">
        <v>24</v>
      </c>
      <c r="AC28" s="173">
        <v>47.4</v>
      </c>
      <c r="AD28" s="170">
        <f t="shared" si="10"/>
        <v>0.47399999999999998</v>
      </c>
      <c r="AE28" s="170">
        <f t="shared" si="11"/>
        <v>474</v>
      </c>
      <c r="AF28" s="172"/>
    </row>
    <row r="29" spans="1:32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74"/>
      <c r="AC29" s="175"/>
      <c r="AD29" s="174"/>
      <c r="AE29" s="174"/>
      <c r="AF29" s="159"/>
    </row>
    <row r="30" spans="1:32">
      <c r="A30" s="161" t="s">
        <v>59</v>
      </c>
      <c r="B30" s="161" t="s">
        <v>294</v>
      </c>
      <c r="C30" s="161"/>
      <c r="D30" s="161"/>
      <c r="E30" s="161" t="s">
        <v>295</v>
      </c>
      <c r="F30" s="161" t="s">
        <v>296</v>
      </c>
      <c r="G30" s="159"/>
      <c r="H30" s="161" t="s">
        <v>59</v>
      </c>
      <c r="I30" s="161" t="s">
        <v>294</v>
      </c>
      <c r="J30" s="161" t="s">
        <v>295</v>
      </c>
      <c r="K30" s="161" t="s">
        <v>296</v>
      </c>
      <c r="L30" s="159"/>
      <c r="M30" s="161" t="s">
        <v>59</v>
      </c>
      <c r="N30" s="161" t="s">
        <v>294</v>
      </c>
      <c r="O30" s="161" t="s">
        <v>295</v>
      </c>
      <c r="P30" s="161" t="s">
        <v>296</v>
      </c>
      <c r="Q30" s="159"/>
      <c r="R30" s="161" t="s">
        <v>59</v>
      </c>
      <c r="S30" s="161" t="s">
        <v>294</v>
      </c>
      <c r="T30" s="161" t="s">
        <v>295</v>
      </c>
      <c r="U30" s="161" t="s">
        <v>296</v>
      </c>
      <c r="V30" s="159"/>
      <c r="W30" s="161" t="s">
        <v>59</v>
      </c>
      <c r="X30" s="161" t="s">
        <v>294</v>
      </c>
      <c r="Y30" s="161" t="s">
        <v>295</v>
      </c>
      <c r="Z30" s="161" t="s">
        <v>296</v>
      </c>
      <c r="AA30" s="159"/>
      <c r="AB30" s="161" t="s">
        <v>59</v>
      </c>
      <c r="AC30" s="161" t="s">
        <v>294</v>
      </c>
      <c r="AD30" s="161" t="s">
        <v>295</v>
      </c>
      <c r="AE30" s="161" t="s">
        <v>296</v>
      </c>
      <c r="AF30" s="159"/>
    </row>
    <row r="31" spans="1:32">
      <c r="A31" s="167">
        <v>25</v>
      </c>
      <c r="B31" s="167">
        <v>30.18</v>
      </c>
      <c r="C31" s="167"/>
      <c r="D31" s="167"/>
      <c r="E31" s="176">
        <f t="shared" ref="E31:E54" si="12">B31/100</f>
        <v>0.30180000000000001</v>
      </c>
      <c r="F31" s="177">
        <f t="shared" ref="F31:F54" si="13">E31*1000</f>
        <v>301.8</v>
      </c>
      <c r="G31" s="159"/>
      <c r="H31" s="167">
        <v>25</v>
      </c>
      <c r="I31" s="167">
        <v>31.5</v>
      </c>
      <c r="J31" s="165">
        <f t="shared" ref="J31:J54" si="14">I31/100</f>
        <v>0.315</v>
      </c>
      <c r="K31" s="165">
        <f t="shared" ref="K31:K54" si="15">J31*1000</f>
        <v>315</v>
      </c>
      <c r="L31" s="159"/>
      <c r="M31" s="167">
        <v>25</v>
      </c>
      <c r="N31" s="15">
        <v>32.6</v>
      </c>
      <c r="O31" s="165">
        <f t="shared" ref="O31:O54" si="16">N31/100</f>
        <v>0.32600000000000001</v>
      </c>
      <c r="P31" s="165">
        <f t="shared" ref="P31:P54" si="17">O31*1000</f>
        <v>326</v>
      </c>
      <c r="Q31" s="159"/>
      <c r="R31" s="167">
        <v>25</v>
      </c>
      <c r="S31" s="15">
        <v>33.299999999999997</v>
      </c>
      <c r="T31" s="165">
        <f t="shared" ref="T31:T54" si="18">S31/100</f>
        <v>0.33299999999999996</v>
      </c>
      <c r="U31" s="165">
        <f t="shared" ref="U31:U54" si="19">T31*1000</f>
        <v>332.99999999999994</v>
      </c>
      <c r="V31" s="159"/>
      <c r="W31" s="167">
        <v>25</v>
      </c>
      <c r="X31" s="15">
        <v>34.299999999999997</v>
      </c>
      <c r="Y31" s="165">
        <f t="shared" ref="Y31:Y54" si="20">X31/100</f>
        <v>0.34299999999999997</v>
      </c>
      <c r="Z31" s="165">
        <f t="shared" ref="Z31:Z54" si="21">Y31*1000</f>
        <v>343</v>
      </c>
      <c r="AA31" s="159"/>
      <c r="AB31" s="167">
        <v>25</v>
      </c>
      <c r="AC31" s="15">
        <v>32.9</v>
      </c>
      <c r="AD31" s="165">
        <f t="shared" ref="AD31:AD54" si="22">AC31/100</f>
        <v>0.32899999999999996</v>
      </c>
      <c r="AE31" s="165">
        <f t="shared" ref="AE31:AE54" si="23">AD31*1000</f>
        <v>328.99999999999994</v>
      </c>
      <c r="AF31" s="159"/>
    </row>
    <row r="32" spans="1:32">
      <c r="A32" s="173">
        <v>26</v>
      </c>
      <c r="B32" s="173">
        <v>30.9</v>
      </c>
      <c r="C32" s="173"/>
      <c r="D32" s="173"/>
      <c r="E32" s="178">
        <f t="shared" si="12"/>
        <v>0.309</v>
      </c>
      <c r="F32" s="179">
        <f t="shared" si="13"/>
        <v>309</v>
      </c>
      <c r="G32" s="172"/>
      <c r="H32" s="173">
        <v>26</v>
      </c>
      <c r="I32" s="173">
        <v>32.799999999999997</v>
      </c>
      <c r="J32" s="170">
        <f t="shared" si="14"/>
        <v>0.32799999999999996</v>
      </c>
      <c r="K32" s="170">
        <f t="shared" si="15"/>
        <v>327.99999999999994</v>
      </c>
      <c r="L32" s="172"/>
      <c r="M32" s="173">
        <v>26</v>
      </c>
      <c r="N32" s="22">
        <v>33.4</v>
      </c>
      <c r="O32" s="170">
        <f t="shared" si="16"/>
        <v>0.33399999999999996</v>
      </c>
      <c r="P32" s="170">
        <f t="shared" si="17"/>
        <v>333.99999999999994</v>
      </c>
      <c r="Q32" s="172"/>
      <c r="R32" s="173">
        <v>26</v>
      </c>
      <c r="S32" s="22">
        <v>33.6</v>
      </c>
      <c r="T32" s="170">
        <f t="shared" si="18"/>
        <v>0.33600000000000002</v>
      </c>
      <c r="U32" s="170">
        <f t="shared" si="19"/>
        <v>336</v>
      </c>
      <c r="V32" s="172"/>
      <c r="W32" s="173">
        <v>26</v>
      </c>
      <c r="X32" s="22">
        <v>34</v>
      </c>
      <c r="Y32" s="170">
        <f t="shared" si="20"/>
        <v>0.34</v>
      </c>
      <c r="Z32" s="170">
        <f t="shared" si="21"/>
        <v>340</v>
      </c>
      <c r="AA32" s="172"/>
      <c r="AB32" s="173">
        <v>26</v>
      </c>
      <c r="AC32" s="22">
        <v>33.799999999999997</v>
      </c>
      <c r="AD32" s="170">
        <f t="shared" si="22"/>
        <v>0.33799999999999997</v>
      </c>
      <c r="AE32" s="170">
        <f t="shared" si="23"/>
        <v>337.99999999999994</v>
      </c>
      <c r="AF32" s="172"/>
    </row>
    <row r="33" spans="1:32">
      <c r="A33" s="167">
        <v>27</v>
      </c>
      <c r="B33" s="167">
        <v>28.84</v>
      </c>
      <c r="C33" s="167"/>
      <c r="D33" s="167"/>
      <c r="E33" s="176">
        <f t="shared" si="12"/>
        <v>0.28839999999999999</v>
      </c>
      <c r="F33" s="177">
        <f t="shared" si="13"/>
        <v>288.39999999999998</v>
      </c>
      <c r="G33" s="159"/>
      <c r="H33" s="167">
        <v>27</v>
      </c>
      <c r="I33" s="167">
        <v>29.7</v>
      </c>
      <c r="J33" s="165">
        <f t="shared" si="14"/>
        <v>0.29699999999999999</v>
      </c>
      <c r="K33" s="165">
        <f t="shared" si="15"/>
        <v>297</v>
      </c>
      <c r="L33" s="159"/>
      <c r="M33" s="167">
        <v>27</v>
      </c>
      <c r="N33" s="15">
        <v>30.2</v>
      </c>
      <c r="O33" s="165">
        <f t="shared" si="16"/>
        <v>0.30199999999999999</v>
      </c>
      <c r="P33" s="165">
        <f t="shared" si="17"/>
        <v>302</v>
      </c>
      <c r="Q33" s="159"/>
      <c r="R33" s="167">
        <v>27</v>
      </c>
      <c r="S33" s="15">
        <v>30.8</v>
      </c>
      <c r="T33" s="165">
        <f t="shared" si="18"/>
        <v>0.308</v>
      </c>
      <c r="U33" s="165">
        <f t="shared" si="19"/>
        <v>308</v>
      </c>
      <c r="V33" s="159"/>
      <c r="W33" s="167">
        <v>27</v>
      </c>
      <c r="X33" s="15">
        <v>30.9</v>
      </c>
      <c r="Y33" s="165">
        <f t="shared" si="20"/>
        <v>0.309</v>
      </c>
      <c r="Z33" s="165">
        <f t="shared" si="21"/>
        <v>309</v>
      </c>
      <c r="AA33" s="159"/>
      <c r="AB33" s="167">
        <v>27</v>
      </c>
      <c r="AC33" s="15">
        <v>30.9</v>
      </c>
      <c r="AD33" s="165">
        <f t="shared" si="22"/>
        <v>0.309</v>
      </c>
      <c r="AE33" s="165">
        <f t="shared" si="23"/>
        <v>309</v>
      </c>
      <c r="AF33" s="159"/>
    </row>
    <row r="34" spans="1:32">
      <c r="A34" s="173">
        <v>28</v>
      </c>
      <c r="B34" s="173">
        <v>26.09</v>
      </c>
      <c r="C34" s="173"/>
      <c r="D34" s="173"/>
      <c r="E34" s="178">
        <f t="shared" si="12"/>
        <v>0.26090000000000002</v>
      </c>
      <c r="F34" s="179">
        <f t="shared" si="13"/>
        <v>260.90000000000003</v>
      </c>
      <c r="G34" s="172"/>
      <c r="H34" s="173">
        <v>28</v>
      </c>
      <c r="I34" s="173">
        <v>27.1</v>
      </c>
      <c r="J34" s="170">
        <f t="shared" si="14"/>
        <v>0.27100000000000002</v>
      </c>
      <c r="K34" s="170">
        <f t="shared" si="15"/>
        <v>271</v>
      </c>
      <c r="L34" s="172"/>
      <c r="M34" s="173">
        <v>28</v>
      </c>
      <c r="N34" s="22">
        <v>27.7</v>
      </c>
      <c r="O34" s="170">
        <f t="shared" si="16"/>
        <v>0.27699999999999997</v>
      </c>
      <c r="P34" s="170">
        <f t="shared" si="17"/>
        <v>276.99999999999994</v>
      </c>
      <c r="Q34" s="172"/>
      <c r="R34" s="173">
        <v>28</v>
      </c>
      <c r="S34" s="22">
        <v>28.6</v>
      </c>
      <c r="T34" s="170">
        <f t="shared" si="18"/>
        <v>0.28600000000000003</v>
      </c>
      <c r="U34" s="170">
        <f t="shared" si="19"/>
        <v>286.00000000000006</v>
      </c>
      <c r="V34" s="172"/>
      <c r="W34" s="173">
        <v>28</v>
      </c>
      <c r="X34" s="22">
        <v>29.5</v>
      </c>
      <c r="Y34" s="170">
        <f t="shared" si="20"/>
        <v>0.29499999999999998</v>
      </c>
      <c r="Z34" s="170">
        <f t="shared" si="21"/>
        <v>295</v>
      </c>
      <c r="AA34" s="172"/>
      <c r="AB34" s="173">
        <v>28</v>
      </c>
      <c r="AC34" s="22">
        <v>29.4</v>
      </c>
      <c r="AD34" s="170">
        <f t="shared" si="22"/>
        <v>0.29399999999999998</v>
      </c>
      <c r="AE34" s="170">
        <f t="shared" si="23"/>
        <v>294</v>
      </c>
      <c r="AF34" s="172"/>
    </row>
    <row r="35" spans="1:32">
      <c r="A35" s="173">
        <v>29</v>
      </c>
      <c r="B35" s="173">
        <v>27.8</v>
      </c>
      <c r="C35" s="173"/>
      <c r="D35" s="173"/>
      <c r="E35" s="178">
        <f t="shared" si="12"/>
        <v>0.27800000000000002</v>
      </c>
      <c r="F35" s="179">
        <f t="shared" si="13"/>
        <v>278</v>
      </c>
      <c r="G35" s="172"/>
      <c r="H35" s="173">
        <v>29</v>
      </c>
      <c r="I35" s="173">
        <v>28.4</v>
      </c>
      <c r="J35" s="170">
        <f t="shared" si="14"/>
        <v>0.28399999999999997</v>
      </c>
      <c r="K35" s="170">
        <f t="shared" si="15"/>
        <v>284</v>
      </c>
      <c r="L35" s="172"/>
      <c r="M35" s="173">
        <v>29</v>
      </c>
      <c r="N35" s="22">
        <v>29.3</v>
      </c>
      <c r="O35" s="170">
        <f t="shared" si="16"/>
        <v>0.29299999999999998</v>
      </c>
      <c r="P35" s="170">
        <f t="shared" si="17"/>
        <v>293</v>
      </c>
      <c r="Q35" s="172"/>
      <c r="R35" s="173">
        <v>29</v>
      </c>
      <c r="S35" s="22">
        <v>29.1</v>
      </c>
      <c r="T35" s="170">
        <f t="shared" si="18"/>
        <v>0.29100000000000004</v>
      </c>
      <c r="U35" s="170">
        <f t="shared" si="19"/>
        <v>291.00000000000006</v>
      </c>
      <c r="V35" s="172"/>
      <c r="W35" s="173">
        <v>29</v>
      </c>
      <c r="X35" s="22">
        <v>29.5</v>
      </c>
      <c r="Y35" s="170">
        <f t="shared" si="20"/>
        <v>0.29499999999999998</v>
      </c>
      <c r="Z35" s="170">
        <f t="shared" si="21"/>
        <v>295</v>
      </c>
      <c r="AA35" s="172"/>
      <c r="AB35" s="173">
        <v>29</v>
      </c>
      <c r="AC35" s="22">
        <v>29.1</v>
      </c>
      <c r="AD35" s="170">
        <f t="shared" si="22"/>
        <v>0.29100000000000004</v>
      </c>
      <c r="AE35" s="170">
        <f t="shared" si="23"/>
        <v>291.00000000000006</v>
      </c>
      <c r="AF35" s="172"/>
    </row>
    <row r="36" spans="1:32">
      <c r="A36" s="169">
        <v>30</v>
      </c>
      <c r="B36" s="169">
        <v>26.28</v>
      </c>
      <c r="C36" s="169"/>
      <c r="D36" s="169"/>
      <c r="E36" s="176">
        <f t="shared" si="12"/>
        <v>0.26280000000000003</v>
      </c>
      <c r="F36" s="177">
        <f t="shared" si="13"/>
        <v>262.8</v>
      </c>
      <c r="G36" s="159"/>
      <c r="H36" s="169">
        <v>30</v>
      </c>
      <c r="I36" s="169">
        <v>27.3</v>
      </c>
      <c r="J36" s="165">
        <f t="shared" si="14"/>
        <v>0.27300000000000002</v>
      </c>
      <c r="K36" s="165">
        <f t="shared" si="15"/>
        <v>273</v>
      </c>
      <c r="L36" s="159"/>
      <c r="M36" s="169">
        <v>30</v>
      </c>
      <c r="N36" s="52">
        <v>28.5</v>
      </c>
      <c r="O36" s="165">
        <f t="shared" si="16"/>
        <v>0.28499999999999998</v>
      </c>
      <c r="P36" s="165">
        <f t="shared" si="17"/>
        <v>285</v>
      </c>
      <c r="Q36" s="159"/>
      <c r="R36" s="169">
        <v>30</v>
      </c>
      <c r="S36" s="52">
        <v>29.2</v>
      </c>
      <c r="T36" s="165">
        <f t="shared" si="18"/>
        <v>0.29199999999999998</v>
      </c>
      <c r="U36" s="165">
        <f t="shared" si="19"/>
        <v>292</v>
      </c>
      <c r="V36" s="159"/>
      <c r="W36" s="169">
        <v>30</v>
      </c>
      <c r="X36" s="52">
        <v>30.3</v>
      </c>
      <c r="Y36" s="165">
        <f t="shared" si="20"/>
        <v>0.30299999999999999</v>
      </c>
      <c r="Z36" s="165">
        <f t="shared" si="21"/>
        <v>303</v>
      </c>
      <c r="AA36" s="159"/>
      <c r="AB36" s="169">
        <v>30</v>
      </c>
      <c r="AC36" s="52">
        <v>29.3</v>
      </c>
      <c r="AD36" s="165">
        <f t="shared" si="22"/>
        <v>0.29299999999999998</v>
      </c>
      <c r="AE36" s="165">
        <f t="shared" si="23"/>
        <v>293</v>
      </c>
      <c r="AF36" s="159"/>
    </row>
    <row r="37" spans="1:32">
      <c r="A37" s="167">
        <v>31</v>
      </c>
      <c r="B37" s="167">
        <v>19.95</v>
      </c>
      <c r="C37" s="167"/>
      <c r="D37" s="167"/>
      <c r="E37" s="176">
        <f t="shared" si="12"/>
        <v>0.19949999999999998</v>
      </c>
      <c r="F37" s="177">
        <f t="shared" si="13"/>
        <v>199.49999999999997</v>
      </c>
      <c r="G37" s="159"/>
      <c r="H37" s="167">
        <v>31</v>
      </c>
      <c r="I37" s="167">
        <v>20.37</v>
      </c>
      <c r="J37" s="165">
        <f t="shared" si="14"/>
        <v>0.20370000000000002</v>
      </c>
      <c r="K37" s="165">
        <f t="shared" si="15"/>
        <v>203.70000000000002</v>
      </c>
      <c r="L37" s="159"/>
      <c r="M37" s="167">
        <v>31</v>
      </c>
      <c r="N37" s="15">
        <v>20.7</v>
      </c>
      <c r="O37" s="165">
        <f t="shared" si="16"/>
        <v>0.20699999999999999</v>
      </c>
      <c r="P37" s="165">
        <f t="shared" si="17"/>
        <v>207</v>
      </c>
      <c r="Q37" s="159"/>
      <c r="R37" s="167">
        <v>31</v>
      </c>
      <c r="S37" s="15">
        <v>21.1</v>
      </c>
      <c r="T37" s="165">
        <f t="shared" si="18"/>
        <v>0.21100000000000002</v>
      </c>
      <c r="U37" s="165">
        <f t="shared" si="19"/>
        <v>211.00000000000003</v>
      </c>
      <c r="V37" s="159"/>
      <c r="W37" s="167">
        <v>31</v>
      </c>
      <c r="X37" s="15">
        <v>20.8</v>
      </c>
      <c r="Y37" s="165">
        <f t="shared" si="20"/>
        <v>0.20800000000000002</v>
      </c>
      <c r="Z37" s="165">
        <f t="shared" si="21"/>
        <v>208.00000000000003</v>
      </c>
      <c r="AA37" s="159"/>
      <c r="AB37" s="167">
        <v>31</v>
      </c>
      <c r="AC37" s="15">
        <v>21.1</v>
      </c>
      <c r="AD37" s="165">
        <f t="shared" si="22"/>
        <v>0.21100000000000002</v>
      </c>
      <c r="AE37" s="165">
        <f t="shared" si="23"/>
        <v>211.00000000000003</v>
      </c>
      <c r="AF37" s="159"/>
    </row>
    <row r="38" spans="1:32">
      <c r="A38" s="173">
        <v>32</v>
      </c>
      <c r="B38" s="173">
        <v>20.53</v>
      </c>
      <c r="C38" s="173"/>
      <c r="D38" s="173"/>
      <c r="E38" s="178">
        <f t="shared" si="12"/>
        <v>0.20530000000000001</v>
      </c>
      <c r="F38" s="179">
        <f t="shared" si="13"/>
        <v>205.3</v>
      </c>
      <c r="G38" s="172"/>
      <c r="H38" s="173">
        <v>32</v>
      </c>
      <c r="I38" s="173">
        <v>20.82</v>
      </c>
      <c r="J38" s="170">
        <f t="shared" si="14"/>
        <v>0.2082</v>
      </c>
      <c r="K38" s="170">
        <f t="shared" si="15"/>
        <v>208.2</v>
      </c>
      <c r="L38" s="172"/>
      <c r="M38" s="173">
        <v>32</v>
      </c>
      <c r="N38" s="22">
        <v>20.6</v>
      </c>
      <c r="O38" s="170">
        <f t="shared" si="16"/>
        <v>0.20600000000000002</v>
      </c>
      <c r="P38" s="170">
        <f t="shared" si="17"/>
        <v>206.00000000000003</v>
      </c>
      <c r="Q38" s="172"/>
      <c r="R38" s="173">
        <v>32</v>
      </c>
      <c r="S38" s="22">
        <v>20.7</v>
      </c>
      <c r="T38" s="170">
        <f t="shared" si="18"/>
        <v>0.20699999999999999</v>
      </c>
      <c r="U38" s="170">
        <f t="shared" si="19"/>
        <v>207</v>
      </c>
      <c r="V38" s="172"/>
      <c r="W38" s="173">
        <v>32</v>
      </c>
      <c r="X38" s="22">
        <v>20.8</v>
      </c>
      <c r="Y38" s="170">
        <f t="shared" si="20"/>
        <v>0.20800000000000002</v>
      </c>
      <c r="Z38" s="170">
        <f t="shared" si="21"/>
        <v>208.00000000000003</v>
      </c>
      <c r="AA38" s="172"/>
      <c r="AB38" s="173">
        <v>32</v>
      </c>
      <c r="AC38" s="22">
        <v>20.7</v>
      </c>
      <c r="AD38" s="170">
        <f t="shared" si="22"/>
        <v>0.20699999999999999</v>
      </c>
      <c r="AE38" s="170">
        <f t="shared" si="23"/>
        <v>207</v>
      </c>
      <c r="AF38" s="172"/>
    </row>
    <row r="39" spans="1:32">
      <c r="A39" s="167">
        <v>33</v>
      </c>
      <c r="B39" s="167">
        <v>21.28</v>
      </c>
      <c r="C39" s="167"/>
      <c r="D39" s="167"/>
      <c r="E39" s="176">
        <f t="shared" si="12"/>
        <v>0.21280000000000002</v>
      </c>
      <c r="F39" s="177">
        <f t="shared" si="13"/>
        <v>212.8</v>
      </c>
      <c r="G39" s="159"/>
      <c r="H39" s="167">
        <v>33</v>
      </c>
      <c r="I39" s="167">
        <v>21.6</v>
      </c>
      <c r="J39" s="165">
        <f t="shared" si="14"/>
        <v>0.21600000000000003</v>
      </c>
      <c r="K39" s="165">
        <f t="shared" si="15"/>
        <v>216.00000000000003</v>
      </c>
      <c r="L39" s="159"/>
      <c r="M39" s="167">
        <v>33</v>
      </c>
      <c r="N39" s="15">
        <v>21.05</v>
      </c>
      <c r="O39" s="165">
        <f t="shared" si="16"/>
        <v>0.21050000000000002</v>
      </c>
      <c r="P39" s="165">
        <f t="shared" si="17"/>
        <v>210.50000000000003</v>
      </c>
      <c r="Q39" s="159"/>
      <c r="R39" s="167">
        <v>33</v>
      </c>
      <c r="S39" s="15">
        <v>21.8</v>
      </c>
      <c r="T39" s="165">
        <f t="shared" si="18"/>
        <v>0.218</v>
      </c>
      <c r="U39" s="165">
        <f t="shared" si="19"/>
        <v>218</v>
      </c>
      <c r="V39" s="159"/>
      <c r="W39" s="167">
        <v>33</v>
      </c>
      <c r="X39" s="15">
        <v>21.6</v>
      </c>
      <c r="Y39" s="165">
        <f t="shared" si="20"/>
        <v>0.21600000000000003</v>
      </c>
      <c r="Z39" s="165">
        <f t="shared" si="21"/>
        <v>216.00000000000003</v>
      </c>
      <c r="AA39" s="159"/>
      <c r="AB39" s="167">
        <v>33</v>
      </c>
      <c r="AC39" s="15">
        <v>21.7</v>
      </c>
      <c r="AD39" s="165">
        <f t="shared" si="22"/>
        <v>0.217</v>
      </c>
      <c r="AE39" s="165">
        <f t="shared" si="23"/>
        <v>217</v>
      </c>
      <c r="AF39" s="159"/>
    </row>
    <row r="40" spans="1:32">
      <c r="A40" s="173">
        <v>34</v>
      </c>
      <c r="B40" s="173">
        <v>21.62</v>
      </c>
      <c r="C40" s="173"/>
      <c r="D40" s="173"/>
      <c r="E40" s="178">
        <f t="shared" si="12"/>
        <v>0.2162</v>
      </c>
      <c r="F40" s="179">
        <f t="shared" si="13"/>
        <v>216.20000000000002</v>
      </c>
      <c r="G40" s="172"/>
      <c r="H40" s="173">
        <v>34</v>
      </c>
      <c r="I40" s="173">
        <v>22.47</v>
      </c>
      <c r="J40" s="170">
        <f t="shared" si="14"/>
        <v>0.22469999999999998</v>
      </c>
      <c r="K40" s="170">
        <f t="shared" si="15"/>
        <v>224.7</v>
      </c>
      <c r="L40" s="172"/>
      <c r="M40" s="173">
        <v>34</v>
      </c>
      <c r="N40" s="22">
        <v>22.7</v>
      </c>
      <c r="O40" s="170">
        <f t="shared" si="16"/>
        <v>0.22699999999999998</v>
      </c>
      <c r="P40" s="170">
        <f t="shared" si="17"/>
        <v>226.99999999999997</v>
      </c>
      <c r="Q40" s="172"/>
      <c r="R40" s="173">
        <v>34</v>
      </c>
      <c r="S40" s="22">
        <v>22.4</v>
      </c>
      <c r="T40" s="170">
        <f t="shared" si="18"/>
        <v>0.22399999999999998</v>
      </c>
      <c r="U40" s="170">
        <f t="shared" si="19"/>
        <v>223.99999999999997</v>
      </c>
      <c r="V40" s="172"/>
      <c r="W40" s="173">
        <v>34</v>
      </c>
      <c r="X40" s="22">
        <v>23.4</v>
      </c>
      <c r="Y40" s="170">
        <f t="shared" si="20"/>
        <v>0.23399999999999999</v>
      </c>
      <c r="Z40" s="170">
        <f t="shared" si="21"/>
        <v>234</v>
      </c>
      <c r="AA40" s="172"/>
      <c r="AB40" s="173">
        <v>34</v>
      </c>
      <c r="AC40" s="22">
        <v>23.1</v>
      </c>
      <c r="AD40" s="170">
        <f t="shared" si="22"/>
        <v>0.23100000000000001</v>
      </c>
      <c r="AE40" s="170">
        <f t="shared" si="23"/>
        <v>231</v>
      </c>
      <c r="AF40" s="172"/>
    </row>
    <row r="41" spans="1:32">
      <c r="A41" s="167">
        <v>35</v>
      </c>
      <c r="B41" s="167">
        <v>22.95</v>
      </c>
      <c r="C41" s="167"/>
      <c r="D41" s="167"/>
      <c r="E41" s="176">
        <f t="shared" si="12"/>
        <v>0.22949999999999998</v>
      </c>
      <c r="F41" s="177">
        <f t="shared" si="13"/>
        <v>229.49999999999997</v>
      </c>
      <c r="G41" s="159"/>
      <c r="H41" s="167">
        <v>35</v>
      </c>
      <c r="I41" s="167">
        <v>23.8</v>
      </c>
      <c r="J41" s="165">
        <f t="shared" si="14"/>
        <v>0.23800000000000002</v>
      </c>
      <c r="K41" s="165">
        <f t="shared" si="15"/>
        <v>238.00000000000003</v>
      </c>
      <c r="L41" s="159"/>
      <c r="M41" s="167">
        <v>35</v>
      </c>
      <c r="N41" s="15">
        <v>24.2</v>
      </c>
      <c r="O41" s="165">
        <f t="shared" si="16"/>
        <v>0.24199999999999999</v>
      </c>
      <c r="P41" s="165">
        <f t="shared" si="17"/>
        <v>242</v>
      </c>
      <c r="Q41" s="159"/>
      <c r="R41" s="167">
        <v>35</v>
      </c>
      <c r="S41" s="15">
        <v>25.5</v>
      </c>
      <c r="T41" s="165">
        <f t="shared" si="18"/>
        <v>0.255</v>
      </c>
      <c r="U41" s="165">
        <f t="shared" si="19"/>
        <v>255</v>
      </c>
      <c r="V41" s="159"/>
      <c r="W41" s="167">
        <v>35</v>
      </c>
      <c r="X41" s="15">
        <v>26.5</v>
      </c>
      <c r="Y41" s="165">
        <f t="shared" si="20"/>
        <v>0.26500000000000001</v>
      </c>
      <c r="Z41" s="165">
        <f t="shared" si="21"/>
        <v>265</v>
      </c>
      <c r="AA41" s="159"/>
      <c r="AB41" s="167">
        <v>35</v>
      </c>
      <c r="AC41" s="15">
        <v>24.6</v>
      </c>
      <c r="AD41" s="165">
        <f t="shared" si="22"/>
        <v>0.24600000000000002</v>
      </c>
      <c r="AE41" s="165">
        <f t="shared" si="23"/>
        <v>246.00000000000003</v>
      </c>
      <c r="AF41" s="159"/>
    </row>
    <row r="42" spans="1:32">
      <c r="A42" s="173">
        <v>36</v>
      </c>
      <c r="B42" s="173">
        <v>21.85</v>
      </c>
      <c r="C42" s="173"/>
      <c r="D42" s="173"/>
      <c r="E42" s="178">
        <f t="shared" si="12"/>
        <v>0.21850000000000003</v>
      </c>
      <c r="F42" s="179">
        <f t="shared" si="13"/>
        <v>218.50000000000003</v>
      </c>
      <c r="G42" s="172"/>
      <c r="H42" s="173">
        <v>36</v>
      </c>
      <c r="I42" s="173">
        <v>23.2</v>
      </c>
      <c r="J42" s="170">
        <f t="shared" si="14"/>
        <v>0.23199999999999998</v>
      </c>
      <c r="K42" s="170">
        <f t="shared" si="15"/>
        <v>231.99999999999997</v>
      </c>
      <c r="L42" s="172"/>
      <c r="M42" s="173">
        <v>36</v>
      </c>
      <c r="N42" s="22">
        <v>23.7</v>
      </c>
      <c r="O42" s="170">
        <f t="shared" si="16"/>
        <v>0.23699999999999999</v>
      </c>
      <c r="P42" s="170">
        <f t="shared" si="17"/>
        <v>237</v>
      </c>
      <c r="Q42" s="172"/>
      <c r="R42" s="173">
        <v>36</v>
      </c>
      <c r="S42" s="22">
        <v>24</v>
      </c>
      <c r="T42" s="170">
        <f t="shared" si="18"/>
        <v>0.24</v>
      </c>
      <c r="U42" s="170">
        <f t="shared" si="19"/>
        <v>240</v>
      </c>
      <c r="V42" s="172"/>
      <c r="W42" s="173">
        <v>36</v>
      </c>
      <c r="X42" s="22">
        <v>24</v>
      </c>
      <c r="Y42" s="170">
        <f t="shared" si="20"/>
        <v>0.24</v>
      </c>
      <c r="Z42" s="170">
        <f t="shared" si="21"/>
        <v>240</v>
      </c>
      <c r="AA42" s="172"/>
      <c r="AB42" s="173">
        <v>36</v>
      </c>
      <c r="AC42" s="22">
        <v>23.7</v>
      </c>
      <c r="AD42" s="170">
        <f t="shared" si="22"/>
        <v>0.23699999999999999</v>
      </c>
      <c r="AE42" s="170">
        <f t="shared" si="23"/>
        <v>237</v>
      </c>
      <c r="AF42" s="172"/>
    </row>
    <row r="43" spans="1:32">
      <c r="A43" s="167">
        <v>37</v>
      </c>
      <c r="B43" s="167">
        <v>51.98</v>
      </c>
      <c r="C43" s="167"/>
      <c r="D43" s="167"/>
      <c r="E43" s="176">
        <f t="shared" si="12"/>
        <v>0.51979999999999993</v>
      </c>
      <c r="F43" s="177">
        <f t="shared" si="13"/>
        <v>519.79999999999995</v>
      </c>
      <c r="G43" s="159"/>
      <c r="H43" s="167">
        <v>37</v>
      </c>
      <c r="I43" s="167">
        <v>51.92</v>
      </c>
      <c r="J43" s="165">
        <f t="shared" si="14"/>
        <v>0.51919999999999999</v>
      </c>
      <c r="K43" s="165">
        <f t="shared" si="15"/>
        <v>519.20000000000005</v>
      </c>
      <c r="L43" s="159"/>
      <c r="M43" s="167">
        <v>37</v>
      </c>
      <c r="N43" s="15">
        <v>52.1</v>
      </c>
      <c r="O43" s="165">
        <f t="shared" si="16"/>
        <v>0.52100000000000002</v>
      </c>
      <c r="P43" s="165">
        <f t="shared" si="17"/>
        <v>521</v>
      </c>
      <c r="Q43" s="159"/>
      <c r="R43" s="167">
        <v>37</v>
      </c>
      <c r="S43" s="15">
        <v>49.3</v>
      </c>
      <c r="T43" s="165">
        <f t="shared" si="18"/>
        <v>0.49299999999999999</v>
      </c>
      <c r="U43" s="165">
        <f t="shared" si="19"/>
        <v>493</v>
      </c>
      <c r="V43" s="159"/>
      <c r="W43" s="167">
        <v>37</v>
      </c>
      <c r="X43" s="15">
        <v>47.1</v>
      </c>
      <c r="Y43" s="165">
        <f t="shared" si="20"/>
        <v>0.47100000000000003</v>
      </c>
      <c r="Z43" s="165">
        <f t="shared" si="21"/>
        <v>471.00000000000006</v>
      </c>
      <c r="AA43" s="159"/>
      <c r="AB43" s="167">
        <v>37</v>
      </c>
      <c r="AC43" s="15">
        <v>46.2</v>
      </c>
      <c r="AD43" s="165">
        <f t="shared" si="22"/>
        <v>0.46200000000000002</v>
      </c>
      <c r="AE43" s="165">
        <f t="shared" si="23"/>
        <v>462</v>
      </c>
      <c r="AF43" s="159"/>
    </row>
    <row r="44" spans="1:32">
      <c r="A44" s="173">
        <v>38</v>
      </c>
      <c r="B44" s="173">
        <v>45.82</v>
      </c>
      <c r="C44" s="173"/>
      <c r="D44" s="173"/>
      <c r="E44" s="178">
        <f t="shared" si="12"/>
        <v>0.4582</v>
      </c>
      <c r="F44" s="179">
        <f t="shared" si="13"/>
        <v>458.2</v>
      </c>
      <c r="G44" s="172"/>
      <c r="H44" s="173">
        <v>38</v>
      </c>
      <c r="I44" s="173">
        <v>42.68</v>
      </c>
      <c r="J44" s="170">
        <f t="shared" si="14"/>
        <v>0.42680000000000001</v>
      </c>
      <c r="K44" s="170">
        <f t="shared" si="15"/>
        <v>426.8</v>
      </c>
      <c r="L44" s="172"/>
      <c r="M44" s="173">
        <v>38</v>
      </c>
      <c r="N44" s="22">
        <v>41.4</v>
      </c>
      <c r="O44" s="170">
        <f t="shared" si="16"/>
        <v>0.41399999999999998</v>
      </c>
      <c r="P44" s="170">
        <f t="shared" si="17"/>
        <v>414</v>
      </c>
      <c r="Q44" s="172"/>
      <c r="R44" s="173">
        <v>38</v>
      </c>
      <c r="S44" s="22">
        <v>40</v>
      </c>
      <c r="T44" s="170">
        <f t="shared" si="18"/>
        <v>0.4</v>
      </c>
      <c r="U44" s="170">
        <f t="shared" si="19"/>
        <v>400</v>
      </c>
      <c r="V44" s="172"/>
      <c r="W44" s="173">
        <v>38</v>
      </c>
      <c r="X44" s="22">
        <v>39.5</v>
      </c>
      <c r="Y44" s="170">
        <f t="shared" si="20"/>
        <v>0.39500000000000002</v>
      </c>
      <c r="Z44" s="170">
        <f t="shared" si="21"/>
        <v>395</v>
      </c>
      <c r="AA44" s="172"/>
      <c r="AB44" s="173">
        <v>38</v>
      </c>
      <c r="AC44" s="22">
        <v>39.1</v>
      </c>
      <c r="AD44" s="170">
        <f t="shared" si="22"/>
        <v>0.39100000000000001</v>
      </c>
      <c r="AE44" s="170">
        <f t="shared" si="23"/>
        <v>391</v>
      </c>
      <c r="AF44" s="172"/>
    </row>
    <row r="45" spans="1:32">
      <c r="A45" s="167">
        <v>39</v>
      </c>
      <c r="B45" s="167">
        <v>50.65</v>
      </c>
      <c r="C45" s="167"/>
      <c r="D45" s="167"/>
      <c r="E45" s="176">
        <f t="shared" si="12"/>
        <v>0.50649999999999995</v>
      </c>
      <c r="F45" s="177">
        <f t="shared" si="13"/>
        <v>506.49999999999994</v>
      </c>
      <c r="G45" s="159"/>
      <c r="H45" s="167">
        <v>39</v>
      </c>
      <c r="I45" s="167">
        <v>49.53</v>
      </c>
      <c r="J45" s="165">
        <f t="shared" si="14"/>
        <v>0.49530000000000002</v>
      </c>
      <c r="K45" s="165">
        <f t="shared" si="15"/>
        <v>495.3</v>
      </c>
      <c r="L45" s="159"/>
      <c r="M45" s="167">
        <v>39</v>
      </c>
      <c r="N45" s="15">
        <v>47.05</v>
      </c>
      <c r="O45" s="165">
        <f t="shared" si="16"/>
        <v>0.47049999999999997</v>
      </c>
      <c r="P45" s="165">
        <f t="shared" si="17"/>
        <v>470.5</v>
      </c>
      <c r="Q45" s="159"/>
      <c r="R45" s="167">
        <v>39</v>
      </c>
      <c r="S45" s="15">
        <v>48.1</v>
      </c>
      <c r="T45" s="165">
        <f t="shared" si="18"/>
        <v>0.48100000000000004</v>
      </c>
      <c r="U45" s="165">
        <f t="shared" si="19"/>
        <v>481.00000000000006</v>
      </c>
      <c r="V45" s="159"/>
      <c r="W45" s="167">
        <v>39</v>
      </c>
      <c r="X45" s="15">
        <v>45</v>
      </c>
      <c r="Y45" s="165">
        <f t="shared" si="20"/>
        <v>0.45</v>
      </c>
      <c r="Z45" s="165">
        <f t="shared" si="21"/>
        <v>450</v>
      </c>
      <c r="AA45" s="159"/>
      <c r="AB45" s="167">
        <v>39</v>
      </c>
      <c r="AC45" s="15">
        <v>44.1</v>
      </c>
      <c r="AD45" s="165">
        <f t="shared" si="22"/>
        <v>0.441</v>
      </c>
      <c r="AE45" s="165">
        <f t="shared" si="23"/>
        <v>441</v>
      </c>
      <c r="AF45" s="159"/>
    </row>
    <row r="46" spans="1:32">
      <c r="A46" s="173">
        <v>40</v>
      </c>
      <c r="B46" s="173">
        <v>45.3</v>
      </c>
      <c r="C46" s="173"/>
      <c r="D46" s="173"/>
      <c r="E46" s="178">
        <f t="shared" si="12"/>
        <v>0.45299999999999996</v>
      </c>
      <c r="F46" s="179">
        <f t="shared" si="13"/>
        <v>452.99999999999994</v>
      </c>
      <c r="G46" s="172"/>
      <c r="H46" s="173">
        <v>40</v>
      </c>
      <c r="I46" s="173">
        <v>43.88</v>
      </c>
      <c r="J46" s="170">
        <f t="shared" si="14"/>
        <v>0.43880000000000002</v>
      </c>
      <c r="K46" s="170">
        <f t="shared" si="15"/>
        <v>438.8</v>
      </c>
      <c r="L46" s="172"/>
      <c r="M46" s="173">
        <v>40</v>
      </c>
      <c r="N46" s="22">
        <v>40.4</v>
      </c>
      <c r="O46" s="170">
        <f t="shared" si="16"/>
        <v>0.40399999999999997</v>
      </c>
      <c r="P46" s="170">
        <f t="shared" si="17"/>
        <v>403.99999999999994</v>
      </c>
      <c r="Q46" s="172"/>
      <c r="R46" s="173">
        <v>40</v>
      </c>
      <c r="S46" s="22">
        <v>42.1</v>
      </c>
      <c r="T46" s="170">
        <f t="shared" si="18"/>
        <v>0.42100000000000004</v>
      </c>
      <c r="U46" s="170">
        <f t="shared" si="19"/>
        <v>421.00000000000006</v>
      </c>
      <c r="V46" s="172"/>
      <c r="W46" s="173">
        <v>40</v>
      </c>
      <c r="X46" s="22">
        <v>40.799999999999997</v>
      </c>
      <c r="Y46" s="170">
        <f t="shared" si="20"/>
        <v>0.40799999999999997</v>
      </c>
      <c r="Z46" s="170">
        <f t="shared" si="21"/>
        <v>408</v>
      </c>
      <c r="AA46" s="172"/>
      <c r="AB46" s="173">
        <v>40</v>
      </c>
      <c r="AC46" s="22">
        <v>39.1</v>
      </c>
      <c r="AD46" s="170">
        <f t="shared" si="22"/>
        <v>0.39100000000000001</v>
      </c>
      <c r="AE46" s="170">
        <f t="shared" si="23"/>
        <v>391</v>
      </c>
      <c r="AF46" s="172"/>
    </row>
    <row r="47" spans="1:32">
      <c r="A47" s="167">
        <v>41</v>
      </c>
      <c r="B47" s="167">
        <v>48.22</v>
      </c>
      <c r="C47" s="167"/>
      <c r="D47" s="167"/>
      <c r="E47" s="176">
        <f t="shared" si="12"/>
        <v>0.48219999999999996</v>
      </c>
      <c r="F47" s="177">
        <f t="shared" si="13"/>
        <v>482.2</v>
      </c>
      <c r="G47" s="159"/>
      <c r="H47" s="167">
        <v>41</v>
      </c>
      <c r="I47" s="167">
        <v>44.88</v>
      </c>
      <c r="J47" s="165">
        <f t="shared" si="14"/>
        <v>0.44880000000000003</v>
      </c>
      <c r="K47" s="165">
        <f t="shared" si="15"/>
        <v>448.8</v>
      </c>
      <c r="L47" s="159"/>
      <c r="M47" s="167">
        <v>41</v>
      </c>
      <c r="N47" s="15">
        <v>44.7</v>
      </c>
      <c r="O47" s="165">
        <f t="shared" si="16"/>
        <v>0.44700000000000001</v>
      </c>
      <c r="P47" s="165">
        <f t="shared" si="17"/>
        <v>447</v>
      </c>
      <c r="Q47" s="159"/>
      <c r="R47" s="167">
        <v>41</v>
      </c>
      <c r="S47" s="15">
        <v>43</v>
      </c>
      <c r="T47" s="165">
        <f t="shared" si="18"/>
        <v>0.43</v>
      </c>
      <c r="U47" s="165">
        <f t="shared" si="19"/>
        <v>430</v>
      </c>
      <c r="V47" s="159"/>
      <c r="W47" s="167">
        <v>41</v>
      </c>
      <c r="X47" s="15">
        <v>43.7</v>
      </c>
      <c r="Y47" s="165">
        <f t="shared" si="20"/>
        <v>0.43700000000000006</v>
      </c>
      <c r="Z47" s="165">
        <f t="shared" si="21"/>
        <v>437.00000000000006</v>
      </c>
      <c r="AA47" s="159"/>
      <c r="AB47" s="167">
        <v>41</v>
      </c>
      <c r="AC47" s="15">
        <v>43.6</v>
      </c>
      <c r="AD47" s="165">
        <f t="shared" si="22"/>
        <v>0.436</v>
      </c>
      <c r="AE47" s="165">
        <f t="shared" si="23"/>
        <v>436</v>
      </c>
      <c r="AF47" s="159"/>
    </row>
    <row r="48" spans="1:32">
      <c r="A48" s="173">
        <v>42</v>
      </c>
      <c r="B48" s="173">
        <v>44.7</v>
      </c>
      <c r="C48" s="173"/>
      <c r="D48" s="173"/>
      <c r="E48" s="178">
        <f t="shared" si="12"/>
        <v>0.44700000000000001</v>
      </c>
      <c r="F48" s="179">
        <f t="shared" si="13"/>
        <v>447</v>
      </c>
      <c r="G48" s="172"/>
      <c r="H48" s="173">
        <v>42</v>
      </c>
      <c r="I48" s="173">
        <v>46.46</v>
      </c>
      <c r="J48" s="170">
        <f t="shared" si="14"/>
        <v>0.46460000000000001</v>
      </c>
      <c r="K48" s="170">
        <f t="shared" si="15"/>
        <v>464.6</v>
      </c>
      <c r="L48" s="172"/>
      <c r="M48" s="173">
        <v>42</v>
      </c>
      <c r="N48" s="22">
        <v>45.4</v>
      </c>
      <c r="O48" s="170">
        <f t="shared" si="16"/>
        <v>0.45399999999999996</v>
      </c>
      <c r="P48" s="170">
        <f t="shared" si="17"/>
        <v>453.99999999999994</v>
      </c>
      <c r="Q48" s="172"/>
      <c r="R48" s="173">
        <v>42</v>
      </c>
      <c r="S48" s="22">
        <v>46.9</v>
      </c>
      <c r="T48" s="170">
        <f t="shared" si="18"/>
        <v>0.46899999999999997</v>
      </c>
      <c r="U48" s="170">
        <f t="shared" si="19"/>
        <v>469</v>
      </c>
      <c r="V48" s="172"/>
      <c r="W48" s="173">
        <v>42</v>
      </c>
      <c r="X48" s="22">
        <v>48.6</v>
      </c>
      <c r="Y48" s="170">
        <f t="shared" si="20"/>
        <v>0.48599999999999999</v>
      </c>
      <c r="Z48" s="170">
        <f t="shared" si="21"/>
        <v>486</v>
      </c>
      <c r="AA48" s="172"/>
      <c r="AB48" s="173">
        <v>42</v>
      </c>
      <c r="AC48" s="22">
        <v>50.2</v>
      </c>
      <c r="AD48" s="170">
        <f t="shared" si="22"/>
        <v>0.502</v>
      </c>
      <c r="AE48" s="170">
        <f t="shared" si="23"/>
        <v>502</v>
      </c>
      <c r="AF48" s="172"/>
    </row>
    <row r="49" spans="1:32">
      <c r="A49" s="167">
        <v>43</v>
      </c>
      <c r="B49" s="167">
        <v>52.05</v>
      </c>
      <c r="C49" s="167"/>
      <c r="D49" s="167"/>
      <c r="E49" s="176">
        <f t="shared" si="12"/>
        <v>0.52049999999999996</v>
      </c>
      <c r="F49" s="177">
        <f t="shared" si="13"/>
        <v>520.5</v>
      </c>
      <c r="G49" s="159"/>
      <c r="H49" s="167">
        <v>43</v>
      </c>
      <c r="I49" s="167">
        <v>52.48</v>
      </c>
      <c r="J49" s="165">
        <f t="shared" si="14"/>
        <v>0.52479999999999993</v>
      </c>
      <c r="K49" s="165">
        <f t="shared" si="15"/>
        <v>524.79999999999995</v>
      </c>
      <c r="L49" s="159"/>
      <c r="M49" s="167">
        <v>43</v>
      </c>
      <c r="N49" s="15">
        <v>55.6</v>
      </c>
      <c r="O49" s="165">
        <f t="shared" si="16"/>
        <v>0.55600000000000005</v>
      </c>
      <c r="P49" s="165">
        <f t="shared" si="17"/>
        <v>556</v>
      </c>
      <c r="Q49" s="159"/>
      <c r="R49" s="167">
        <v>43</v>
      </c>
      <c r="S49" s="15">
        <v>57.2</v>
      </c>
      <c r="T49" s="165">
        <f t="shared" si="18"/>
        <v>0.57200000000000006</v>
      </c>
      <c r="U49" s="165">
        <f t="shared" si="19"/>
        <v>572.00000000000011</v>
      </c>
      <c r="V49" s="159"/>
      <c r="W49" s="167">
        <v>43</v>
      </c>
      <c r="X49" s="15">
        <v>58</v>
      </c>
      <c r="Y49" s="165">
        <f t="shared" si="20"/>
        <v>0.57999999999999996</v>
      </c>
      <c r="Z49" s="165">
        <f t="shared" si="21"/>
        <v>580</v>
      </c>
      <c r="AA49" s="159"/>
      <c r="AB49" s="167">
        <v>43</v>
      </c>
      <c r="AC49" s="15">
        <v>59.5</v>
      </c>
      <c r="AD49" s="165">
        <f t="shared" si="22"/>
        <v>0.59499999999999997</v>
      </c>
      <c r="AE49" s="165">
        <f t="shared" si="23"/>
        <v>595</v>
      </c>
      <c r="AF49" s="159"/>
    </row>
    <row r="50" spans="1:32">
      <c r="A50" s="173">
        <v>44</v>
      </c>
      <c r="B50" s="173">
        <v>47.39</v>
      </c>
      <c r="C50" s="173"/>
      <c r="D50" s="173"/>
      <c r="E50" s="178">
        <f t="shared" si="12"/>
        <v>0.47389999999999999</v>
      </c>
      <c r="F50" s="179">
        <f t="shared" si="13"/>
        <v>473.9</v>
      </c>
      <c r="G50" s="172"/>
      <c r="H50" s="173">
        <v>44</v>
      </c>
      <c r="I50" s="173">
        <v>50</v>
      </c>
      <c r="J50" s="170">
        <f t="shared" si="14"/>
        <v>0.5</v>
      </c>
      <c r="K50" s="170">
        <f t="shared" si="15"/>
        <v>500</v>
      </c>
      <c r="L50" s="172"/>
      <c r="M50" s="173">
        <v>44</v>
      </c>
      <c r="N50" s="22">
        <v>50.5</v>
      </c>
      <c r="O50" s="170">
        <f t="shared" si="16"/>
        <v>0.505</v>
      </c>
      <c r="P50" s="170">
        <f t="shared" si="17"/>
        <v>505</v>
      </c>
      <c r="Q50" s="172"/>
      <c r="R50" s="173">
        <v>44</v>
      </c>
      <c r="S50" s="22">
        <v>52.3</v>
      </c>
      <c r="T50" s="170">
        <f t="shared" si="18"/>
        <v>0.52300000000000002</v>
      </c>
      <c r="U50" s="170">
        <f t="shared" si="19"/>
        <v>523</v>
      </c>
      <c r="V50" s="172"/>
      <c r="W50" s="173">
        <v>44</v>
      </c>
      <c r="X50" s="22">
        <v>53</v>
      </c>
      <c r="Y50" s="170">
        <f t="shared" si="20"/>
        <v>0.53</v>
      </c>
      <c r="Z50" s="170">
        <f t="shared" si="21"/>
        <v>530</v>
      </c>
      <c r="AA50" s="172"/>
      <c r="AB50" s="173">
        <v>44</v>
      </c>
      <c r="AC50" s="22">
        <v>53.9</v>
      </c>
      <c r="AD50" s="170">
        <f t="shared" si="22"/>
        <v>0.53900000000000003</v>
      </c>
      <c r="AE50" s="170">
        <f t="shared" si="23"/>
        <v>539</v>
      </c>
      <c r="AF50" s="172"/>
    </row>
    <row r="51" spans="1:32">
      <c r="A51" s="167">
        <v>45</v>
      </c>
      <c r="B51" s="167">
        <v>48.92</v>
      </c>
      <c r="C51" s="167"/>
      <c r="D51" s="167"/>
      <c r="E51" s="176">
        <f t="shared" si="12"/>
        <v>0.48920000000000002</v>
      </c>
      <c r="F51" s="177">
        <f t="shared" si="13"/>
        <v>489.20000000000005</v>
      </c>
      <c r="G51" s="159"/>
      <c r="H51" s="167">
        <v>45</v>
      </c>
      <c r="I51" s="167">
        <v>50.74</v>
      </c>
      <c r="J51" s="165">
        <f t="shared" si="14"/>
        <v>0.50740000000000007</v>
      </c>
      <c r="K51" s="165">
        <f t="shared" si="15"/>
        <v>507.40000000000009</v>
      </c>
      <c r="L51" s="159"/>
      <c r="M51" s="167">
        <v>45</v>
      </c>
      <c r="N51" s="15">
        <v>52</v>
      </c>
      <c r="O51" s="165">
        <f t="shared" si="16"/>
        <v>0.52</v>
      </c>
      <c r="P51" s="165">
        <f t="shared" si="17"/>
        <v>520</v>
      </c>
      <c r="Q51" s="159"/>
      <c r="R51" s="167">
        <v>45</v>
      </c>
      <c r="S51" s="15">
        <v>53.8</v>
      </c>
      <c r="T51" s="165">
        <f t="shared" si="18"/>
        <v>0.53799999999999992</v>
      </c>
      <c r="U51" s="165">
        <f t="shared" si="19"/>
        <v>537.99999999999989</v>
      </c>
      <c r="V51" s="159"/>
      <c r="W51" s="167">
        <v>45</v>
      </c>
      <c r="X51" s="15">
        <v>54.1</v>
      </c>
      <c r="Y51" s="165">
        <f t="shared" si="20"/>
        <v>0.54100000000000004</v>
      </c>
      <c r="Z51" s="165">
        <f t="shared" si="21"/>
        <v>541</v>
      </c>
      <c r="AA51" s="159"/>
      <c r="AB51" s="167">
        <v>45</v>
      </c>
      <c r="AC51" s="15">
        <v>55.4</v>
      </c>
      <c r="AD51" s="165">
        <f t="shared" si="22"/>
        <v>0.55399999999999994</v>
      </c>
      <c r="AE51" s="165">
        <f t="shared" si="23"/>
        <v>553.99999999999989</v>
      </c>
      <c r="AF51" s="159"/>
    </row>
    <row r="52" spans="1:32">
      <c r="A52" s="173">
        <v>46</v>
      </c>
      <c r="B52" s="173">
        <v>44.74</v>
      </c>
      <c r="C52" s="173"/>
      <c r="D52" s="173"/>
      <c r="E52" s="178">
        <f t="shared" si="12"/>
        <v>0.44740000000000002</v>
      </c>
      <c r="F52" s="179">
        <f t="shared" si="13"/>
        <v>447.40000000000003</v>
      </c>
      <c r="G52" s="172"/>
      <c r="H52" s="173">
        <v>46</v>
      </c>
      <c r="I52" s="173">
        <v>46.59</v>
      </c>
      <c r="J52" s="170">
        <f t="shared" si="14"/>
        <v>0.46590000000000004</v>
      </c>
      <c r="K52" s="170">
        <f t="shared" si="15"/>
        <v>465.90000000000003</v>
      </c>
      <c r="L52" s="172"/>
      <c r="M52" s="173">
        <v>46</v>
      </c>
      <c r="N52" s="22">
        <v>49.3</v>
      </c>
      <c r="O52" s="170">
        <f t="shared" si="16"/>
        <v>0.49299999999999999</v>
      </c>
      <c r="P52" s="170">
        <f t="shared" si="17"/>
        <v>493</v>
      </c>
      <c r="Q52" s="172"/>
      <c r="R52" s="173">
        <v>46</v>
      </c>
      <c r="S52" s="22">
        <v>49.2</v>
      </c>
      <c r="T52" s="170">
        <f t="shared" si="18"/>
        <v>0.49200000000000005</v>
      </c>
      <c r="U52" s="170">
        <f t="shared" si="19"/>
        <v>492.00000000000006</v>
      </c>
      <c r="V52" s="172"/>
      <c r="W52" s="173">
        <v>46</v>
      </c>
      <c r="X52" s="22">
        <v>49.6</v>
      </c>
      <c r="Y52" s="170">
        <f t="shared" si="20"/>
        <v>0.496</v>
      </c>
      <c r="Z52" s="170">
        <f t="shared" si="21"/>
        <v>496</v>
      </c>
      <c r="AA52" s="172"/>
      <c r="AB52" s="173">
        <v>46</v>
      </c>
      <c r="AC52" s="22">
        <v>51</v>
      </c>
      <c r="AD52" s="170">
        <f t="shared" si="22"/>
        <v>0.51</v>
      </c>
      <c r="AE52" s="170">
        <f t="shared" si="23"/>
        <v>510</v>
      </c>
      <c r="AF52" s="172"/>
    </row>
    <row r="53" spans="1:32">
      <c r="A53" s="180">
        <v>47</v>
      </c>
      <c r="B53" s="180">
        <v>50.2</v>
      </c>
      <c r="C53" s="180"/>
      <c r="D53" s="180"/>
      <c r="E53" s="178">
        <f t="shared" si="12"/>
        <v>0.502</v>
      </c>
      <c r="F53" s="179">
        <f t="shared" si="13"/>
        <v>502</v>
      </c>
      <c r="G53" s="172"/>
      <c r="H53" s="180">
        <v>47</v>
      </c>
      <c r="I53" s="180">
        <v>53.89</v>
      </c>
      <c r="J53" s="170">
        <f t="shared" si="14"/>
        <v>0.53890000000000005</v>
      </c>
      <c r="K53" s="170">
        <f t="shared" si="15"/>
        <v>538.90000000000009</v>
      </c>
      <c r="L53" s="172"/>
      <c r="M53" s="180">
        <v>47</v>
      </c>
      <c r="N53" s="59">
        <v>56.9</v>
      </c>
      <c r="O53" s="170">
        <f t="shared" si="16"/>
        <v>0.56899999999999995</v>
      </c>
      <c r="P53" s="170">
        <f t="shared" si="17"/>
        <v>569</v>
      </c>
      <c r="Q53" s="172"/>
      <c r="R53" s="180">
        <v>47</v>
      </c>
      <c r="S53" s="59">
        <v>58.9</v>
      </c>
      <c r="T53" s="170">
        <f t="shared" si="18"/>
        <v>0.58899999999999997</v>
      </c>
      <c r="U53" s="170">
        <f t="shared" si="19"/>
        <v>589</v>
      </c>
      <c r="V53" s="172"/>
      <c r="W53" s="180">
        <v>47</v>
      </c>
      <c r="X53" s="59">
        <v>60.5</v>
      </c>
      <c r="Y53" s="170">
        <f t="shared" si="20"/>
        <v>0.60499999999999998</v>
      </c>
      <c r="Z53" s="170">
        <f t="shared" si="21"/>
        <v>605</v>
      </c>
      <c r="AA53" s="172"/>
      <c r="AB53" s="180">
        <v>47</v>
      </c>
      <c r="AC53" s="59">
        <v>60.4</v>
      </c>
      <c r="AD53" s="170">
        <f t="shared" si="22"/>
        <v>0.60399999999999998</v>
      </c>
      <c r="AE53" s="170">
        <f t="shared" si="23"/>
        <v>604</v>
      </c>
      <c r="AF53" s="172"/>
    </row>
    <row r="54" spans="1:32">
      <c r="A54" s="181">
        <v>48</v>
      </c>
      <c r="B54" s="181">
        <v>43</v>
      </c>
      <c r="C54" s="181"/>
      <c r="D54" s="181"/>
      <c r="E54" s="176">
        <f t="shared" si="12"/>
        <v>0.43</v>
      </c>
      <c r="F54" s="177">
        <f t="shared" si="13"/>
        <v>430</v>
      </c>
      <c r="G54" s="159"/>
      <c r="H54" s="181">
        <v>48</v>
      </c>
      <c r="I54" s="181">
        <v>43.41</v>
      </c>
      <c r="J54" s="165">
        <f t="shared" si="14"/>
        <v>0.43409999999999999</v>
      </c>
      <c r="K54" s="165">
        <f t="shared" si="15"/>
        <v>434.09999999999997</v>
      </c>
      <c r="L54" s="159"/>
      <c r="M54" s="181">
        <v>48</v>
      </c>
      <c r="N54" s="62">
        <v>43.5</v>
      </c>
      <c r="O54" s="165">
        <f t="shared" si="16"/>
        <v>0.435</v>
      </c>
      <c r="P54" s="165">
        <f t="shared" si="17"/>
        <v>435</v>
      </c>
      <c r="Q54" s="159"/>
      <c r="R54" s="181">
        <v>48</v>
      </c>
      <c r="S54" s="62">
        <v>44</v>
      </c>
      <c r="T54" s="165">
        <f t="shared" si="18"/>
        <v>0.44</v>
      </c>
      <c r="U54" s="165">
        <f t="shared" si="19"/>
        <v>440</v>
      </c>
      <c r="V54" s="159"/>
      <c r="W54" s="181">
        <v>48</v>
      </c>
      <c r="X54" s="62">
        <v>44.8</v>
      </c>
      <c r="Y54" s="165">
        <f t="shared" si="20"/>
        <v>0.44799999999999995</v>
      </c>
      <c r="Z54" s="165">
        <f t="shared" si="21"/>
        <v>447.99999999999994</v>
      </c>
      <c r="AA54" s="159"/>
      <c r="AB54" s="181">
        <v>48</v>
      </c>
      <c r="AC54" s="62">
        <v>46.4</v>
      </c>
      <c r="AD54" s="165">
        <f t="shared" si="22"/>
        <v>0.46399999999999997</v>
      </c>
      <c r="AE54" s="165">
        <f t="shared" si="23"/>
        <v>463.99999999999994</v>
      </c>
      <c r="AF54" s="159"/>
    </row>
    <row r="55" spans="1:32">
      <c r="A55" s="159"/>
      <c r="B55" s="159"/>
      <c r="C55" s="159"/>
      <c r="D55" s="159"/>
      <c r="E55" s="159">
        <f>SUM(E32,E34,E35,E38,E40,E42,E44,E46,E48,E50,E52,E53)*5</f>
        <v>21.347000000000001</v>
      </c>
      <c r="F55" s="159"/>
      <c r="G55" s="159"/>
      <c r="H55" s="159"/>
      <c r="I55" s="159"/>
      <c r="J55" s="159">
        <f>SUM(J32,J34,J35,J38,J40,J42,J44,J46,J48,J50,J52,J53)*5</f>
        <v>21.9145</v>
      </c>
      <c r="K55" s="159"/>
      <c r="L55" s="159"/>
      <c r="M55" s="159"/>
      <c r="N55" s="159"/>
      <c r="O55" s="159">
        <f>SUM(O32,O34,O35,O38,O40,O42,O44,O46,O48,O50,O52,O53)*5</f>
        <v>22.065000000000001</v>
      </c>
      <c r="P55" s="159"/>
      <c r="Q55" s="159"/>
      <c r="R55" s="159"/>
      <c r="S55" s="159"/>
      <c r="T55" s="159">
        <f>SUM(T32,T34,T35,T38,T40,T42,T44,T46,T48,T50,T52:T53)*5</f>
        <v>22.39</v>
      </c>
      <c r="U55" s="159"/>
      <c r="V55" s="159"/>
      <c r="W55" s="159"/>
      <c r="X55" s="159"/>
      <c r="Y55" s="159">
        <f>SUM(Y32,Y34,Y35,Y38,Y40,Y42,Y44,Y46,Y48,Y50,Y52:Y53)*5</f>
        <v>22.66</v>
      </c>
      <c r="Z55" s="159"/>
      <c r="AA55" s="159"/>
      <c r="AB55" s="159"/>
      <c r="AC55" s="159"/>
      <c r="AD55" s="159">
        <f>SUM(AD32,AD34,AD35,AD38,AD40,AD42,AD44,AD46,AD48,AD50,AD52,AD53)*5</f>
        <v>22.675000000000001</v>
      </c>
      <c r="AE55" s="159"/>
      <c r="AF55" s="159"/>
    </row>
    <row r="56" spans="1:32">
      <c r="A56" s="159"/>
      <c r="B56" s="159"/>
      <c r="C56" s="159"/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</row>
    <row r="57" spans="1:32">
      <c r="A57" s="159"/>
      <c r="B57" s="159"/>
      <c r="C57" s="159"/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</row>
    <row r="58" spans="1:32">
      <c r="A58" s="282" t="s">
        <v>290</v>
      </c>
      <c r="B58" s="231"/>
      <c r="C58" s="231"/>
      <c r="D58" s="231"/>
      <c r="E58" s="231"/>
      <c r="F58" s="232"/>
      <c r="G58" s="159"/>
      <c r="H58" s="283" t="s">
        <v>291</v>
      </c>
      <c r="I58" s="231"/>
      <c r="J58" s="231"/>
      <c r="K58" s="232"/>
      <c r="L58" s="159"/>
      <c r="M58" s="289" t="s">
        <v>292</v>
      </c>
      <c r="N58" s="231"/>
      <c r="O58" s="231"/>
      <c r="P58" s="232"/>
      <c r="Q58" s="159"/>
      <c r="R58" s="284" t="s">
        <v>158</v>
      </c>
      <c r="S58" s="231"/>
      <c r="T58" s="231"/>
      <c r="U58" s="232"/>
      <c r="V58" s="159"/>
      <c r="W58" s="285" t="s">
        <v>159</v>
      </c>
      <c r="X58" s="231"/>
      <c r="Y58" s="231"/>
      <c r="Z58" s="232"/>
      <c r="AA58" s="159"/>
      <c r="AB58" s="286" t="s">
        <v>293</v>
      </c>
      <c r="AC58" s="287"/>
      <c r="AD58" s="287"/>
      <c r="AE58" s="288"/>
      <c r="AF58" s="160"/>
    </row>
    <row r="59" spans="1:32">
      <c r="A59" s="161" t="s">
        <v>59</v>
      </c>
      <c r="B59" s="161" t="s">
        <v>294</v>
      </c>
      <c r="C59" s="161"/>
      <c r="D59" s="161"/>
      <c r="E59" s="161" t="s">
        <v>295</v>
      </c>
      <c r="F59" s="161" t="s">
        <v>296</v>
      </c>
      <c r="G59" s="162"/>
      <c r="H59" s="161" t="s">
        <v>59</v>
      </c>
      <c r="I59" s="161" t="s">
        <v>294</v>
      </c>
      <c r="J59" s="161" t="s">
        <v>295</v>
      </c>
      <c r="K59" s="161" t="s">
        <v>296</v>
      </c>
      <c r="L59" s="162"/>
      <c r="M59" s="161" t="s">
        <v>59</v>
      </c>
      <c r="N59" s="161" t="s">
        <v>294</v>
      </c>
      <c r="O59" s="161" t="s">
        <v>295</v>
      </c>
      <c r="P59" s="161" t="s">
        <v>296</v>
      </c>
      <c r="Q59" s="162"/>
      <c r="R59" s="161" t="s">
        <v>59</v>
      </c>
      <c r="S59" s="161" t="s">
        <v>294</v>
      </c>
      <c r="T59" s="161" t="s">
        <v>295</v>
      </c>
      <c r="U59" s="161" t="s">
        <v>296</v>
      </c>
      <c r="V59" s="162"/>
      <c r="W59" s="161" t="s">
        <v>59</v>
      </c>
      <c r="X59" s="161" t="s">
        <v>294</v>
      </c>
      <c r="Y59" s="161" t="s">
        <v>295</v>
      </c>
      <c r="Z59" s="161" t="s">
        <v>296</v>
      </c>
      <c r="AA59" s="162"/>
      <c r="AB59" s="163" t="s">
        <v>59</v>
      </c>
      <c r="AC59" s="163" t="s">
        <v>294</v>
      </c>
      <c r="AD59" s="163" t="s">
        <v>295</v>
      </c>
      <c r="AE59" s="163" t="s">
        <v>296</v>
      </c>
      <c r="AF59" s="164"/>
    </row>
    <row r="60" spans="1:32">
      <c r="A60" s="182">
        <v>49</v>
      </c>
      <c r="B60" s="183">
        <v>20.8</v>
      </c>
      <c r="C60" s="183"/>
      <c r="D60" s="183"/>
      <c r="E60" s="182">
        <f t="shared" ref="E60:E82" si="24">B60/100</f>
        <v>0.20800000000000002</v>
      </c>
      <c r="F60" s="182">
        <f t="shared" ref="F60:F82" si="25">E60*1000</f>
        <v>208.00000000000003</v>
      </c>
      <c r="G60" s="184"/>
      <c r="H60" s="182">
        <v>49</v>
      </c>
      <c r="I60" s="185">
        <v>21.5</v>
      </c>
      <c r="J60" s="182">
        <f t="shared" ref="J60:J82" si="26">I60/100</f>
        <v>0.215</v>
      </c>
      <c r="K60" s="182">
        <f t="shared" ref="K60:K82" si="27">J60*1000</f>
        <v>215</v>
      </c>
      <c r="L60" s="184"/>
      <c r="M60" s="182">
        <v>1</v>
      </c>
      <c r="N60" s="185"/>
      <c r="O60" s="182">
        <f t="shared" ref="O60:O82" si="28">N60/100</f>
        <v>0</v>
      </c>
      <c r="P60" s="182">
        <f t="shared" ref="P60:P82" si="29">O60*1000</f>
        <v>0</v>
      </c>
      <c r="Q60" s="184"/>
      <c r="R60" s="182">
        <v>1</v>
      </c>
      <c r="S60" s="185"/>
      <c r="T60" s="182">
        <f t="shared" ref="T60:T82" si="30">S60/100</f>
        <v>0</v>
      </c>
      <c r="U60" s="182">
        <f t="shared" ref="U60:U82" si="31">T60*1000</f>
        <v>0</v>
      </c>
      <c r="V60" s="184"/>
      <c r="W60" s="182">
        <v>1</v>
      </c>
      <c r="X60" s="185"/>
      <c r="Y60" s="182">
        <f t="shared" ref="Y60:Y82" si="32">X60/100</f>
        <v>0</v>
      </c>
      <c r="Z60" s="182">
        <f t="shared" ref="Z60:Z82" si="33">Y60*1000</f>
        <v>0</v>
      </c>
      <c r="AA60" s="184"/>
      <c r="AB60" s="182">
        <v>1</v>
      </c>
      <c r="AC60" s="185"/>
      <c r="AD60" s="182">
        <f t="shared" ref="AD60:AD82" si="34">AC60/100</f>
        <v>0</v>
      </c>
      <c r="AE60" s="182">
        <f t="shared" ref="AE60:AE82" si="35">AD60*1000</f>
        <v>0</v>
      </c>
      <c r="AF60" s="184"/>
    </row>
    <row r="61" spans="1:32">
      <c r="A61" s="165">
        <v>50</v>
      </c>
      <c r="B61" s="166">
        <v>21.8</v>
      </c>
      <c r="C61" s="166"/>
      <c r="D61" s="166"/>
      <c r="E61" s="165">
        <f t="shared" si="24"/>
        <v>0.218</v>
      </c>
      <c r="F61" s="165">
        <f t="shared" si="25"/>
        <v>218</v>
      </c>
      <c r="G61" s="159"/>
      <c r="H61" s="165">
        <v>50</v>
      </c>
      <c r="I61" s="167">
        <v>21.8</v>
      </c>
      <c r="J61" s="165">
        <f t="shared" si="26"/>
        <v>0.218</v>
      </c>
      <c r="K61" s="165">
        <f t="shared" si="27"/>
        <v>218</v>
      </c>
      <c r="L61" s="159"/>
      <c r="M61" s="165">
        <v>2</v>
      </c>
      <c r="N61" s="167"/>
      <c r="O61" s="165">
        <f t="shared" si="28"/>
        <v>0</v>
      </c>
      <c r="P61" s="165">
        <f t="shared" si="29"/>
        <v>0</v>
      </c>
      <c r="Q61" s="159"/>
      <c r="R61" s="165">
        <v>2</v>
      </c>
      <c r="S61" s="167"/>
      <c r="T61" s="165">
        <f t="shared" si="30"/>
        <v>0</v>
      </c>
      <c r="U61" s="165">
        <f t="shared" si="31"/>
        <v>0</v>
      </c>
      <c r="V61" s="159"/>
      <c r="W61" s="165">
        <v>2</v>
      </c>
      <c r="X61" s="167"/>
      <c r="Y61" s="165">
        <f t="shared" si="32"/>
        <v>0</v>
      </c>
      <c r="Z61" s="165">
        <f t="shared" si="33"/>
        <v>0</v>
      </c>
      <c r="AA61" s="159"/>
      <c r="AB61" s="186">
        <v>2</v>
      </c>
      <c r="AC61" s="187"/>
      <c r="AD61" s="186">
        <f t="shared" si="34"/>
        <v>0</v>
      </c>
      <c r="AE61" s="186">
        <f t="shared" si="35"/>
        <v>0</v>
      </c>
      <c r="AF61" s="159"/>
    </row>
    <row r="62" spans="1:32">
      <c r="A62" s="165">
        <v>51</v>
      </c>
      <c r="B62" s="166">
        <v>21</v>
      </c>
      <c r="C62" s="166"/>
      <c r="D62" s="166"/>
      <c r="E62" s="165">
        <f t="shared" si="24"/>
        <v>0.21</v>
      </c>
      <c r="F62" s="165">
        <f t="shared" si="25"/>
        <v>210</v>
      </c>
      <c r="G62" s="159"/>
      <c r="H62" s="165">
        <v>51</v>
      </c>
      <c r="I62" s="167">
        <v>21.8</v>
      </c>
      <c r="J62" s="165">
        <f t="shared" si="26"/>
        <v>0.218</v>
      </c>
      <c r="K62" s="165">
        <f t="shared" si="27"/>
        <v>218</v>
      </c>
      <c r="L62" s="159"/>
      <c r="M62" s="165">
        <v>3</v>
      </c>
      <c r="N62" s="167"/>
      <c r="O62" s="165">
        <f t="shared" si="28"/>
        <v>0</v>
      </c>
      <c r="P62" s="165">
        <f t="shared" si="29"/>
        <v>0</v>
      </c>
      <c r="Q62" s="159"/>
      <c r="R62" s="165">
        <v>3</v>
      </c>
      <c r="S62" s="167"/>
      <c r="T62" s="165">
        <f t="shared" si="30"/>
        <v>0</v>
      </c>
      <c r="U62" s="165">
        <f t="shared" si="31"/>
        <v>0</v>
      </c>
      <c r="V62" s="159"/>
      <c r="W62" s="165">
        <v>3</v>
      </c>
      <c r="X62" s="167"/>
      <c r="Y62" s="165">
        <f t="shared" si="32"/>
        <v>0</v>
      </c>
      <c r="Z62" s="165">
        <f t="shared" si="33"/>
        <v>0</v>
      </c>
      <c r="AA62" s="159"/>
      <c r="AB62" s="174">
        <v>3</v>
      </c>
      <c r="AC62" s="175"/>
      <c r="AD62" s="174">
        <f t="shared" si="34"/>
        <v>0</v>
      </c>
      <c r="AE62" s="174">
        <f t="shared" si="35"/>
        <v>0</v>
      </c>
      <c r="AF62" s="159"/>
    </row>
    <row r="63" spans="1:32">
      <c r="A63" s="165">
        <v>52</v>
      </c>
      <c r="B63" s="166">
        <v>21.2</v>
      </c>
      <c r="C63" s="166"/>
      <c r="D63" s="166"/>
      <c r="E63" s="165">
        <f t="shared" si="24"/>
        <v>0.21199999999999999</v>
      </c>
      <c r="F63" s="165">
        <f t="shared" si="25"/>
        <v>212</v>
      </c>
      <c r="G63" s="159"/>
      <c r="H63" s="165">
        <v>52</v>
      </c>
      <c r="I63" s="167">
        <v>21</v>
      </c>
      <c r="J63" s="165">
        <f t="shared" si="26"/>
        <v>0.21</v>
      </c>
      <c r="K63" s="165">
        <f t="shared" si="27"/>
        <v>210</v>
      </c>
      <c r="L63" s="159"/>
      <c r="M63" s="165">
        <v>4</v>
      </c>
      <c r="N63" s="167"/>
      <c r="O63" s="165">
        <f t="shared" si="28"/>
        <v>0</v>
      </c>
      <c r="P63" s="165">
        <f t="shared" si="29"/>
        <v>0</v>
      </c>
      <c r="Q63" s="159"/>
      <c r="R63" s="165">
        <v>4</v>
      </c>
      <c r="S63" s="167"/>
      <c r="T63" s="165">
        <f t="shared" si="30"/>
        <v>0</v>
      </c>
      <c r="U63" s="165">
        <f t="shared" si="31"/>
        <v>0</v>
      </c>
      <c r="V63" s="159"/>
      <c r="W63" s="165">
        <v>4</v>
      </c>
      <c r="X63" s="167"/>
      <c r="Y63" s="165">
        <f t="shared" si="32"/>
        <v>0</v>
      </c>
      <c r="Z63" s="165">
        <f t="shared" si="33"/>
        <v>0</v>
      </c>
      <c r="AA63" s="159"/>
      <c r="AB63" s="186">
        <v>4</v>
      </c>
      <c r="AC63" s="187"/>
      <c r="AD63" s="186">
        <f t="shared" si="34"/>
        <v>0</v>
      </c>
      <c r="AE63" s="186">
        <f t="shared" si="35"/>
        <v>0</v>
      </c>
      <c r="AF63" s="159"/>
    </row>
    <row r="64" spans="1:32">
      <c r="A64" s="165">
        <v>53</v>
      </c>
      <c r="B64" s="166">
        <v>22.4</v>
      </c>
      <c r="C64" s="166"/>
      <c r="D64" s="166"/>
      <c r="E64" s="165">
        <f t="shared" si="24"/>
        <v>0.22399999999999998</v>
      </c>
      <c r="F64" s="165">
        <f t="shared" si="25"/>
        <v>223.99999999999997</v>
      </c>
      <c r="G64" s="159"/>
      <c r="H64" s="165">
        <v>53</v>
      </c>
      <c r="I64" s="167">
        <v>23.3</v>
      </c>
      <c r="J64" s="165">
        <f t="shared" si="26"/>
        <v>0.23300000000000001</v>
      </c>
      <c r="K64" s="165">
        <f t="shared" si="27"/>
        <v>233</v>
      </c>
      <c r="L64" s="159"/>
      <c r="M64" s="165">
        <v>5</v>
      </c>
      <c r="N64" s="167"/>
      <c r="O64" s="165">
        <f t="shared" si="28"/>
        <v>0</v>
      </c>
      <c r="P64" s="165">
        <f t="shared" si="29"/>
        <v>0</v>
      </c>
      <c r="Q64" s="159"/>
      <c r="R64" s="165">
        <v>5</v>
      </c>
      <c r="S64" s="167"/>
      <c r="T64" s="165">
        <f t="shared" si="30"/>
        <v>0</v>
      </c>
      <c r="U64" s="165">
        <f t="shared" si="31"/>
        <v>0</v>
      </c>
      <c r="V64" s="159"/>
      <c r="W64" s="165">
        <v>5</v>
      </c>
      <c r="X64" s="167"/>
      <c r="Y64" s="165">
        <f t="shared" si="32"/>
        <v>0</v>
      </c>
      <c r="Z64" s="165">
        <f t="shared" si="33"/>
        <v>0</v>
      </c>
      <c r="AA64" s="159"/>
      <c r="AB64" s="174">
        <v>5</v>
      </c>
      <c r="AC64" s="175"/>
      <c r="AD64" s="174">
        <f t="shared" si="34"/>
        <v>0</v>
      </c>
      <c r="AE64" s="174">
        <f t="shared" si="35"/>
        <v>0</v>
      </c>
      <c r="AF64" s="159"/>
    </row>
    <row r="65" spans="1:32">
      <c r="A65" s="182">
        <v>54</v>
      </c>
      <c r="B65" s="183">
        <v>22.3</v>
      </c>
      <c r="C65" s="183"/>
      <c r="D65" s="183"/>
      <c r="E65" s="182">
        <f t="shared" si="24"/>
        <v>0.223</v>
      </c>
      <c r="F65" s="182">
        <f t="shared" si="25"/>
        <v>223</v>
      </c>
      <c r="G65" s="184"/>
      <c r="H65" s="182">
        <v>54</v>
      </c>
      <c r="I65" s="185">
        <v>22.2</v>
      </c>
      <c r="J65" s="182">
        <f t="shared" si="26"/>
        <v>0.222</v>
      </c>
      <c r="K65" s="182">
        <f t="shared" si="27"/>
        <v>222</v>
      </c>
      <c r="L65" s="184"/>
      <c r="M65" s="182">
        <v>6</v>
      </c>
      <c r="N65" s="185"/>
      <c r="O65" s="182">
        <f t="shared" si="28"/>
        <v>0</v>
      </c>
      <c r="P65" s="182">
        <f t="shared" si="29"/>
        <v>0</v>
      </c>
      <c r="Q65" s="184"/>
      <c r="R65" s="182">
        <v>6</v>
      </c>
      <c r="S65" s="185"/>
      <c r="T65" s="182">
        <f t="shared" si="30"/>
        <v>0</v>
      </c>
      <c r="U65" s="182">
        <f t="shared" si="31"/>
        <v>0</v>
      </c>
      <c r="V65" s="184"/>
      <c r="W65" s="182">
        <v>6</v>
      </c>
      <c r="X65" s="185"/>
      <c r="Y65" s="182">
        <f t="shared" si="32"/>
        <v>0</v>
      </c>
      <c r="Z65" s="182">
        <f t="shared" si="33"/>
        <v>0</v>
      </c>
      <c r="AA65" s="184"/>
      <c r="AB65" s="182">
        <v>6</v>
      </c>
      <c r="AC65" s="185"/>
      <c r="AD65" s="182">
        <f t="shared" si="34"/>
        <v>0</v>
      </c>
      <c r="AE65" s="182">
        <f t="shared" si="35"/>
        <v>0</v>
      </c>
      <c r="AF65" s="184"/>
    </row>
    <row r="66" spans="1:32">
      <c r="A66" s="182">
        <v>55</v>
      </c>
      <c r="B66" s="183">
        <v>22.4</v>
      </c>
      <c r="C66" s="183"/>
      <c r="D66" s="183"/>
      <c r="E66" s="182">
        <f t="shared" si="24"/>
        <v>0.22399999999999998</v>
      </c>
      <c r="F66" s="182">
        <f t="shared" si="25"/>
        <v>223.99999999999997</v>
      </c>
      <c r="G66" s="184"/>
      <c r="H66" s="182">
        <v>55</v>
      </c>
      <c r="I66" s="185">
        <v>22.5</v>
      </c>
      <c r="J66" s="182">
        <f t="shared" si="26"/>
        <v>0.22500000000000001</v>
      </c>
      <c r="K66" s="182">
        <f t="shared" si="27"/>
        <v>225</v>
      </c>
      <c r="L66" s="184"/>
      <c r="M66" s="182">
        <v>7</v>
      </c>
      <c r="N66" s="185"/>
      <c r="O66" s="182">
        <f t="shared" si="28"/>
        <v>0</v>
      </c>
      <c r="P66" s="182">
        <f t="shared" si="29"/>
        <v>0</v>
      </c>
      <c r="Q66" s="184"/>
      <c r="R66" s="182">
        <v>7</v>
      </c>
      <c r="S66" s="185"/>
      <c r="T66" s="182">
        <f t="shared" si="30"/>
        <v>0</v>
      </c>
      <c r="U66" s="182">
        <f t="shared" si="31"/>
        <v>0</v>
      </c>
      <c r="V66" s="184"/>
      <c r="W66" s="182">
        <v>7</v>
      </c>
      <c r="X66" s="185"/>
      <c r="Y66" s="182">
        <f t="shared" si="32"/>
        <v>0</v>
      </c>
      <c r="Z66" s="182">
        <f t="shared" si="33"/>
        <v>0</v>
      </c>
      <c r="AA66" s="184"/>
      <c r="AB66" s="182">
        <v>7</v>
      </c>
      <c r="AC66" s="185"/>
      <c r="AD66" s="182">
        <f t="shared" si="34"/>
        <v>0</v>
      </c>
      <c r="AE66" s="182">
        <f t="shared" si="35"/>
        <v>0</v>
      </c>
      <c r="AF66" s="184"/>
    </row>
    <row r="67" spans="1:32">
      <c r="A67" s="165">
        <v>56</v>
      </c>
      <c r="B67" s="166">
        <v>21.8</v>
      </c>
      <c r="C67" s="166"/>
      <c r="D67" s="166"/>
      <c r="E67" s="165">
        <f t="shared" si="24"/>
        <v>0.218</v>
      </c>
      <c r="F67" s="165">
        <f t="shared" si="25"/>
        <v>218</v>
      </c>
      <c r="G67" s="159"/>
      <c r="H67" s="165">
        <v>56</v>
      </c>
      <c r="I67" s="167">
        <v>22.7</v>
      </c>
      <c r="J67" s="165">
        <f t="shared" si="26"/>
        <v>0.22699999999999998</v>
      </c>
      <c r="K67" s="165">
        <f t="shared" si="27"/>
        <v>226.99999999999997</v>
      </c>
      <c r="L67" s="159"/>
      <c r="M67" s="165">
        <v>8</v>
      </c>
      <c r="N67" s="167"/>
      <c r="O67" s="165">
        <f t="shared" si="28"/>
        <v>0</v>
      </c>
      <c r="P67" s="165">
        <f t="shared" si="29"/>
        <v>0</v>
      </c>
      <c r="Q67" s="159"/>
      <c r="R67" s="165">
        <v>8</v>
      </c>
      <c r="S67" s="167"/>
      <c r="T67" s="165">
        <f t="shared" si="30"/>
        <v>0</v>
      </c>
      <c r="U67" s="165">
        <f t="shared" si="31"/>
        <v>0</v>
      </c>
      <c r="V67" s="159"/>
      <c r="W67" s="165">
        <v>8</v>
      </c>
      <c r="X67" s="167"/>
      <c r="Y67" s="165">
        <f t="shared" si="32"/>
        <v>0</v>
      </c>
      <c r="Z67" s="165">
        <f t="shared" si="33"/>
        <v>0</v>
      </c>
      <c r="AA67" s="159"/>
      <c r="AB67" s="186">
        <v>8</v>
      </c>
      <c r="AC67" s="187"/>
      <c r="AD67" s="186">
        <f t="shared" si="34"/>
        <v>0</v>
      </c>
      <c r="AE67" s="186">
        <f t="shared" si="35"/>
        <v>0</v>
      </c>
      <c r="AF67" s="159"/>
    </row>
    <row r="68" spans="1:32">
      <c r="A68" s="165">
        <v>57</v>
      </c>
      <c r="B68" s="166">
        <v>20.7</v>
      </c>
      <c r="C68" s="166"/>
      <c r="D68" s="166"/>
      <c r="E68" s="165">
        <f t="shared" si="24"/>
        <v>0.20699999999999999</v>
      </c>
      <c r="F68" s="165">
        <f t="shared" si="25"/>
        <v>207</v>
      </c>
      <c r="G68" s="159"/>
      <c r="H68" s="165">
        <v>57</v>
      </c>
      <c r="I68" s="167">
        <v>20.9</v>
      </c>
      <c r="J68" s="165">
        <f t="shared" si="26"/>
        <v>0.20899999999999999</v>
      </c>
      <c r="K68" s="165">
        <f t="shared" si="27"/>
        <v>209</v>
      </c>
      <c r="L68" s="159"/>
      <c r="M68" s="165">
        <v>9</v>
      </c>
      <c r="N68" s="167"/>
      <c r="O68" s="165">
        <f t="shared" si="28"/>
        <v>0</v>
      </c>
      <c r="P68" s="165">
        <f t="shared" si="29"/>
        <v>0</v>
      </c>
      <c r="Q68" s="159"/>
      <c r="R68" s="165">
        <v>9</v>
      </c>
      <c r="S68" s="167"/>
      <c r="T68" s="165">
        <f t="shared" si="30"/>
        <v>0</v>
      </c>
      <c r="U68" s="165">
        <f t="shared" si="31"/>
        <v>0</v>
      </c>
      <c r="V68" s="159"/>
      <c r="W68" s="165">
        <v>9</v>
      </c>
      <c r="X68" s="167"/>
      <c r="Y68" s="165">
        <f t="shared" si="32"/>
        <v>0</v>
      </c>
      <c r="Z68" s="165">
        <f t="shared" si="33"/>
        <v>0</v>
      </c>
      <c r="AA68" s="159"/>
      <c r="AB68" s="174">
        <v>9</v>
      </c>
      <c r="AC68" s="175"/>
      <c r="AD68" s="174">
        <f t="shared" si="34"/>
        <v>0</v>
      </c>
      <c r="AE68" s="174">
        <f t="shared" si="35"/>
        <v>0</v>
      </c>
      <c r="AF68" s="159"/>
    </row>
    <row r="69" spans="1:32">
      <c r="A69" s="182">
        <v>58</v>
      </c>
      <c r="B69" s="183">
        <v>21.6</v>
      </c>
      <c r="C69" s="183"/>
      <c r="D69" s="183"/>
      <c r="E69" s="182">
        <f t="shared" si="24"/>
        <v>0.21600000000000003</v>
      </c>
      <c r="F69" s="182">
        <f t="shared" si="25"/>
        <v>216.00000000000003</v>
      </c>
      <c r="G69" s="184"/>
      <c r="H69" s="182">
        <v>58</v>
      </c>
      <c r="I69" s="185">
        <v>21.4</v>
      </c>
      <c r="J69" s="182">
        <f t="shared" si="26"/>
        <v>0.214</v>
      </c>
      <c r="K69" s="182">
        <f t="shared" si="27"/>
        <v>214</v>
      </c>
      <c r="L69" s="184"/>
      <c r="M69" s="182">
        <v>10</v>
      </c>
      <c r="N69" s="185"/>
      <c r="O69" s="182">
        <f t="shared" si="28"/>
        <v>0</v>
      </c>
      <c r="P69" s="182">
        <f t="shared" si="29"/>
        <v>0</v>
      </c>
      <c r="Q69" s="184"/>
      <c r="R69" s="182">
        <v>10</v>
      </c>
      <c r="S69" s="185"/>
      <c r="T69" s="182">
        <f t="shared" si="30"/>
        <v>0</v>
      </c>
      <c r="U69" s="182">
        <f t="shared" si="31"/>
        <v>0</v>
      </c>
      <c r="V69" s="184"/>
      <c r="W69" s="182">
        <v>10</v>
      </c>
      <c r="X69" s="185"/>
      <c r="Y69" s="182">
        <f t="shared" si="32"/>
        <v>0</v>
      </c>
      <c r="Z69" s="182">
        <f t="shared" si="33"/>
        <v>0</v>
      </c>
      <c r="AA69" s="184"/>
      <c r="AB69" s="182">
        <v>10</v>
      </c>
      <c r="AC69" s="185"/>
      <c r="AD69" s="182">
        <f t="shared" si="34"/>
        <v>0</v>
      </c>
      <c r="AE69" s="182">
        <f t="shared" si="35"/>
        <v>0</v>
      </c>
      <c r="AF69" s="184"/>
    </row>
    <row r="70" spans="1:32">
      <c r="A70" s="182">
        <v>59</v>
      </c>
      <c r="B70" s="183">
        <v>21.3</v>
      </c>
      <c r="C70" s="183"/>
      <c r="D70" s="183"/>
      <c r="E70" s="182">
        <f t="shared" si="24"/>
        <v>0.21299999999999999</v>
      </c>
      <c r="F70" s="182">
        <f t="shared" si="25"/>
        <v>213</v>
      </c>
      <c r="G70" s="184"/>
      <c r="H70" s="182">
        <v>59</v>
      </c>
      <c r="I70" s="185">
        <v>21.6</v>
      </c>
      <c r="J70" s="182">
        <f t="shared" si="26"/>
        <v>0.21600000000000003</v>
      </c>
      <c r="K70" s="182">
        <f t="shared" si="27"/>
        <v>216.00000000000003</v>
      </c>
      <c r="L70" s="184"/>
      <c r="M70" s="182">
        <v>11</v>
      </c>
      <c r="N70" s="185"/>
      <c r="O70" s="182">
        <f t="shared" si="28"/>
        <v>0</v>
      </c>
      <c r="P70" s="182">
        <f t="shared" si="29"/>
        <v>0</v>
      </c>
      <c r="Q70" s="184"/>
      <c r="R70" s="182">
        <v>11</v>
      </c>
      <c r="S70" s="185"/>
      <c r="T70" s="182">
        <f t="shared" si="30"/>
        <v>0</v>
      </c>
      <c r="U70" s="182">
        <f t="shared" si="31"/>
        <v>0</v>
      </c>
      <c r="V70" s="184"/>
      <c r="W70" s="182">
        <v>11</v>
      </c>
      <c r="X70" s="185"/>
      <c r="Y70" s="182">
        <f t="shared" si="32"/>
        <v>0</v>
      </c>
      <c r="Z70" s="182">
        <f t="shared" si="33"/>
        <v>0</v>
      </c>
      <c r="AA70" s="184"/>
      <c r="AB70" s="182">
        <v>11</v>
      </c>
      <c r="AC70" s="185"/>
      <c r="AD70" s="182">
        <f t="shared" si="34"/>
        <v>0</v>
      </c>
      <c r="AE70" s="182">
        <f t="shared" si="35"/>
        <v>0</v>
      </c>
      <c r="AF70" s="184"/>
    </row>
    <row r="71" spans="1:32">
      <c r="A71" s="182">
        <v>60</v>
      </c>
      <c r="B71" s="183">
        <v>22.6</v>
      </c>
      <c r="C71" s="183"/>
      <c r="D71" s="183"/>
      <c r="E71" s="182">
        <f t="shared" si="24"/>
        <v>0.22600000000000001</v>
      </c>
      <c r="F71" s="182">
        <f t="shared" si="25"/>
        <v>226</v>
      </c>
      <c r="G71" s="184"/>
      <c r="H71" s="182">
        <v>60</v>
      </c>
      <c r="I71" s="185">
        <v>22.8</v>
      </c>
      <c r="J71" s="182">
        <f t="shared" si="26"/>
        <v>0.22800000000000001</v>
      </c>
      <c r="K71" s="182">
        <f t="shared" si="27"/>
        <v>228</v>
      </c>
      <c r="L71" s="184"/>
      <c r="M71" s="182">
        <v>12</v>
      </c>
      <c r="N71" s="185"/>
      <c r="O71" s="182">
        <f t="shared" si="28"/>
        <v>0</v>
      </c>
      <c r="P71" s="182">
        <f t="shared" si="29"/>
        <v>0</v>
      </c>
      <c r="Q71" s="184"/>
      <c r="R71" s="182">
        <v>12</v>
      </c>
      <c r="S71" s="185"/>
      <c r="T71" s="182">
        <f t="shared" si="30"/>
        <v>0</v>
      </c>
      <c r="U71" s="182">
        <f t="shared" si="31"/>
        <v>0</v>
      </c>
      <c r="V71" s="184"/>
      <c r="W71" s="182">
        <v>12</v>
      </c>
      <c r="X71" s="185"/>
      <c r="Y71" s="182">
        <f t="shared" si="32"/>
        <v>0</v>
      </c>
      <c r="Z71" s="182">
        <f t="shared" si="33"/>
        <v>0</v>
      </c>
      <c r="AA71" s="184"/>
      <c r="AB71" s="182">
        <v>12</v>
      </c>
      <c r="AC71" s="185"/>
      <c r="AD71" s="182">
        <f t="shared" si="34"/>
        <v>0</v>
      </c>
      <c r="AE71" s="182">
        <f t="shared" si="35"/>
        <v>0</v>
      </c>
      <c r="AF71" s="184"/>
    </row>
    <row r="72" spans="1:32">
      <c r="A72" s="165">
        <v>61</v>
      </c>
      <c r="B72" s="166">
        <v>49.5</v>
      </c>
      <c r="C72" s="166"/>
      <c r="D72" s="166"/>
      <c r="E72" s="165">
        <f t="shared" si="24"/>
        <v>0.495</v>
      </c>
      <c r="F72" s="165">
        <f t="shared" si="25"/>
        <v>495</v>
      </c>
      <c r="G72" s="159"/>
      <c r="H72" s="165">
        <v>61</v>
      </c>
      <c r="I72" s="167">
        <v>50.9</v>
      </c>
      <c r="J72" s="165">
        <f t="shared" si="26"/>
        <v>0.50900000000000001</v>
      </c>
      <c r="K72" s="165">
        <f t="shared" si="27"/>
        <v>509</v>
      </c>
      <c r="L72" s="159"/>
      <c r="M72" s="165">
        <v>13</v>
      </c>
      <c r="N72" s="167"/>
      <c r="O72" s="165">
        <f t="shared" si="28"/>
        <v>0</v>
      </c>
      <c r="P72" s="165">
        <f t="shared" si="29"/>
        <v>0</v>
      </c>
      <c r="Q72" s="159"/>
      <c r="R72" s="165">
        <v>13</v>
      </c>
      <c r="S72" s="167"/>
      <c r="T72" s="165">
        <f t="shared" si="30"/>
        <v>0</v>
      </c>
      <c r="U72" s="165">
        <f t="shared" si="31"/>
        <v>0</v>
      </c>
      <c r="V72" s="159"/>
      <c r="W72" s="165">
        <v>13</v>
      </c>
      <c r="X72" s="167"/>
      <c r="Y72" s="165">
        <f t="shared" si="32"/>
        <v>0</v>
      </c>
      <c r="Z72" s="165">
        <f t="shared" si="33"/>
        <v>0</v>
      </c>
      <c r="AA72" s="159"/>
      <c r="AB72" s="174">
        <v>13</v>
      </c>
      <c r="AC72" s="175"/>
      <c r="AD72" s="174">
        <f t="shared" si="34"/>
        <v>0</v>
      </c>
      <c r="AE72" s="174">
        <f t="shared" si="35"/>
        <v>0</v>
      </c>
      <c r="AF72" s="159"/>
    </row>
    <row r="73" spans="1:32">
      <c r="A73" s="182">
        <v>62</v>
      </c>
      <c r="B73" s="183">
        <v>51.6</v>
      </c>
      <c r="C73" s="183"/>
      <c r="D73" s="183"/>
      <c r="E73" s="182">
        <f t="shared" si="24"/>
        <v>0.51600000000000001</v>
      </c>
      <c r="F73" s="182">
        <f t="shared" si="25"/>
        <v>516</v>
      </c>
      <c r="G73" s="184"/>
      <c r="H73" s="182">
        <v>62</v>
      </c>
      <c r="I73" s="185">
        <v>50.3</v>
      </c>
      <c r="J73" s="182">
        <f t="shared" si="26"/>
        <v>0.503</v>
      </c>
      <c r="K73" s="182">
        <f t="shared" si="27"/>
        <v>503</v>
      </c>
      <c r="L73" s="184"/>
      <c r="M73" s="182">
        <v>14</v>
      </c>
      <c r="N73" s="185"/>
      <c r="O73" s="182">
        <f t="shared" si="28"/>
        <v>0</v>
      </c>
      <c r="P73" s="182">
        <f t="shared" si="29"/>
        <v>0</v>
      </c>
      <c r="Q73" s="184"/>
      <c r="R73" s="182">
        <v>14</v>
      </c>
      <c r="S73" s="185"/>
      <c r="T73" s="182">
        <f t="shared" si="30"/>
        <v>0</v>
      </c>
      <c r="U73" s="182">
        <f t="shared" si="31"/>
        <v>0</v>
      </c>
      <c r="V73" s="184"/>
      <c r="W73" s="182">
        <v>14</v>
      </c>
      <c r="X73" s="185"/>
      <c r="Y73" s="182">
        <f t="shared" si="32"/>
        <v>0</v>
      </c>
      <c r="Z73" s="182">
        <f t="shared" si="33"/>
        <v>0</v>
      </c>
      <c r="AA73" s="184"/>
      <c r="AB73" s="182">
        <v>14</v>
      </c>
      <c r="AC73" s="185"/>
      <c r="AD73" s="182">
        <f t="shared" si="34"/>
        <v>0</v>
      </c>
      <c r="AE73" s="182">
        <f t="shared" si="35"/>
        <v>0</v>
      </c>
      <c r="AF73" s="184"/>
    </row>
    <row r="74" spans="1:32">
      <c r="A74" s="182">
        <v>63</v>
      </c>
      <c r="B74" s="183">
        <v>50.8</v>
      </c>
      <c r="C74" s="183"/>
      <c r="D74" s="183"/>
      <c r="E74" s="182">
        <f t="shared" si="24"/>
        <v>0.50800000000000001</v>
      </c>
      <c r="F74" s="182">
        <f t="shared" si="25"/>
        <v>508</v>
      </c>
      <c r="G74" s="184"/>
      <c r="H74" s="182">
        <v>63</v>
      </c>
      <c r="I74" s="185">
        <v>50.4</v>
      </c>
      <c r="J74" s="182">
        <f t="shared" si="26"/>
        <v>0.504</v>
      </c>
      <c r="K74" s="182">
        <f t="shared" si="27"/>
        <v>504</v>
      </c>
      <c r="L74" s="184"/>
      <c r="M74" s="182">
        <v>15</v>
      </c>
      <c r="N74" s="185"/>
      <c r="O74" s="182">
        <f t="shared" si="28"/>
        <v>0</v>
      </c>
      <c r="P74" s="182">
        <f t="shared" si="29"/>
        <v>0</v>
      </c>
      <c r="Q74" s="184"/>
      <c r="R74" s="182">
        <v>15</v>
      </c>
      <c r="S74" s="185"/>
      <c r="T74" s="182">
        <f t="shared" si="30"/>
        <v>0</v>
      </c>
      <c r="U74" s="182">
        <f t="shared" si="31"/>
        <v>0</v>
      </c>
      <c r="V74" s="184"/>
      <c r="W74" s="182">
        <v>15</v>
      </c>
      <c r="X74" s="185"/>
      <c r="Y74" s="182">
        <f t="shared" si="32"/>
        <v>0</v>
      </c>
      <c r="Z74" s="182">
        <f t="shared" si="33"/>
        <v>0</v>
      </c>
      <c r="AA74" s="184"/>
      <c r="AB74" s="182">
        <v>15</v>
      </c>
      <c r="AC74" s="185"/>
      <c r="AD74" s="182">
        <f t="shared" si="34"/>
        <v>0</v>
      </c>
      <c r="AE74" s="182">
        <f t="shared" si="35"/>
        <v>0</v>
      </c>
      <c r="AF74" s="184"/>
    </row>
    <row r="75" spans="1:32">
      <c r="A75" s="182">
        <v>64</v>
      </c>
      <c r="B75" s="183">
        <v>52</v>
      </c>
      <c r="C75" s="183"/>
      <c r="D75" s="183"/>
      <c r="E75" s="182">
        <f t="shared" si="24"/>
        <v>0.52</v>
      </c>
      <c r="F75" s="182">
        <f t="shared" si="25"/>
        <v>520</v>
      </c>
      <c r="G75" s="184"/>
      <c r="H75" s="182">
        <v>64</v>
      </c>
      <c r="I75" s="185">
        <v>50.9</v>
      </c>
      <c r="J75" s="182">
        <f t="shared" si="26"/>
        <v>0.50900000000000001</v>
      </c>
      <c r="K75" s="182">
        <f t="shared" si="27"/>
        <v>509</v>
      </c>
      <c r="L75" s="184"/>
      <c r="M75" s="182">
        <v>16</v>
      </c>
      <c r="N75" s="185"/>
      <c r="O75" s="182">
        <f t="shared" si="28"/>
        <v>0</v>
      </c>
      <c r="P75" s="182">
        <f t="shared" si="29"/>
        <v>0</v>
      </c>
      <c r="Q75" s="184"/>
      <c r="R75" s="182">
        <v>16</v>
      </c>
      <c r="S75" s="185"/>
      <c r="T75" s="182">
        <f t="shared" si="30"/>
        <v>0</v>
      </c>
      <c r="U75" s="182">
        <f t="shared" si="31"/>
        <v>0</v>
      </c>
      <c r="V75" s="184"/>
      <c r="W75" s="182">
        <v>16</v>
      </c>
      <c r="X75" s="185"/>
      <c r="Y75" s="182">
        <f t="shared" si="32"/>
        <v>0</v>
      </c>
      <c r="Z75" s="182">
        <f t="shared" si="33"/>
        <v>0</v>
      </c>
      <c r="AA75" s="184"/>
      <c r="AB75" s="182">
        <v>16</v>
      </c>
      <c r="AC75" s="185"/>
      <c r="AD75" s="182">
        <f t="shared" si="34"/>
        <v>0</v>
      </c>
      <c r="AE75" s="182">
        <f t="shared" si="35"/>
        <v>0</v>
      </c>
      <c r="AF75" s="184"/>
    </row>
    <row r="76" spans="1:32">
      <c r="A76" s="182">
        <v>65</v>
      </c>
      <c r="B76" s="183">
        <v>57.2</v>
      </c>
      <c r="C76" s="183"/>
      <c r="D76" s="183"/>
      <c r="E76" s="182">
        <f t="shared" si="24"/>
        <v>0.57200000000000006</v>
      </c>
      <c r="F76" s="182">
        <f t="shared" si="25"/>
        <v>572.00000000000011</v>
      </c>
      <c r="G76" s="184"/>
      <c r="H76" s="182">
        <v>65</v>
      </c>
      <c r="I76" s="185">
        <v>57.1</v>
      </c>
      <c r="J76" s="182">
        <f t="shared" si="26"/>
        <v>0.57100000000000006</v>
      </c>
      <c r="K76" s="182">
        <f t="shared" si="27"/>
        <v>571.00000000000011</v>
      </c>
      <c r="L76" s="184"/>
      <c r="M76" s="182">
        <v>17</v>
      </c>
      <c r="N76" s="185"/>
      <c r="O76" s="182">
        <f t="shared" si="28"/>
        <v>0</v>
      </c>
      <c r="P76" s="182">
        <f t="shared" si="29"/>
        <v>0</v>
      </c>
      <c r="Q76" s="184"/>
      <c r="R76" s="182">
        <v>17</v>
      </c>
      <c r="S76" s="185"/>
      <c r="T76" s="182">
        <f t="shared" si="30"/>
        <v>0</v>
      </c>
      <c r="U76" s="182">
        <f t="shared" si="31"/>
        <v>0</v>
      </c>
      <c r="V76" s="184"/>
      <c r="W76" s="182">
        <v>17</v>
      </c>
      <c r="X76" s="185"/>
      <c r="Y76" s="182">
        <f t="shared" si="32"/>
        <v>0</v>
      </c>
      <c r="Z76" s="182">
        <f t="shared" si="33"/>
        <v>0</v>
      </c>
      <c r="AA76" s="184"/>
      <c r="AB76" s="182">
        <v>17</v>
      </c>
      <c r="AC76" s="185"/>
      <c r="AD76" s="182">
        <f t="shared" si="34"/>
        <v>0</v>
      </c>
      <c r="AE76" s="182">
        <f t="shared" si="35"/>
        <v>0</v>
      </c>
      <c r="AF76" s="184"/>
    </row>
    <row r="77" spans="1:32">
      <c r="A77" s="165">
        <v>66</v>
      </c>
      <c r="B77" s="166">
        <v>56.3</v>
      </c>
      <c r="C77" s="166"/>
      <c r="D77" s="166"/>
      <c r="E77" s="165">
        <f t="shared" si="24"/>
        <v>0.56299999999999994</v>
      </c>
      <c r="F77" s="165">
        <f t="shared" si="25"/>
        <v>563</v>
      </c>
      <c r="G77" s="159"/>
      <c r="H77" s="165">
        <v>66</v>
      </c>
      <c r="I77" s="167">
        <v>59.8</v>
      </c>
      <c r="J77" s="165">
        <f t="shared" si="26"/>
        <v>0.59799999999999998</v>
      </c>
      <c r="K77" s="165">
        <f t="shared" si="27"/>
        <v>598</v>
      </c>
      <c r="L77" s="159"/>
      <c r="M77" s="165">
        <v>18</v>
      </c>
      <c r="N77" s="167"/>
      <c r="O77" s="165">
        <f t="shared" si="28"/>
        <v>0</v>
      </c>
      <c r="P77" s="165">
        <f t="shared" si="29"/>
        <v>0</v>
      </c>
      <c r="Q77" s="159"/>
      <c r="R77" s="165">
        <v>18</v>
      </c>
      <c r="S77" s="167"/>
      <c r="T77" s="165">
        <f t="shared" si="30"/>
        <v>0</v>
      </c>
      <c r="U77" s="165">
        <f t="shared" si="31"/>
        <v>0</v>
      </c>
      <c r="V77" s="159"/>
      <c r="W77" s="165">
        <v>18</v>
      </c>
      <c r="X77" s="167"/>
      <c r="Y77" s="165">
        <f t="shared" si="32"/>
        <v>0</v>
      </c>
      <c r="Z77" s="165">
        <f t="shared" si="33"/>
        <v>0</v>
      </c>
      <c r="AA77" s="159"/>
      <c r="AB77" s="186">
        <v>18</v>
      </c>
      <c r="AC77" s="187"/>
      <c r="AD77" s="186">
        <f t="shared" si="34"/>
        <v>0</v>
      </c>
      <c r="AE77" s="186">
        <f t="shared" si="35"/>
        <v>0</v>
      </c>
      <c r="AF77" s="159"/>
    </row>
    <row r="78" spans="1:32">
      <c r="A78" s="165">
        <v>67</v>
      </c>
      <c r="B78" s="166">
        <v>44.2</v>
      </c>
      <c r="C78" s="166"/>
      <c r="D78" s="166"/>
      <c r="E78" s="165">
        <f t="shared" si="24"/>
        <v>0.442</v>
      </c>
      <c r="F78" s="165">
        <f t="shared" si="25"/>
        <v>442</v>
      </c>
      <c r="G78" s="159"/>
      <c r="H78" s="165">
        <v>67</v>
      </c>
      <c r="I78" s="167">
        <v>44.7</v>
      </c>
      <c r="J78" s="165">
        <f t="shared" si="26"/>
        <v>0.44700000000000001</v>
      </c>
      <c r="K78" s="165">
        <f t="shared" si="27"/>
        <v>447</v>
      </c>
      <c r="L78" s="159"/>
      <c r="M78" s="165">
        <v>19</v>
      </c>
      <c r="N78" s="167"/>
      <c r="O78" s="165">
        <f t="shared" si="28"/>
        <v>0</v>
      </c>
      <c r="P78" s="165">
        <f t="shared" si="29"/>
        <v>0</v>
      </c>
      <c r="Q78" s="159"/>
      <c r="R78" s="165">
        <v>19</v>
      </c>
      <c r="S78" s="167"/>
      <c r="T78" s="165">
        <f t="shared" si="30"/>
        <v>0</v>
      </c>
      <c r="U78" s="165">
        <f t="shared" si="31"/>
        <v>0</v>
      </c>
      <c r="V78" s="159"/>
      <c r="W78" s="165">
        <v>19</v>
      </c>
      <c r="X78" s="167"/>
      <c r="Y78" s="165">
        <f t="shared" si="32"/>
        <v>0</v>
      </c>
      <c r="Z78" s="165">
        <f t="shared" si="33"/>
        <v>0</v>
      </c>
      <c r="AA78" s="159"/>
      <c r="AB78" s="174">
        <v>19</v>
      </c>
      <c r="AC78" s="175"/>
      <c r="AD78" s="174">
        <f t="shared" si="34"/>
        <v>0</v>
      </c>
      <c r="AE78" s="174">
        <f t="shared" si="35"/>
        <v>0</v>
      </c>
      <c r="AF78" s="159"/>
    </row>
    <row r="79" spans="1:32">
      <c r="A79" s="165">
        <v>68</v>
      </c>
      <c r="B79" s="166">
        <v>53.7</v>
      </c>
      <c r="C79" s="166"/>
      <c r="D79" s="166"/>
      <c r="E79" s="165">
        <f t="shared" si="24"/>
        <v>0.53700000000000003</v>
      </c>
      <c r="F79" s="165">
        <f t="shared" si="25"/>
        <v>537</v>
      </c>
      <c r="G79" s="159"/>
      <c r="H79" s="165">
        <v>68</v>
      </c>
      <c r="I79" s="167">
        <v>54.1</v>
      </c>
      <c r="J79" s="165">
        <f t="shared" si="26"/>
        <v>0.54100000000000004</v>
      </c>
      <c r="K79" s="165">
        <f t="shared" si="27"/>
        <v>541</v>
      </c>
      <c r="L79" s="159"/>
      <c r="M79" s="165">
        <v>20</v>
      </c>
      <c r="N79" s="167"/>
      <c r="O79" s="165">
        <f t="shared" si="28"/>
        <v>0</v>
      </c>
      <c r="P79" s="165">
        <f t="shared" si="29"/>
        <v>0</v>
      </c>
      <c r="Q79" s="159"/>
      <c r="R79" s="165">
        <v>20</v>
      </c>
      <c r="S79" s="167"/>
      <c r="T79" s="165">
        <f t="shared" si="30"/>
        <v>0</v>
      </c>
      <c r="U79" s="165">
        <f t="shared" si="31"/>
        <v>0</v>
      </c>
      <c r="V79" s="159"/>
      <c r="W79" s="165">
        <v>20</v>
      </c>
      <c r="X79" s="167"/>
      <c r="Y79" s="165">
        <f t="shared" si="32"/>
        <v>0</v>
      </c>
      <c r="Z79" s="165">
        <f t="shared" si="33"/>
        <v>0</v>
      </c>
      <c r="AA79" s="159"/>
      <c r="AB79" s="186">
        <v>20</v>
      </c>
      <c r="AC79" s="187"/>
      <c r="AD79" s="186">
        <f t="shared" si="34"/>
        <v>0</v>
      </c>
      <c r="AE79" s="186">
        <f t="shared" si="35"/>
        <v>0</v>
      </c>
      <c r="AF79" s="159"/>
    </row>
    <row r="80" spans="1:32">
      <c r="A80" s="182">
        <v>69</v>
      </c>
      <c r="B80" s="183">
        <v>51.8</v>
      </c>
      <c r="C80" s="183"/>
      <c r="D80" s="183"/>
      <c r="E80" s="182">
        <f t="shared" si="24"/>
        <v>0.51800000000000002</v>
      </c>
      <c r="F80" s="182">
        <f t="shared" si="25"/>
        <v>518</v>
      </c>
      <c r="G80" s="184"/>
      <c r="H80" s="182">
        <v>69</v>
      </c>
      <c r="I80" s="185">
        <v>50.9</v>
      </c>
      <c r="J80" s="182">
        <f t="shared" si="26"/>
        <v>0.50900000000000001</v>
      </c>
      <c r="K80" s="182">
        <f t="shared" si="27"/>
        <v>509</v>
      </c>
      <c r="L80" s="184"/>
      <c r="M80" s="182">
        <v>21</v>
      </c>
      <c r="N80" s="185"/>
      <c r="O80" s="182">
        <f t="shared" si="28"/>
        <v>0</v>
      </c>
      <c r="P80" s="182">
        <f t="shared" si="29"/>
        <v>0</v>
      </c>
      <c r="Q80" s="184"/>
      <c r="R80" s="182">
        <v>21</v>
      </c>
      <c r="S80" s="185"/>
      <c r="T80" s="182">
        <f t="shared" si="30"/>
        <v>0</v>
      </c>
      <c r="U80" s="182">
        <f t="shared" si="31"/>
        <v>0</v>
      </c>
      <c r="V80" s="184"/>
      <c r="W80" s="182">
        <v>21</v>
      </c>
      <c r="X80" s="185"/>
      <c r="Y80" s="182">
        <f t="shared" si="32"/>
        <v>0</v>
      </c>
      <c r="Z80" s="182">
        <f t="shared" si="33"/>
        <v>0</v>
      </c>
      <c r="AA80" s="184"/>
      <c r="AB80" s="182">
        <v>21</v>
      </c>
      <c r="AC80" s="185"/>
      <c r="AD80" s="182">
        <f t="shared" si="34"/>
        <v>0</v>
      </c>
      <c r="AE80" s="182">
        <f t="shared" si="35"/>
        <v>0</v>
      </c>
      <c r="AF80" s="184"/>
    </row>
    <row r="81" spans="1:32">
      <c r="A81" s="165">
        <v>70</v>
      </c>
      <c r="B81" s="166">
        <v>46.5</v>
      </c>
      <c r="C81" s="166"/>
      <c r="D81" s="166"/>
      <c r="E81" s="165">
        <f t="shared" si="24"/>
        <v>0.46500000000000002</v>
      </c>
      <c r="F81" s="165">
        <f t="shared" si="25"/>
        <v>465</v>
      </c>
      <c r="G81" s="159"/>
      <c r="H81" s="165">
        <v>70</v>
      </c>
      <c r="I81" s="167">
        <v>46.6</v>
      </c>
      <c r="J81" s="165">
        <f t="shared" si="26"/>
        <v>0.46600000000000003</v>
      </c>
      <c r="K81" s="165">
        <f t="shared" si="27"/>
        <v>466</v>
      </c>
      <c r="L81" s="159"/>
      <c r="M81" s="165">
        <v>22</v>
      </c>
      <c r="N81" s="167"/>
      <c r="O81" s="165">
        <f t="shared" si="28"/>
        <v>0</v>
      </c>
      <c r="P81" s="165">
        <f t="shared" si="29"/>
        <v>0</v>
      </c>
      <c r="Q81" s="159"/>
      <c r="R81" s="165">
        <v>22</v>
      </c>
      <c r="S81" s="167"/>
      <c r="T81" s="165">
        <f t="shared" si="30"/>
        <v>0</v>
      </c>
      <c r="U81" s="165">
        <f t="shared" si="31"/>
        <v>0</v>
      </c>
      <c r="V81" s="159"/>
      <c r="W81" s="165">
        <v>22</v>
      </c>
      <c r="X81" s="167"/>
      <c r="Y81" s="165">
        <f t="shared" si="32"/>
        <v>0</v>
      </c>
      <c r="Z81" s="165">
        <f t="shared" si="33"/>
        <v>0</v>
      </c>
      <c r="AA81" s="159"/>
      <c r="AB81" s="186">
        <v>22</v>
      </c>
      <c r="AC81" s="187"/>
      <c r="AD81" s="186">
        <f t="shared" si="34"/>
        <v>0</v>
      </c>
      <c r="AE81" s="186">
        <f t="shared" si="35"/>
        <v>0</v>
      </c>
      <c r="AF81" s="159"/>
    </row>
    <row r="82" spans="1:32">
      <c r="A82" s="182">
        <v>71</v>
      </c>
      <c r="B82" s="183">
        <v>57.8</v>
      </c>
      <c r="C82" s="183"/>
      <c r="D82" s="183"/>
      <c r="E82" s="182">
        <f t="shared" si="24"/>
        <v>0.57799999999999996</v>
      </c>
      <c r="F82" s="182">
        <f t="shared" si="25"/>
        <v>578</v>
      </c>
      <c r="G82" s="184"/>
      <c r="H82" s="182">
        <v>71</v>
      </c>
      <c r="I82" s="185">
        <v>58.8</v>
      </c>
      <c r="J82" s="182">
        <f t="shared" si="26"/>
        <v>0.58799999999999997</v>
      </c>
      <c r="K82" s="182">
        <f t="shared" si="27"/>
        <v>588</v>
      </c>
      <c r="L82" s="184"/>
      <c r="M82" s="182">
        <v>23</v>
      </c>
      <c r="N82" s="185"/>
      <c r="O82" s="182">
        <f t="shared" si="28"/>
        <v>0</v>
      </c>
      <c r="P82" s="182">
        <f t="shared" si="29"/>
        <v>0</v>
      </c>
      <c r="Q82" s="184"/>
      <c r="R82" s="182">
        <v>23</v>
      </c>
      <c r="S82" s="185"/>
      <c r="T82" s="182">
        <f t="shared" si="30"/>
        <v>0</v>
      </c>
      <c r="U82" s="182">
        <f t="shared" si="31"/>
        <v>0</v>
      </c>
      <c r="V82" s="184"/>
      <c r="W82" s="182">
        <v>23</v>
      </c>
      <c r="X82" s="185"/>
      <c r="Y82" s="182">
        <f t="shared" si="32"/>
        <v>0</v>
      </c>
      <c r="Z82" s="182">
        <f t="shared" si="33"/>
        <v>0</v>
      </c>
      <c r="AA82" s="184"/>
      <c r="AB82" s="182">
        <v>23</v>
      </c>
      <c r="AC82" s="185"/>
      <c r="AD82" s="182">
        <f t="shared" si="34"/>
        <v>0</v>
      </c>
      <c r="AE82" s="182">
        <f t="shared" si="35"/>
        <v>0</v>
      </c>
      <c r="AF82" s="184"/>
    </row>
    <row r="83" spans="1:32">
      <c r="A83" s="165"/>
      <c r="B83" s="166"/>
      <c r="C83" s="166"/>
      <c r="D83" s="166"/>
      <c r="E83" s="165"/>
      <c r="F83" s="165"/>
      <c r="G83" s="159"/>
      <c r="H83" s="165"/>
      <c r="I83" s="167"/>
      <c r="J83" s="165"/>
      <c r="K83" s="165"/>
      <c r="L83" s="159"/>
      <c r="M83" s="165"/>
      <c r="N83" s="167"/>
      <c r="O83" s="165"/>
      <c r="P83" s="165"/>
      <c r="Q83" s="159"/>
      <c r="R83" s="165"/>
      <c r="S83" s="167"/>
      <c r="T83" s="165"/>
      <c r="U83" s="165"/>
      <c r="V83" s="159"/>
      <c r="W83" s="165"/>
      <c r="X83" s="167"/>
      <c r="Y83" s="165"/>
      <c r="Z83" s="165"/>
      <c r="AA83" s="159"/>
      <c r="AB83" s="186"/>
      <c r="AC83" s="187"/>
      <c r="AD83" s="186"/>
      <c r="AE83" s="186"/>
      <c r="AF83" s="159"/>
    </row>
    <row r="84" spans="1:32">
      <c r="A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</row>
    <row r="85" spans="1:32">
      <c r="A85" s="159"/>
      <c r="B85" s="159"/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</row>
    <row r="86" spans="1:32">
      <c r="A86" s="159"/>
      <c r="B86" s="159"/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</row>
    <row r="87" spans="1:32">
      <c r="A87" s="159"/>
      <c r="B87" s="15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</row>
    <row r="88" spans="1:32">
      <c r="A88" s="159"/>
      <c r="B88" s="159"/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</row>
    <row r="89" spans="1:32">
      <c r="A89" s="159"/>
      <c r="B89" s="159"/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</row>
    <row r="90" spans="1:32">
      <c r="A90" s="159"/>
      <c r="B90" s="159"/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</row>
    <row r="91" spans="1:32">
      <c r="A91" s="159"/>
      <c r="B91" s="159"/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</row>
    <row r="92" spans="1:32">
      <c r="A92" s="159"/>
      <c r="B92" s="159"/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</row>
    <row r="93" spans="1:32">
      <c r="A93" s="159"/>
      <c r="B93" s="159"/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</row>
    <row r="94" spans="1:32">
      <c r="A94" s="159"/>
      <c r="B94" s="159"/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</row>
    <row r="95" spans="1:32">
      <c r="A95" s="159"/>
      <c r="B95" s="159"/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</row>
    <row r="96" spans="1:32">
      <c r="A96" s="159"/>
      <c r="B96" s="159"/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</row>
    <row r="97" spans="1:32">
      <c r="A97" s="159"/>
      <c r="B97" s="159"/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</row>
    <row r="98" spans="1:32">
      <c r="A98" s="159"/>
      <c r="B98" s="159"/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</row>
    <row r="99" spans="1:32">
      <c r="A99" s="159"/>
      <c r="B99" s="159"/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</row>
    <row r="100" spans="1:32">
      <c r="A100" s="159"/>
      <c r="B100" s="159"/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</row>
    <row r="101" spans="1:32">
      <c r="A101" s="159"/>
      <c r="B101" s="159"/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</row>
    <row r="102" spans="1:32">
      <c r="A102" s="159"/>
      <c r="B102" s="159"/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</row>
    <row r="103" spans="1:32">
      <c r="A103" s="159"/>
      <c r="B103" s="159"/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</row>
    <row r="104" spans="1:32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</row>
    <row r="105" spans="1:32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</row>
    <row r="106" spans="1:32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</row>
    <row r="107" spans="1:32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</row>
    <row r="108" spans="1:32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</row>
    <row r="109" spans="1:32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</row>
    <row r="110" spans="1:32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</row>
    <row r="111" spans="1:32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</row>
    <row r="112" spans="1:32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</row>
    <row r="113" spans="1:32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</row>
    <row r="114" spans="1:32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</row>
    <row r="115" spans="1:32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</row>
    <row r="116" spans="1:32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</row>
    <row r="119" spans="1:32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</row>
    <row r="120" spans="1:32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</row>
    <row r="121" spans="1:32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</row>
    <row r="122" spans="1:32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</row>
    <row r="123" spans="1:32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</row>
    <row r="124" spans="1:32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</row>
    <row r="125" spans="1:32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</row>
    <row r="126" spans="1:32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</row>
    <row r="127" spans="1:32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</row>
    <row r="128" spans="1:32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</row>
    <row r="129" spans="1:32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</row>
    <row r="130" spans="1:32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</row>
    <row r="131" spans="1:32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</row>
    <row r="132" spans="1:32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</row>
    <row r="133" spans="1:32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</row>
    <row r="134" spans="1:32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</row>
    <row r="135" spans="1:32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</row>
    <row r="136" spans="1:32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</row>
    <row r="137" spans="1:32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</row>
    <row r="138" spans="1:32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</row>
    <row r="139" spans="1:32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</row>
    <row r="140" spans="1:32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</row>
    <row r="141" spans="1:32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  <c r="AD141" s="159"/>
      <c r="AE141" s="159"/>
      <c r="AF141" s="159"/>
    </row>
    <row r="142" spans="1:32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</row>
    <row r="143" spans="1:32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159"/>
    </row>
    <row r="144" spans="1:32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159"/>
    </row>
    <row r="145" spans="1:32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159"/>
    </row>
    <row r="146" spans="1:32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159"/>
    </row>
    <row r="147" spans="1:32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159"/>
    </row>
    <row r="148" spans="1:32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159"/>
    </row>
    <row r="149" spans="1:32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159"/>
    </row>
    <row r="150" spans="1:32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159"/>
    </row>
    <row r="151" spans="1:32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  <c r="AD151" s="159"/>
      <c r="AE151" s="159"/>
      <c r="AF151" s="159"/>
    </row>
    <row r="152" spans="1:32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159"/>
    </row>
    <row r="153" spans="1:32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159"/>
    </row>
    <row r="154" spans="1:32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159"/>
    </row>
    <row r="155" spans="1:32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  <c r="AD155" s="159"/>
      <c r="AE155" s="159"/>
      <c r="AF155" s="159"/>
    </row>
    <row r="156" spans="1:32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159"/>
    </row>
    <row r="157" spans="1:32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  <c r="AD157" s="159"/>
      <c r="AE157" s="159"/>
      <c r="AF157" s="159"/>
    </row>
    <row r="158" spans="1:32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  <c r="AD158" s="159"/>
      <c r="AE158" s="159"/>
      <c r="AF158" s="159"/>
    </row>
    <row r="159" spans="1:32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  <c r="AD159" s="159"/>
      <c r="AE159" s="159"/>
      <c r="AF159" s="159"/>
    </row>
    <row r="160" spans="1:32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  <c r="AD160" s="159"/>
      <c r="AE160" s="159"/>
      <c r="AF160" s="159"/>
    </row>
    <row r="161" spans="1:32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  <c r="AD161" s="159"/>
      <c r="AE161" s="159"/>
      <c r="AF161" s="159"/>
    </row>
    <row r="162" spans="1:32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  <c r="AD162" s="159"/>
      <c r="AE162" s="159"/>
      <c r="AF162" s="159"/>
    </row>
    <row r="163" spans="1:32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  <c r="AD163" s="159"/>
      <c r="AE163" s="159"/>
      <c r="AF163" s="159"/>
    </row>
    <row r="164" spans="1:32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  <c r="AD164" s="159"/>
      <c r="AE164" s="159"/>
      <c r="AF164" s="159"/>
    </row>
    <row r="165" spans="1:32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  <c r="AD165" s="159"/>
      <c r="AE165" s="159"/>
      <c r="AF165" s="159"/>
    </row>
    <row r="166" spans="1:32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  <c r="AD166" s="159"/>
      <c r="AE166" s="159"/>
      <c r="AF166" s="159"/>
    </row>
    <row r="167" spans="1:32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  <c r="AD167" s="159"/>
      <c r="AE167" s="159"/>
      <c r="AF167" s="159"/>
    </row>
    <row r="168" spans="1:32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  <c r="AD168" s="159"/>
      <c r="AE168" s="159"/>
      <c r="AF168" s="159"/>
    </row>
    <row r="169" spans="1:32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  <c r="AD169" s="159"/>
      <c r="AE169" s="159"/>
      <c r="AF169" s="159"/>
    </row>
    <row r="170" spans="1:32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  <c r="AD170" s="159"/>
      <c r="AE170" s="159"/>
      <c r="AF170" s="159"/>
    </row>
    <row r="171" spans="1:32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  <c r="AD171" s="159"/>
      <c r="AE171" s="159"/>
      <c r="AF171" s="159"/>
    </row>
    <row r="172" spans="1:32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  <c r="AD172" s="159"/>
      <c r="AE172" s="159"/>
      <c r="AF172" s="159"/>
    </row>
    <row r="173" spans="1:32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  <c r="AD173" s="159"/>
      <c r="AE173" s="159"/>
      <c r="AF173" s="159"/>
    </row>
    <row r="174" spans="1:32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  <c r="AD174" s="159"/>
      <c r="AE174" s="159"/>
      <c r="AF174" s="159"/>
    </row>
    <row r="175" spans="1:32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  <c r="AD175" s="159"/>
      <c r="AE175" s="159"/>
      <c r="AF175" s="159"/>
    </row>
    <row r="176" spans="1:32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  <c r="AD176" s="159"/>
      <c r="AE176" s="159"/>
      <c r="AF176" s="159"/>
    </row>
    <row r="177" spans="1:32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  <c r="AD177" s="159"/>
      <c r="AE177" s="159"/>
      <c r="AF177" s="159"/>
    </row>
    <row r="178" spans="1:32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  <c r="AD178" s="159"/>
      <c r="AE178" s="159"/>
      <c r="AF178" s="159"/>
    </row>
    <row r="179" spans="1:32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  <c r="AD179" s="159"/>
      <c r="AE179" s="159"/>
      <c r="AF179" s="159"/>
    </row>
    <row r="180" spans="1:32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  <c r="AD180" s="159"/>
      <c r="AE180" s="159"/>
      <c r="AF180" s="159"/>
    </row>
    <row r="181" spans="1:32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  <c r="AD181" s="159"/>
      <c r="AE181" s="159"/>
      <c r="AF181" s="159"/>
    </row>
    <row r="182" spans="1:32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  <c r="AD182" s="159"/>
      <c r="AE182" s="159"/>
      <c r="AF182" s="159"/>
    </row>
    <row r="183" spans="1:32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  <c r="AD183" s="159"/>
      <c r="AE183" s="159"/>
      <c r="AF183" s="159"/>
    </row>
    <row r="184" spans="1:32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  <c r="AD184" s="159"/>
      <c r="AE184" s="159"/>
      <c r="AF184" s="159"/>
    </row>
    <row r="185" spans="1:32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  <c r="AD185" s="159"/>
      <c r="AE185" s="159"/>
      <c r="AF185" s="159"/>
    </row>
    <row r="186" spans="1:32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  <c r="AD186" s="159"/>
      <c r="AE186" s="159"/>
      <c r="AF186" s="159"/>
    </row>
    <row r="187" spans="1:32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  <c r="AD187" s="159"/>
      <c r="AE187" s="159"/>
      <c r="AF187" s="159"/>
    </row>
    <row r="188" spans="1:32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  <c r="AD188" s="159"/>
      <c r="AE188" s="159"/>
      <c r="AF188" s="159"/>
    </row>
    <row r="189" spans="1:32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  <c r="AD189" s="159"/>
      <c r="AE189" s="159"/>
      <c r="AF189" s="159"/>
    </row>
    <row r="190" spans="1:32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  <c r="AD190" s="159"/>
      <c r="AE190" s="159"/>
      <c r="AF190" s="159"/>
    </row>
    <row r="191" spans="1:32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  <c r="AD191" s="159"/>
      <c r="AE191" s="159"/>
      <c r="AF191" s="159"/>
    </row>
    <row r="192" spans="1:32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  <c r="AD192" s="159"/>
      <c r="AE192" s="159"/>
      <c r="AF192" s="159"/>
    </row>
    <row r="193" spans="1:32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  <c r="AD193" s="159"/>
      <c r="AE193" s="159"/>
      <c r="AF193" s="159"/>
    </row>
    <row r="194" spans="1:32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  <c r="AD194" s="159"/>
      <c r="AE194" s="159"/>
      <c r="AF194" s="159"/>
    </row>
    <row r="195" spans="1:32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  <c r="AD195" s="159"/>
      <c r="AE195" s="159"/>
      <c r="AF195" s="159"/>
    </row>
    <row r="196" spans="1:32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  <c r="AD196" s="159"/>
      <c r="AE196" s="159"/>
      <c r="AF196" s="159"/>
    </row>
    <row r="197" spans="1:32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  <c r="AD197" s="159"/>
      <c r="AE197" s="159"/>
      <c r="AF197" s="159"/>
    </row>
    <row r="198" spans="1:32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  <c r="AD198" s="159"/>
      <c r="AE198" s="159"/>
      <c r="AF198" s="159"/>
    </row>
    <row r="199" spans="1:32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</row>
    <row r="200" spans="1:32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  <c r="AD200" s="159"/>
      <c r="AE200" s="159"/>
      <c r="AF200" s="159"/>
    </row>
    <row r="201" spans="1:32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  <c r="AD201" s="159"/>
      <c r="AE201" s="159"/>
      <c r="AF201" s="159"/>
    </row>
    <row r="202" spans="1:32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  <c r="AD202" s="159"/>
      <c r="AE202" s="159"/>
      <c r="AF202" s="159"/>
    </row>
    <row r="203" spans="1:32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  <c r="AD203" s="159"/>
      <c r="AE203" s="159"/>
      <c r="AF203" s="159"/>
    </row>
    <row r="204" spans="1:32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  <c r="AD204" s="159"/>
      <c r="AE204" s="159"/>
      <c r="AF204" s="159"/>
    </row>
    <row r="205" spans="1:32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  <c r="AD205" s="159"/>
      <c r="AE205" s="159"/>
      <c r="AF205" s="159"/>
    </row>
    <row r="206" spans="1:32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  <c r="AD206" s="159"/>
      <c r="AE206" s="159"/>
      <c r="AF206" s="159"/>
    </row>
    <row r="207" spans="1:32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  <c r="AD207" s="159"/>
      <c r="AE207" s="159"/>
      <c r="AF207" s="159"/>
    </row>
    <row r="208" spans="1:32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  <c r="AD208" s="159"/>
      <c r="AE208" s="159"/>
      <c r="AF208" s="159"/>
    </row>
    <row r="209" spans="1:32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  <c r="AD209" s="159"/>
      <c r="AE209" s="159"/>
      <c r="AF209" s="159"/>
    </row>
    <row r="210" spans="1:32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  <c r="AD210" s="159"/>
      <c r="AE210" s="159"/>
      <c r="AF210" s="159"/>
    </row>
    <row r="211" spans="1:32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  <c r="AD211" s="159"/>
      <c r="AE211" s="159"/>
      <c r="AF211" s="159"/>
    </row>
    <row r="212" spans="1:32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  <c r="AD212" s="159"/>
      <c r="AE212" s="159"/>
      <c r="AF212" s="159"/>
    </row>
    <row r="213" spans="1:32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</row>
    <row r="214" spans="1:32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  <c r="AD214" s="159"/>
      <c r="AE214" s="159"/>
      <c r="AF214" s="159"/>
    </row>
    <row r="215" spans="1:32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</row>
    <row r="216" spans="1:32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  <c r="AD216" s="159"/>
      <c r="AE216" s="159"/>
      <c r="AF216" s="159"/>
    </row>
    <row r="217" spans="1:32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  <c r="AD217" s="159"/>
      <c r="AE217" s="159"/>
      <c r="AF217" s="159"/>
    </row>
    <row r="218" spans="1:32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  <c r="AD218" s="159"/>
      <c r="AE218" s="159"/>
      <c r="AF218" s="159"/>
    </row>
    <row r="219" spans="1:32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  <c r="AD219" s="159"/>
      <c r="AE219" s="159"/>
      <c r="AF219" s="159"/>
    </row>
    <row r="220" spans="1:32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  <c r="AD220" s="159"/>
      <c r="AE220" s="159"/>
      <c r="AF220" s="159"/>
    </row>
    <row r="221" spans="1:32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  <c r="AD221" s="159"/>
      <c r="AE221" s="159"/>
      <c r="AF221" s="159"/>
    </row>
    <row r="222" spans="1:32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  <c r="AD222" s="159"/>
      <c r="AE222" s="159"/>
      <c r="AF222" s="159"/>
    </row>
    <row r="223" spans="1:32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  <c r="AD223" s="159"/>
      <c r="AE223" s="159"/>
      <c r="AF223" s="159"/>
    </row>
    <row r="224" spans="1:32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  <c r="AD224" s="159"/>
      <c r="AE224" s="159"/>
      <c r="AF224" s="159"/>
    </row>
    <row r="225" spans="1:32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  <c r="AD225" s="159"/>
      <c r="AE225" s="159"/>
      <c r="AF225" s="159"/>
    </row>
    <row r="226" spans="1:32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</row>
    <row r="227" spans="1:32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  <c r="AD227" s="159"/>
      <c r="AE227" s="159"/>
      <c r="AF227" s="159"/>
    </row>
    <row r="228" spans="1:32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  <c r="AD228" s="159"/>
      <c r="AE228" s="159"/>
      <c r="AF228" s="159"/>
    </row>
    <row r="229" spans="1:32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  <c r="AD229" s="159"/>
      <c r="AE229" s="159"/>
      <c r="AF229" s="159"/>
    </row>
    <row r="230" spans="1:32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</row>
    <row r="231" spans="1:32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  <c r="AD231" s="159"/>
      <c r="AE231" s="159"/>
      <c r="AF231" s="159"/>
    </row>
    <row r="232" spans="1:32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  <c r="AD232" s="159"/>
      <c r="AE232" s="159"/>
      <c r="AF232" s="159"/>
    </row>
    <row r="233" spans="1:32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  <c r="AD233" s="159"/>
      <c r="AE233" s="159"/>
      <c r="AF233" s="159"/>
    </row>
    <row r="234" spans="1:32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  <c r="AD234" s="159"/>
      <c r="AE234" s="159"/>
      <c r="AF234" s="159"/>
    </row>
    <row r="235" spans="1:32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  <c r="AD235" s="159"/>
      <c r="AE235" s="159"/>
      <c r="AF235" s="159"/>
    </row>
    <row r="236" spans="1:32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  <c r="AD236" s="159"/>
      <c r="AE236" s="159"/>
      <c r="AF236" s="159"/>
    </row>
    <row r="237" spans="1:32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  <c r="AD237" s="159"/>
      <c r="AE237" s="159"/>
      <c r="AF237" s="159"/>
    </row>
    <row r="238" spans="1:32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  <c r="AD238" s="159"/>
      <c r="AE238" s="159"/>
      <c r="AF238" s="159"/>
    </row>
    <row r="239" spans="1:32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  <c r="AD239" s="159"/>
      <c r="AE239" s="159"/>
      <c r="AF239" s="159"/>
    </row>
    <row r="240" spans="1:32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  <c r="AD240" s="159"/>
      <c r="AE240" s="159"/>
      <c r="AF240" s="159"/>
    </row>
    <row r="241" spans="1:32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</row>
    <row r="242" spans="1:32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  <c r="AD242" s="159"/>
      <c r="AE242" s="159"/>
      <c r="AF242" s="159"/>
    </row>
    <row r="243" spans="1:32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  <c r="AD243" s="159"/>
      <c r="AE243" s="159"/>
      <c r="AF243" s="159"/>
    </row>
    <row r="244" spans="1:32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</row>
    <row r="245" spans="1:32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  <c r="AD245" s="159"/>
      <c r="AE245" s="159"/>
      <c r="AF245" s="159"/>
    </row>
    <row r="246" spans="1:32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  <c r="AD246" s="159"/>
      <c r="AE246" s="159"/>
      <c r="AF246" s="159"/>
    </row>
    <row r="247" spans="1:32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  <c r="AD247" s="159"/>
      <c r="AE247" s="159"/>
      <c r="AF247" s="159"/>
    </row>
    <row r="248" spans="1:32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  <c r="AD248" s="159"/>
      <c r="AE248" s="159"/>
      <c r="AF248" s="159"/>
    </row>
    <row r="249" spans="1:32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  <c r="AD249" s="159"/>
      <c r="AE249" s="159"/>
      <c r="AF249" s="159"/>
    </row>
    <row r="250" spans="1:32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  <c r="AD250" s="159"/>
      <c r="AE250" s="159"/>
      <c r="AF250" s="159"/>
    </row>
    <row r="251" spans="1:32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  <c r="AD251" s="159"/>
      <c r="AE251" s="159"/>
      <c r="AF251" s="159"/>
    </row>
    <row r="252" spans="1:32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  <c r="AD252" s="159"/>
      <c r="AE252" s="159"/>
      <c r="AF252" s="159"/>
    </row>
    <row r="253" spans="1:32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</row>
    <row r="254" spans="1:32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  <c r="AD254" s="159"/>
      <c r="AE254" s="159"/>
      <c r="AF254" s="159"/>
    </row>
    <row r="255" spans="1:32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  <c r="AD255" s="159"/>
      <c r="AE255" s="159"/>
      <c r="AF255" s="159"/>
    </row>
    <row r="256" spans="1:32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</row>
    <row r="257" spans="1:32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  <c r="AD257" s="159"/>
      <c r="AE257" s="159"/>
      <c r="AF257" s="159"/>
    </row>
    <row r="258" spans="1:32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  <c r="AD258" s="159"/>
      <c r="AE258" s="159"/>
      <c r="AF258" s="159"/>
    </row>
    <row r="259" spans="1:32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  <c r="AD259" s="159"/>
      <c r="AE259" s="159"/>
      <c r="AF259" s="159"/>
    </row>
    <row r="260" spans="1:32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  <c r="AD260" s="159"/>
      <c r="AE260" s="159"/>
      <c r="AF260" s="159"/>
    </row>
    <row r="261" spans="1:32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  <c r="AD261" s="159"/>
      <c r="AE261" s="159"/>
      <c r="AF261" s="159"/>
    </row>
    <row r="262" spans="1:32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  <c r="AD262" s="159"/>
      <c r="AE262" s="159"/>
      <c r="AF262" s="159"/>
    </row>
    <row r="263" spans="1:32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  <c r="AD263" s="159"/>
      <c r="AE263" s="159"/>
      <c r="AF263" s="159"/>
    </row>
    <row r="264" spans="1:32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  <c r="AD264" s="159"/>
      <c r="AE264" s="159"/>
      <c r="AF264" s="159"/>
    </row>
    <row r="265" spans="1:32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</row>
    <row r="266" spans="1:32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  <c r="AD266" s="159"/>
      <c r="AE266" s="159"/>
      <c r="AF266" s="159"/>
    </row>
    <row r="267" spans="1:32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  <c r="AD267" s="159"/>
      <c r="AE267" s="159"/>
      <c r="AF267" s="159"/>
    </row>
    <row r="268" spans="1:32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</row>
    <row r="269" spans="1:32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  <c r="AD269" s="159"/>
      <c r="AE269" s="159"/>
      <c r="AF269" s="159"/>
    </row>
    <row r="270" spans="1:32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  <c r="AD270" s="159"/>
      <c r="AE270" s="159"/>
      <c r="AF270" s="159"/>
    </row>
    <row r="271" spans="1:32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  <c r="AD271" s="159"/>
      <c r="AE271" s="159"/>
      <c r="AF271" s="159"/>
    </row>
    <row r="272" spans="1:32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  <c r="AD272" s="159"/>
      <c r="AE272" s="159"/>
      <c r="AF272" s="159"/>
    </row>
    <row r="273" spans="1:32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  <c r="AD273" s="159"/>
      <c r="AE273" s="159"/>
      <c r="AF273" s="159"/>
    </row>
    <row r="274" spans="1:32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  <c r="AD274" s="159"/>
      <c r="AE274" s="159"/>
      <c r="AF274" s="159"/>
    </row>
    <row r="275" spans="1:32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  <c r="AD275" s="159"/>
      <c r="AE275" s="159"/>
      <c r="AF275" s="159"/>
    </row>
    <row r="276" spans="1:32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  <c r="AD276" s="159"/>
      <c r="AE276" s="159"/>
      <c r="AF276" s="159"/>
    </row>
    <row r="277" spans="1:32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  <c r="AD277" s="159"/>
      <c r="AE277" s="159"/>
      <c r="AF277" s="159"/>
    </row>
    <row r="278" spans="1:32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  <c r="AD278" s="159"/>
      <c r="AE278" s="159"/>
      <c r="AF278" s="159"/>
    </row>
    <row r="279" spans="1:32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  <c r="AD279" s="159"/>
      <c r="AE279" s="159"/>
      <c r="AF279" s="159"/>
    </row>
    <row r="280" spans="1:32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  <c r="AD280" s="159"/>
      <c r="AE280" s="159"/>
      <c r="AF280" s="159"/>
    </row>
    <row r="281" spans="1:32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  <c r="AD281" s="159"/>
      <c r="AE281" s="159"/>
      <c r="AF281" s="159"/>
    </row>
    <row r="282" spans="1:32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  <c r="AD282" s="159"/>
      <c r="AE282" s="159"/>
      <c r="AF282" s="159"/>
    </row>
    <row r="283" spans="1:32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  <c r="AD283" s="159"/>
      <c r="AE283" s="159"/>
      <c r="AF283" s="159"/>
    </row>
    <row r="284" spans="1:32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  <c r="AD284" s="159"/>
      <c r="AE284" s="159"/>
      <c r="AF284" s="159"/>
    </row>
    <row r="285" spans="1:32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9"/>
      <c r="AE285" s="159"/>
      <c r="AF285" s="159"/>
    </row>
    <row r="286" spans="1:32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  <c r="AD286" s="159"/>
      <c r="AE286" s="159"/>
      <c r="AF286" s="159"/>
    </row>
    <row r="287" spans="1:32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  <c r="AD287" s="159"/>
      <c r="AE287" s="159"/>
      <c r="AF287" s="159"/>
    </row>
    <row r="288" spans="1:32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  <c r="AD288" s="159"/>
      <c r="AE288" s="159"/>
      <c r="AF288" s="159"/>
    </row>
    <row r="289" spans="1:32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  <c r="AD289" s="159"/>
      <c r="AE289" s="159"/>
      <c r="AF289" s="159"/>
    </row>
    <row r="290" spans="1:32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  <c r="AD290" s="159"/>
      <c r="AE290" s="159"/>
      <c r="AF290" s="159"/>
    </row>
    <row r="291" spans="1:32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  <c r="AD291" s="159"/>
      <c r="AE291" s="159"/>
      <c r="AF291" s="159"/>
    </row>
    <row r="292" spans="1:32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  <c r="AD292" s="159"/>
      <c r="AE292" s="159"/>
      <c r="AF292" s="159"/>
    </row>
    <row r="293" spans="1:32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  <c r="AD293" s="159"/>
      <c r="AE293" s="159"/>
      <c r="AF293" s="159"/>
    </row>
    <row r="294" spans="1:32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  <c r="AD294" s="159"/>
      <c r="AE294" s="159"/>
      <c r="AF294" s="159"/>
    </row>
    <row r="295" spans="1:32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  <c r="AD295" s="159"/>
      <c r="AE295" s="159"/>
      <c r="AF295" s="159"/>
    </row>
    <row r="296" spans="1:32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  <c r="AD296" s="159"/>
      <c r="AE296" s="159"/>
      <c r="AF296" s="159"/>
    </row>
    <row r="297" spans="1:32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  <c r="AD297" s="159"/>
      <c r="AE297" s="159"/>
      <c r="AF297" s="159"/>
    </row>
    <row r="298" spans="1:32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  <c r="AD298" s="159"/>
      <c r="AE298" s="159"/>
      <c r="AF298" s="159"/>
    </row>
    <row r="299" spans="1:32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  <c r="AB299" s="159"/>
      <c r="AC299" s="159"/>
      <c r="AD299" s="159"/>
      <c r="AE299" s="159"/>
      <c r="AF299" s="159"/>
    </row>
    <row r="300" spans="1:32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  <c r="AB300" s="159"/>
      <c r="AC300" s="159"/>
      <c r="AD300" s="159"/>
      <c r="AE300" s="159"/>
      <c r="AF300" s="159"/>
    </row>
    <row r="301" spans="1:32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  <c r="AB301" s="159"/>
      <c r="AC301" s="159"/>
      <c r="AD301" s="159"/>
      <c r="AE301" s="159"/>
      <c r="AF301" s="159"/>
    </row>
    <row r="302" spans="1:32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  <c r="AB302" s="159"/>
      <c r="AC302" s="159"/>
      <c r="AD302" s="159"/>
      <c r="AE302" s="159"/>
      <c r="AF302" s="159"/>
    </row>
    <row r="303" spans="1:32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  <c r="AB303" s="159"/>
      <c r="AC303" s="159"/>
      <c r="AD303" s="159"/>
      <c r="AE303" s="159"/>
      <c r="AF303" s="159"/>
    </row>
    <row r="304" spans="1:32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  <c r="AB304" s="159"/>
      <c r="AC304" s="159"/>
      <c r="AD304" s="159"/>
      <c r="AE304" s="159"/>
      <c r="AF304" s="159"/>
    </row>
    <row r="305" spans="1:32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  <c r="AB305" s="159"/>
      <c r="AC305" s="159"/>
      <c r="AD305" s="159"/>
      <c r="AE305" s="159"/>
      <c r="AF305" s="159"/>
    </row>
    <row r="306" spans="1:32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  <c r="AB306" s="159"/>
      <c r="AC306" s="159"/>
      <c r="AD306" s="159"/>
      <c r="AE306" s="159"/>
      <c r="AF306" s="159"/>
    </row>
    <row r="307" spans="1:32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  <c r="AB307" s="159"/>
      <c r="AC307" s="159"/>
      <c r="AD307" s="159"/>
      <c r="AE307" s="159"/>
      <c r="AF307" s="159"/>
    </row>
    <row r="308" spans="1:32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  <c r="AB308" s="159"/>
      <c r="AC308" s="159"/>
      <c r="AD308" s="159"/>
      <c r="AE308" s="159"/>
      <c r="AF308" s="159"/>
    </row>
    <row r="309" spans="1:32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  <c r="AB309" s="159"/>
      <c r="AC309" s="159"/>
      <c r="AD309" s="159"/>
      <c r="AE309" s="159"/>
      <c r="AF309" s="159"/>
    </row>
    <row r="310" spans="1:32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  <c r="AB310" s="159"/>
      <c r="AC310" s="159"/>
      <c r="AD310" s="159"/>
      <c r="AE310" s="159"/>
      <c r="AF310" s="159"/>
    </row>
    <row r="311" spans="1:32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  <c r="AB311" s="159"/>
      <c r="AC311" s="159"/>
      <c r="AD311" s="159"/>
      <c r="AE311" s="159"/>
      <c r="AF311" s="159"/>
    </row>
    <row r="312" spans="1:32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  <c r="AB312" s="159"/>
      <c r="AC312" s="159"/>
      <c r="AD312" s="159"/>
      <c r="AE312" s="159"/>
      <c r="AF312" s="159"/>
    </row>
    <row r="313" spans="1:32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  <c r="AB313" s="159"/>
      <c r="AC313" s="159"/>
      <c r="AD313" s="159"/>
      <c r="AE313" s="159"/>
      <c r="AF313" s="159"/>
    </row>
    <row r="314" spans="1:32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  <c r="AB314" s="159"/>
      <c r="AC314" s="159"/>
      <c r="AD314" s="159"/>
      <c r="AE314" s="159"/>
      <c r="AF314" s="159"/>
    </row>
    <row r="315" spans="1:32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  <c r="AB315" s="159"/>
      <c r="AC315" s="159"/>
      <c r="AD315" s="159"/>
      <c r="AE315" s="159"/>
      <c r="AF315" s="159"/>
    </row>
    <row r="316" spans="1:32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  <c r="AB316" s="159"/>
      <c r="AC316" s="159"/>
      <c r="AD316" s="159"/>
      <c r="AE316" s="159"/>
      <c r="AF316" s="159"/>
    </row>
    <row r="317" spans="1:32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  <c r="AB317" s="159"/>
      <c r="AC317" s="159"/>
      <c r="AD317" s="159"/>
      <c r="AE317" s="159"/>
      <c r="AF317" s="159"/>
    </row>
    <row r="318" spans="1:32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  <c r="AB318" s="159"/>
      <c r="AC318" s="159"/>
      <c r="AD318" s="159"/>
      <c r="AE318" s="159"/>
      <c r="AF318" s="159"/>
    </row>
    <row r="319" spans="1:32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  <c r="AB319" s="159"/>
      <c r="AC319" s="159"/>
      <c r="AD319" s="159"/>
      <c r="AE319" s="159"/>
      <c r="AF319" s="159"/>
    </row>
    <row r="320" spans="1:32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  <c r="AB320" s="159"/>
      <c r="AC320" s="159"/>
      <c r="AD320" s="159"/>
      <c r="AE320" s="159"/>
      <c r="AF320" s="159"/>
    </row>
    <row r="321" spans="1:32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  <c r="AB321" s="159"/>
      <c r="AC321" s="159"/>
      <c r="AD321" s="159"/>
      <c r="AE321" s="159"/>
      <c r="AF321" s="159"/>
    </row>
    <row r="322" spans="1:32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  <c r="AB322" s="159"/>
      <c r="AC322" s="159"/>
      <c r="AD322" s="159"/>
      <c r="AE322" s="159"/>
      <c r="AF322" s="159"/>
    </row>
    <row r="323" spans="1:32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  <c r="AB323" s="159"/>
      <c r="AC323" s="159"/>
      <c r="AD323" s="159"/>
      <c r="AE323" s="159"/>
      <c r="AF323" s="159"/>
    </row>
    <row r="324" spans="1:32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  <c r="AB324" s="159"/>
      <c r="AC324" s="159"/>
      <c r="AD324" s="159"/>
      <c r="AE324" s="159"/>
      <c r="AF324" s="159"/>
    </row>
    <row r="325" spans="1:32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  <c r="AB325" s="159"/>
      <c r="AC325" s="159"/>
      <c r="AD325" s="159"/>
      <c r="AE325" s="159"/>
      <c r="AF325" s="159"/>
    </row>
    <row r="326" spans="1:32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  <c r="AB326" s="159"/>
      <c r="AC326" s="159"/>
      <c r="AD326" s="159"/>
      <c r="AE326" s="159"/>
      <c r="AF326" s="159"/>
    </row>
    <row r="327" spans="1:32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  <c r="AB327" s="159"/>
      <c r="AC327" s="159"/>
      <c r="AD327" s="159"/>
      <c r="AE327" s="159"/>
      <c r="AF327" s="159"/>
    </row>
    <row r="328" spans="1:32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  <c r="AB328" s="159"/>
      <c r="AC328" s="159"/>
      <c r="AD328" s="159"/>
      <c r="AE328" s="159"/>
      <c r="AF328" s="159"/>
    </row>
    <row r="329" spans="1:32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  <c r="AB329" s="159"/>
      <c r="AC329" s="159"/>
      <c r="AD329" s="159"/>
      <c r="AE329" s="159"/>
      <c r="AF329" s="159"/>
    </row>
    <row r="330" spans="1:32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  <c r="AB330" s="159"/>
      <c r="AC330" s="159"/>
      <c r="AD330" s="159"/>
      <c r="AE330" s="159"/>
      <c r="AF330" s="159"/>
    </row>
    <row r="331" spans="1:32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  <c r="AB331" s="159"/>
      <c r="AC331" s="159"/>
      <c r="AD331" s="159"/>
      <c r="AE331" s="159"/>
      <c r="AF331" s="159"/>
    </row>
    <row r="332" spans="1:32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  <c r="AB332" s="159"/>
      <c r="AC332" s="159"/>
      <c r="AD332" s="159"/>
      <c r="AE332" s="159"/>
      <c r="AF332" s="159"/>
    </row>
    <row r="333" spans="1:32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  <c r="AB333" s="159"/>
      <c r="AC333" s="159"/>
      <c r="AD333" s="159"/>
      <c r="AE333" s="159"/>
      <c r="AF333" s="159"/>
    </row>
    <row r="334" spans="1:32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  <c r="AB334" s="159"/>
      <c r="AC334" s="159"/>
      <c r="AD334" s="159"/>
      <c r="AE334" s="159"/>
      <c r="AF334" s="159"/>
    </row>
    <row r="335" spans="1:32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  <c r="AB335" s="159"/>
      <c r="AC335" s="159"/>
      <c r="AD335" s="159"/>
      <c r="AE335" s="159"/>
      <c r="AF335" s="159"/>
    </row>
    <row r="336" spans="1:32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  <c r="AB336" s="159"/>
      <c r="AC336" s="159"/>
      <c r="AD336" s="159"/>
      <c r="AE336" s="159"/>
      <c r="AF336" s="159"/>
    </row>
    <row r="337" spans="1:32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  <c r="AB337" s="159"/>
      <c r="AC337" s="159"/>
      <c r="AD337" s="159"/>
      <c r="AE337" s="159"/>
      <c r="AF337" s="159"/>
    </row>
    <row r="338" spans="1:32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  <c r="AB338" s="159"/>
      <c r="AC338" s="159"/>
      <c r="AD338" s="159"/>
      <c r="AE338" s="159"/>
      <c r="AF338" s="159"/>
    </row>
    <row r="339" spans="1:32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  <c r="AB339" s="159"/>
      <c r="AC339" s="159"/>
      <c r="AD339" s="159"/>
      <c r="AE339" s="159"/>
      <c r="AF339" s="159"/>
    </row>
    <row r="340" spans="1:32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  <c r="AB340" s="159"/>
      <c r="AC340" s="159"/>
      <c r="AD340" s="159"/>
      <c r="AE340" s="159"/>
      <c r="AF340" s="159"/>
    </row>
    <row r="341" spans="1:32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  <c r="AB341" s="159"/>
      <c r="AC341" s="159"/>
      <c r="AD341" s="159"/>
      <c r="AE341" s="159"/>
      <c r="AF341" s="159"/>
    </row>
    <row r="342" spans="1:32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  <c r="AB342" s="159"/>
      <c r="AC342" s="159"/>
      <c r="AD342" s="159"/>
      <c r="AE342" s="159"/>
      <c r="AF342" s="159"/>
    </row>
    <row r="343" spans="1:32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  <c r="AB343" s="159"/>
      <c r="AC343" s="159"/>
      <c r="AD343" s="159"/>
      <c r="AE343" s="159"/>
      <c r="AF343" s="159"/>
    </row>
    <row r="344" spans="1:32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  <c r="AB344" s="159"/>
      <c r="AC344" s="159"/>
      <c r="AD344" s="159"/>
      <c r="AE344" s="159"/>
      <c r="AF344" s="159"/>
    </row>
    <row r="345" spans="1:32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  <c r="AB345" s="159"/>
      <c r="AC345" s="159"/>
      <c r="AD345" s="159"/>
      <c r="AE345" s="159"/>
      <c r="AF345" s="159"/>
    </row>
    <row r="346" spans="1:32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  <c r="AB346" s="159"/>
      <c r="AC346" s="159"/>
      <c r="AD346" s="159"/>
      <c r="AE346" s="159"/>
      <c r="AF346" s="159"/>
    </row>
    <row r="347" spans="1:32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  <c r="AB347" s="159"/>
      <c r="AC347" s="159"/>
      <c r="AD347" s="159"/>
      <c r="AE347" s="159"/>
      <c r="AF347" s="159"/>
    </row>
    <row r="348" spans="1:32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  <c r="AB348" s="159"/>
      <c r="AC348" s="159"/>
      <c r="AD348" s="159"/>
      <c r="AE348" s="159"/>
      <c r="AF348" s="159"/>
    </row>
    <row r="349" spans="1:32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  <c r="AB349" s="159"/>
      <c r="AC349" s="159"/>
      <c r="AD349" s="159"/>
      <c r="AE349" s="159"/>
      <c r="AF349" s="159"/>
    </row>
    <row r="350" spans="1:32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  <c r="AB350" s="159"/>
      <c r="AC350" s="159"/>
      <c r="AD350" s="159"/>
      <c r="AE350" s="159"/>
      <c r="AF350" s="159"/>
    </row>
    <row r="351" spans="1:32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  <c r="AB351" s="159"/>
      <c r="AC351" s="159"/>
      <c r="AD351" s="159"/>
      <c r="AE351" s="159"/>
      <c r="AF351" s="159"/>
    </row>
    <row r="352" spans="1:32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  <c r="AB352" s="159"/>
      <c r="AC352" s="159"/>
      <c r="AD352" s="159"/>
      <c r="AE352" s="159"/>
      <c r="AF352" s="159"/>
    </row>
    <row r="353" spans="1:32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  <c r="AB353" s="159"/>
      <c r="AC353" s="159"/>
      <c r="AD353" s="159"/>
      <c r="AE353" s="159"/>
      <c r="AF353" s="159"/>
    </row>
    <row r="354" spans="1:32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  <c r="AB354" s="159"/>
      <c r="AC354" s="159"/>
      <c r="AD354" s="159"/>
      <c r="AE354" s="159"/>
      <c r="AF354" s="159"/>
    </row>
    <row r="355" spans="1:32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  <c r="AB355" s="159"/>
      <c r="AC355" s="159"/>
      <c r="AD355" s="159"/>
      <c r="AE355" s="159"/>
      <c r="AF355" s="159"/>
    </row>
    <row r="356" spans="1:32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  <c r="AB356" s="159"/>
      <c r="AC356" s="159"/>
      <c r="AD356" s="159"/>
      <c r="AE356" s="159"/>
      <c r="AF356" s="159"/>
    </row>
    <row r="357" spans="1:32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  <c r="AB357" s="159"/>
      <c r="AC357" s="159"/>
      <c r="AD357" s="159"/>
      <c r="AE357" s="159"/>
      <c r="AF357" s="159"/>
    </row>
    <row r="358" spans="1:32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  <c r="AB358" s="159"/>
      <c r="AC358" s="159"/>
      <c r="AD358" s="159"/>
      <c r="AE358" s="159"/>
      <c r="AF358" s="159"/>
    </row>
    <row r="359" spans="1:32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  <c r="AB359" s="159"/>
      <c r="AC359" s="159"/>
      <c r="AD359" s="159"/>
      <c r="AE359" s="159"/>
      <c r="AF359" s="159"/>
    </row>
    <row r="360" spans="1:32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  <c r="AB360" s="159"/>
      <c r="AC360" s="159"/>
      <c r="AD360" s="159"/>
      <c r="AE360" s="159"/>
      <c r="AF360" s="159"/>
    </row>
    <row r="361" spans="1:32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  <c r="AB361" s="159"/>
      <c r="AC361" s="159"/>
      <c r="AD361" s="159"/>
      <c r="AE361" s="159"/>
      <c r="AF361" s="159"/>
    </row>
    <row r="362" spans="1:32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  <c r="AB362" s="159"/>
      <c r="AC362" s="159"/>
      <c r="AD362" s="159"/>
      <c r="AE362" s="159"/>
      <c r="AF362" s="159"/>
    </row>
    <row r="363" spans="1:32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  <c r="AB363" s="159"/>
      <c r="AC363" s="159"/>
      <c r="AD363" s="159"/>
      <c r="AE363" s="159"/>
      <c r="AF363" s="159"/>
    </row>
    <row r="364" spans="1:32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  <c r="AB364" s="159"/>
      <c r="AC364" s="159"/>
      <c r="AD364" s="159"/>
      <c r="AE364" s="159"/>
      <c r="AF364" s="159"/>
    </row>
    <row r="365" spans="1:32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  <c r="AB365" s="159"/>
      <c r="AC365" s="159"/>
      <c r="AD365" s="159"/>
      <c r="AE365" s="159"/>
      <c r="AF365" s="159"/>
    </row>
    <row r="366" spans="1:32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  <c r="AB366" s="159"/>
      <c r="AC366" s="159"/>
      <c r="AD366" s="159"/>
      <c r="AE366" s="159"/>
      <c r="AF366" s="159"/>
    </row>
    <row r="367" spans="1:32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  <c r="AB367" s="159"/>
      <c r="AC367" s="159"/>
      <c r="AD367" s="159"/>
      <c r="AE367" s="159"/>
      <c r="AF367" s="159"/>
    </row>
    <row r="368" spans="1:32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  <c r="AB368" s="159"/>
      <c r="AC368" s="159"/>
      <c r="AD368" s="159"/>
      <c r="AE368" s="159"/>
      <c r="AF368" s="159"/>
    </row>
    <row r="369" spans="1:32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  <c r="AB369" s="159"/>
      <c r="AC369" s="159"/>
      <c r="AD369" s="159"/>
      <c r="AE369" s="159"/>
      <c r="AF369" s="159"/>
    </row>
    <row r="370" spans="1:32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  <c r="AB370" s="159"/>
      <c r="AC370" s="159"/>
      <c r="AD370" s="159"/>
      <c r="AE370" s="159"/>
      <c r="AF370" s="159"/>
    </row>
    <row r="371" spans="1:32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  <c r="AB371" s="159"/>
      <c r="AC371" s="159"/>
      <c r="AD371" s="159"/>
      <c r="AE371" s="159"/>
      <c r="AF371" s="159"/>
    </row>
    <row r="372" spans="1:32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  <c r="AB372" s="159"/>
      <c r="AC372" s="159"/>
      <c r="AD372" s="159"/>
      <c r="AE372" s="159"/>
      <c r="AF372" s="159"/>
    </row>
    <row r="373" spans="1:32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  <c r="AB373" s="159"/>
      <c r="AC373" s="159"/>
      <c r="AD373" s="159"/>
      <c r="AE373" s="159"/>
      <c r="AF373" s="159"/>
    </row>
    <row r="374" spans="1:32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  <c r="AB374" s="159"/>
      <c r="AC374" s="159"/>
      <c r="AD374" s="159"/>
      <c r="AE374" s="159"/>
      <c r="AF374" s="159"/>
    </row>
    <row r="375" spans="1:32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  <c r="AB375" s="159"/>
      <c r="AC375" s="159"/>
      <c r="AD375" s="159"/>
      <c r="AE375" s="159"/>
      <c r="AF375" s="159"/>
    </row>
    <row r="376" spans="1:32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  <c r="AB376" s="159"/>
      <c r="AC376" s="159"/>
      <c r="AD376" s="159"/>
      <c r="AE376" s="159"/>
      <c r="AF376" s="159"/>
    </row>
    <row r="377" spans="1:32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  <c r="AB377" s="159"/>
      <c r="AC377" s="159"/>
      <c r="AD377" s="159"/>
      <c r="AE377" s="159"/>
      <c r="AF377" s="159"/>
    </row>
    <row r="378" spans="1:32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  <c r="AB378" s="159"/>
      <c r="AC378" s="159"/>
      <c r="AD378" s="159"/>
      <c r="AE378" s="159"/>
      <c r="AF378" s="159"/>
    </row>
    <row r="379" spans="1:32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  <c r="AB379" s="159"/>
      <c r="AC379" s="159"/>
      <c r="AD379" s="159"/>
      <c r="AE379" s="159"/>
      <c r="AF379" s="159"/>
    </row>
    <row r="380" spans="1:32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  <c r="AB380" s="159"/>
      <c r="AC380" s="159"/>
      <c r="AD380" s="159"/>
      <c r="AE380" s="159"/>
      <c r="AF380" s="159"/>
    </row>
    <row r="381" spans="1:32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  <c r="AB381" s="159"/>
      <c r="AC381" s="159"/>
      <c r="AD381" s="159"/>
      <c r="AE381" s="159"/>
      <c r="AF381" s="159"/>
    </row>
    <row r="382" spans="1:32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  <c r="AB382" s="159"/>
      <c r="AC382" s="159"/>
      <c r="AD382" s="159"/>
      <c r="AE382" s="159"/>
      <c r="AF382" s="159"/>
    </row>
    <row r="383" spans="1:32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  <c r="AB383" s="159"/>
      <c r="AC383" s="159"/>
      <c r="AD383" s="159"/>
      <c r="AE383" s="159"/>
      <c r="AF383" s="159"/>
    </row>
    <row r="384" spans="1:32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  <c r="AB384" s="159"/>
      <c r="AC384" s="159"/>
      <c r="AD384" s="159"/>
      <c r="AE384" s="159"/>
      <c r="AF384" s="159"/>
    </row>
    <row r="385" spans="1:32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  <c r="AB385" s="159"/>
      <c r="AC385" s="159"/>
      <c r="AD385" s="159"/>
      <c r="AE385" s="159"/>
      <c r="AF385" s="159"/>
    </row>
    <row r="386" spans="1:32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  <c r="AB386" s="159"/>
      <c r="AC386" s="159"/>
      <c r="AD386" s="159"/>
      <c r="AE386" s="159"/>
      <c r="AF386" s="159"/>
    </row>
    <row r="387" spans="1:32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  <c r="AB387" s="159"/>
      <c r="AC387" s="159"/>
      <c r="AD387" s="159"/>
      <c r="AE387" s="159"/>
      <c r="AF387" s="159"/>
    </row>
    <row r="388" spans="1:32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  <c r="AB388" s="159"/>
      <c r="AC388" s="159"/>
      <c r="AD388" s="159"/>
      <c r="AE388" s="159"/>
      <c r="AF388" s="159"/>
    </row>
    <row r="389" spans="1:32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  <c r="AB389" s="159"/>
      <c r="AC389" s="159"/>
      <c r="AD389" s="159"/>
      <c r="AE389" s="159"/>
      <c r="AF389" s="159"/>
    </row>
    <row r="390" spans="1:32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  <c r="AB390" s="159"/>
      <c r="AC390" s="159"/>
      <c r="AD390" s="159"/>
      <c r="AE390" s="159"/>
      <c r="AF390" s="159"/>
    </row>
    <row r="391" spans="1:32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  <c r="AB391" s="159"/>
      <c r="AC391" s="159"/>
      <c r="AD391" s="159"/>
      <c r="AE391" s="159"/>
      <c r="AF391" s="159"/>
    </row>
    <row r="392" spans="1:32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  <c r="AB392" s="159"/>
      <c r="AC392" s="159"/>
      <c r="AD392" s="159"/>
      <c r="AE392" s="159"/>
      <c r="AF392" s="159"/>
    </row>
    <row r="393" spans="1:32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  <c r="AB393" s="159"/>
      <c r="AC393" s="159"/>
      <c r="AD393" s="159"/>
      <c r="AE393" s="159"/>
      <c r="AF393" s="159"/>
    </row>
    <row r="394" spans="1:32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  <c r="AB394" s="159"/>
      <c r="AC394" s="159"/>
      <c r="AD394" s="159"/>
      <c r="AE394" s="159"/>
      <c r="AF394" s="159"/>
    </row>
    <row r="395" spans="1:32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  <c r="AB395" s="159"/>
      <c r="AC395" s="159"/>
      <c r="AD395" s="159"/>
      <c r="AE395" s="159"/>
      <c r="AF395" s="159"/>
    </row>
    <row r="396" spans="1:32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  <c r="AB396" s="159"/>
      <c r="AC396" s="159"/>
      <c r="AD396" s="159"/>
      <c r="AE396" s="159"/>
      <c r="AF396" s="159"/>
    </row>
    <row r="397" spans="1:32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  <c r="AB397" s="159"/>
      <c r="AC397" s="159"/>
      <c r="AD397" s="159"/>
      <c r="AE397" s="159"/>
      <c r="AF397" s="159"/>
    </row>
    <row r="398" spans="1:32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  <c r="AB398" s="159"/>
      <c r="AC398" s="159"/>
      <c r="AD398" s="159"/>
      <c r="AE398" s="159"/>
      <c r="AF398" s="159"/>
    </row>
    <row r="399" spans="1:32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  <c r="AB399" s="159"/>
      <c r="AC399" s="159"/>
      <c r="AD399" s="159"/>
      <c r="AE399" s="159"/>
      <c r="AF399" s="159"/>
    </row>
    <row r="400" spans="1:32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  <c r="AB400" s="159"/>
      <c r="AC400" s="159"/>
      <c r="AD400" s="159"/>
      <c r="AE400" s="159"/>
      <c r="AF400" s="159"/>
    </row>
    <row r="401" spans="1:32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  <c r="AB401" s="159"/>
      <c r="AC401" s="159"/>
      <c r="AD401" s="159"/>
      <c r="AE401" s="159"/>
      <c r="AF401" s="159"/>
    </row>
    <row r="402" spans="1:32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  <c r="AB402" s="159"/>
      <c r="AC402" s="159"/>
      <c r="AD402" s="159"/>
      <c r="AE402" s="159"/>
      <c r="AF402" s="159"/>
    </row>
    <row r="403" spans="1:32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</row>
    <row r="404" spans="1:32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  <c r="AB404" s="159"/>
      <c r="AC404" s="159"/>
      <c r="AD404" s="159"/>
      <c r="AE404" s="159"/>
      <c r="AF404" s="159"/>
    </row>
    <row r="405" spans="1:32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  <c r="AB405" s="159"/>
      <c r="AC405" s="159"/>
      <c r="AD405" s="159"/>
      <c r="AE405" s="159"/>
      <c r="AF405" s="159"/>
    </row>
    <row r="406" spans="1:32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  <c r="AB406" s="159"/>
      <c r="AC406" s="159"/>
      <c r="AD406" s="159"/>
      <c r="AE406" s="159"/>
      <c r="AF406" s="159"/>
    </row>
    <row r="407" spans="1:32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  <c r="AB407" s="159"/>
      <c r="AC407" s="159"/>
      <c r="AD407" s="159"/>
      <c r="AE407" s="159"/>
      <c r="AF407" s="159"/>
    </row>
    <row r="408" spans="1:32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  <c r="AB408" s="159"/>
      <c r="AC408" s="159"/>
      <c r="AD408" s="159"/>
      <c r="AE408" s="159"/>
      <c r="AF408" s="159"/>
    </row>
    <row r="409" spans="1:32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  <c r="AB409" s="159"/>
      <c r="AC409" s="159"/>
      <c r="AD409" s="159"/>
      <c r="AE409" s="159"/>
      <c r="AF409" s="159"/>
    </row>
    <row r="410" spans="1:32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  <c r="AB410" s="159"/>
      <c r="AC410" s="159"/>
      <c r="AD410" s="159"/>
      <c r="AE410" s="159"/>
      <c r="AF410" s="159"/>
    </row>
    <row r="411" spans="1:32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  <c r="AB411" s="159"/>
      <c r="AC411" s="159"/>
      <c r="AD411" s="159"/>
      <c r="AE411" s="159"/>
      <c r="AF411" s="159"/>
    </row>
    <row r="412" spans="1:32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  <c r="AB412" s="159"/>
      <c r="AC412" s="159"/>
      <c r="AD412" s="159"/>
      <c r="AE412" s="159"/>
      <c r="AF412" s="159"/>
    </row>
    <row r="413" spans="1:32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  <c r="AB413" s="159"/>
      <c r="AC413" s="159"/>
      <c r="AD413" s="159"/>
      <c r="AE413" s="159"/>
      <c r="AF413" s="159"/>
    </row>
    <row r="414" spans="1:32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  <c r="AB414" s="159"/>
      <c r="AC414" s="159"/>
      <c r="AD414" s="159"/>
      <c r="AE414" s="159"/>
      <c r="AF414" s="159"/>
    </row>
    <row r="415" spans="1:32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  <c r="AB415" s="159"/>
      <c r="AC415" s="159"/>
      <c r="AD415" s="159"/>
      <c r="AE415" s="159"/>
      <c r="AF415" s="159"/>
    </row>
    <row r="416" spans="1:32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  <c r="AB416" s="159"/>
      <c r="AC416" s="159"/>
      <c r="AD416" s="159"/>
      <c r="AE416" s="159"/>
      <c r="AF416" s="159"/>
    </row>
    <row r="417" spans="1:32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  <c r="AB417" s="159"/>
      <c r="AC417" s="159"/>
      <c r="AD417" s="159"/>
      <c r="AE417" s="159"/>
      <c r="AF417" s="159"/>
    </row>
    <row r="418" spans="1:32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  <c r="AB418" s="159"/>
      <c r="AC418" s="159"/>
      <c r="AD418" s="159"/>
      <c r="AE418" s="159"/>
      <c r="AF418" s="159"/>
    </row>
    <row r="419" spans="1:32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  <c r="AB419" s="159"/>
      <c r="AC419" s="159"/>
      <c r="AD419" s="159"/>
      <c r="AE419" s="159"/>
      <c r="AF419" s="159"/>
    </row>
    <row r="420" spans="1:32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  <c r="AB420" s="159"/>
      <c r="AC420" s="159"/>
      <c r="AD420" s="159"/>
      <c r="AE420" s="159"/>
      <c r="AF420" s="159"/>
    </row>
    <row r="421" spans="1:32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  <c r="AB421" s="159"/>
      <c r="AC421" s="159"/>
      <c r="AD421" s="159"/>
      <c r="AE421" s="159"/>
      <c r="AF421" s="159"/>
    </row>
    <row r="422" spans="1:32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  <c r="AB422" s="159"/>
      <c r="AC422" s="159"/>
      <c r="AD422" s="159"/>
      <c r="AE422" s="159"/>
      <c r="AF422" s="159"/>
    </row>
    <row r="423" spans="1:32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  <c r="AB423" s="159"/>
      <c r="AC423" s="159"/>
      <c r="AD423" s="159"/>
      <c r="AE423" s="159"/>
      <c r="AF423" s="159"/>
    </row>
    <row r="424" spans="1:32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  <c r="AB424" s="159"/>
      <c r="AC424" s="159"/>
      <c r="AD424" s="159"/>
      <c r="AE424" s="159"/>
      <c r="AF424" s="159"/>
    </row>
    <row r="425" spans="1:32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  <c r="AB425" s="159"/>
      <c r="AC425" s="159"/>
      <c r="AD425" s="159"/>
      <c r="AE425" s="159"/>
      <c r="AF425" s="159"/>
    </row>
    <row r="426" spans="1:32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  <c r="AB426" s="159"/>
      <c r="AC426" s="159"/>
      <c r="AD426" s="159"/>
      <c r="AE426" s="159"/>
      <c r="AF426" s="159"/>
    </row>
    <row r="427" spans="1:32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  <c r="AB427" s="159"/>
      <c r="AC427" s="159"/>
      <c r="AD427" s="159"/>
      <c r="AE427" s="159"/>
      <c r="AF427" s="159"/>
    </row>
    <row r="428" spans="1:32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  <c r="AB428" s="159"/>
      <c r="AC428" s="159"/>
      <c r="AD428" s="159"/>
      <c r="AE428" s="159"/>
      <c r="AF428" s="159"/>
    </row>
    <row r="429" spans="1:32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  <c r="AB429" s="159"/>
      <c r="AC429" s="159"/>
      <c r="AD429" s="159"/>
      <c r="AE429" s="159"/>
      <c r="AF429" s="159"/>
    </row>
    <row r="430" spans="1:32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  <c r="AB430" s="159"/>
      <c r="AC430" s="159"/>
      <c r="AD430" s="159"/>
      <c r="AE430" s="159"/>
      <c r="AF430" s="159"/>
    </row>
    <row r="431" spans="1:32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  <c r="AB431" s="159"/>
      <c r="AC431" s="159"/>
      <c r="AD431" s="159"/>
      <c r="AE431" s="159"/>
      <c r="AF431" s="159"/>
    </row>
    <row r="432" spans="1:32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  <c r="AB432" s="159"/>
      <c r="AC432" s="159"/>
      <c r="AD432" s="159"/>
      <c r="AE432" s="159"/>
      <c r="AF432" s="159"/>
    </row>
    <row r="433" spans="1:32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  <c r="AB433" s="159"/>
      <c r="AC433" s="159"/>
      <c r="AD433" s="159"/>
      <c r="AE433" s="159"/>
      <c r="AF433" s="159"/>
    </row>
    <row r="434" spans="1:32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  <c r="AB434" s="159"/>
      <c r="AC434" s="159"/>
      <c r="AD434" s="159"/>
      <c r="AE434" s="159"/>
      <c r="AF434" s="159"/>
    </row>
    <row r="435" spans="1:32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  <c r="AB435" s="159"/>
      <c r="AC435" s="159"/>
      <c r="AD435" s="159"/>
      <c r="AE435" s="159"/>
      <c r="AF435" s="159"/>
    </row>
    <row r="436" spans="1:32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  <c r="AB436" s="159"/>
      <c r="AC436" s="159"/>
      <c r="AD436" s="159"/>
      <c r="AE436" s="159"/>
      <c r="AF436" s="159"/>
    </row>
    <row r="437" spans="1:32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  <c r="AB437" s="159"/>
      <c r="AC437" s="159"/>
      <c r="AD437" s="159"/>
      <c r="AE437" s="159"/>
      <c r="AF437" s="159"/>
    </row>
    <row r="438" spans="1:32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  <c r="AB438" s="159"/>
      <c r="AC438" s="159"/>
      <c r="AD438" s="159"/>
      <c r="AE438" s="159"/>
      <c r="AF438" s="159"/>
    </row>
    <row r="439" spans="1:32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  <c r="AB439" s="159"/>
      <c r="AC439" s="159"/>
      <c r="AD439" s="159"/>
      <c r="AE439" s="159"/>
      <c r="AF439" s="159"/>
    </row>
    <row r="440" spans="1:32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  <c r="AB440" s="159"/>
      <c r="AC440" s="159"/>
      <c r="AD440" s="159"/>
      <c r="AE440" s="159"/>
      <c r="AF440" s="159"/>
    </row>
    <row r="441" spans="1:32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  <c r="AB441" s="159"/>
      <c r="AC441" s="159"/>
      <c r="AD441" s="159"/>
      <c r="AE441" s="159"/>
      <c r="AF441" s="159"/>
    </row>
    <row r="442" spans="1:32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  <c r="AB442" s="159"/>
      <c r="AC442" s="159"/>
      <c r="AD442" s="159"/>
      <c r="AE442" s="159"/>
      <c r="AF442" s="159"/>
    </row>
    <row r="443" spans="1:32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  <c r="AB443" s="159"/>
      <c r="AC443" s="159"/>
      <c r="AD443" s="159"/>
      <c r="AE443" s="159"/>
      <c r="AF443" s="159"/>
    </row>
    <row r="444" spans="1:32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  <c r="AB444" s="159"/>
      <c r="AC444" s="159"/>
      <c r="AD444" s="159"/>
      <c r="AE444" s="159"/>
      <c r="AF444" s="159"/>
    </row>
    <row r="445" spans="1:32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  <c r="AB445" s="159"/>
      <c r="AC445" s="159"/>
      <c r="AD445" s="159"/>
      <c r="AE445" s="159"/>
      <c r="AF445" s="159"/>
    </row>
    <row r="446" spans="1:32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  <c r="AB446" s="159"/>
      <c r="AC446" s="159"/>
      <c r="AD446" s="159"/>
      <c r="AE446" s="159"/>
      <c r="AF446" s="159"/>
    </row>
    <row r="447" spans="1:32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  <c r="AB447" s="159"/>
      <c r="AC447" s="159"/>
      <c r="AD447" s="159"/>
      <c r="AE447" s="159"/>
      <c r="AF447" s="159"/>
    </row>
    <row r="448" spans="1:32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  <c r="AB448" s="159"/>
      <c r="AC448" s="159"/>
      <c r="AD448" s="159"/>
      <c r="AE448" s="159"/>
      <c r="AF448" s="159"/>
    </row>
    <row r="449" spans="1:32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  <c r="AB449" s="159"/>
      <c r="AC449" s="159"/>
      <c r="AD449" s="159"/>
      <c r="AE449" s="159"/>
      <c r="AF449" s="159"/>
    </row>
    <row r="450" spans="1:32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  <c r="AB450" s="159"/>
      <c r="AC450" s="159"/>
      <c r="AD450" s="159"/>
      <c r="AE450" s="159"/>
      <c r="AF450" s="159"/>
    </row>
    <row r="451" spans="1:32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  <c r="AB451" s="159"/>
      <c r="AC451" s="159"/>
      <c r="AD451" s="159"/>
      <c r="AE451" s="159"/>
      <c r="AF451" s="159"/>
    </row>
    <row r="452" spans="1:32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  <c r="AB452" s="159"/>
      <c r="AC452" s="159"/>
      <c r="AD452" s="159"/>
      <c r="AE452" s="159"/>
      <c r="AF452" s="159"/>
    </row>
    <row r="453" spans="1:32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  <c r="AB453" s="159"/>
      <c r="AC453" s="159"/>
      <c r="AD453" s="159"/>
      <c r="AE453" s="159"/>
      <c r="AF453" s="159"/>
    </row>
    <row r="454" spans="1:32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  <c r="AB454" s="159"/>
      <c r="AC454" s="159"/>
      <c r="AD454" s="159"/>
      <c r="AE454" s="159"/>
      <c r="AF454" s="159"/>
    </row>
    <row r="455" spans="1:32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  <c r="AB455" s="159"/>
      <c r="AC455" s="159"/>
      <c r="AD455" s="159"/>
      <c r="AE455" s="159"/>
      <c r="AF455" s="159"/>
    </row>
    <row r="456" spans="1:32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  <c r="AB456" s="159"/>
      <c r="AC456" s="159"/>
      <c r="AD456" s="159"/>
      <c r="AE456" s="159"/>
      <c r="AF456" s="159"/>
    </row>
    <row r="457" spans="1:32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  <c r="AB457" s="159"/>
      <c r="AC457" s="159"/>
      <c r="AD457" s="159"/>
      <c r="AE457" s="159"/>
      <c r="AF457" s="159"/>
    </row>
    <row r="458" spans="1:32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  <c r="AB458" s="159"/>
      <c r="AC458" s="159"/>
      <c r="AD458" s="159"/>
      <c r="AE458" s="159"/>
      <c r="AF458" s="159"/>
    </row>
    <row r="459" spans="1:32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  <c r="AB459" s="159"/>
      <c r="AC459" s="159"/>
      <c r="AD459" s="159"/>
      <c r="AE459" s="159"/>
      <c r="AF459" s="159"/>
    </row>
    <row r="460" spans="1:32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  <c r="AB460" s="159"/>
      <c r="AC460" s="159"/>
      <c r="AD460" s="159"/>
      <c r="AE460" s="159"/>
      <c r="AF460" s="159"/>
    </row>
    <row r="461" spans="1:32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  <c r="AB461" s="159"/>
      <c r="AC461" s="159"/>
      <c r="AD461" s="159"/>
      <c r="AE461" s="159"/>
      <c r="AF461" s="159"/>
    </row>
    <row r="462" spans="1:32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  <c r="AB462" s="159"/>
      <c r="AC462" s="159"/>
      <c r="AD462" s="159"/>
      <c r="AE462" s="159"/>
      <c r="AF462" s="159"/>
    </row>
    <row r="463" spans="1:32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  <c r="AB463" s="159"/>
      <c r="AC463" s="159"/>
      <c r="AD463" s="159"/>
      <c r="AE463" s="159"/>
      <c r="AF463" s="159"/>
    </row>
    <row r="464" spans="1:32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  <c r="AB464" s="159"/>
      <c r="AC464" s="159"/>
      <c r="AD464" s="159"/>
      <c r="AE464" s="159"/>
      <c r="AF464" s="159"/>
    </row>
    <row r="465" spans="1:32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  <c r="AB465" s="159"/>
      <c r="AC465" s="159"/>
      <c r="AD465" s="159"/>
      <c r="AE465" s="159"/>
      <c r="AF465" s="159"/>
    </row>
    <row r="466" spans="1:32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  <c r="AB466" s="159"/>
      <c r="AC466" s="159"/>
      <c r="AD466" s="159"/>
      <c r="AE466" s="159"/>
      <c r="AF466" s="159"/>
    </row>
    <row r="467" spans="1:32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  <c r="AB467" s="159"/>
      <c r="AC467" s="159"/>
      <c r="AD467" s="159"/>
      <c r="AE467" s="159"/>
      <c r="AF467" s="159"/>
    </row>
    <row r="468" spans="1:32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  <c r="AB468" s="159"/>
      <c r="AC468" s="159"/>
      <c r="AD468" s="159"/>
      <c r="AE468" s="159"/>
      <c r="AF468" s="159"/>
    </row>
    <row r="469" spans="1:32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  <c r="AB469" s="159"/>
      <c r="AC469" s="159"/>
      <c r="AD469" s="159"/>
      <c r="AE469" s="159"/>
      <c r="AF469" s="159"/>
    </row>
    <row r="470" spans="1:32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  <c r="AB470" s="159"/>
      <c r="AC470" s="159"/>
      <c r="AD470" s="159"/>
      <c r="AE470" s="159"/>
      <c r="AF470" s="159"/>
    </row>
    <row r="471" spans="1:32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  <c r="AB471" s="159"/>
      <c r="AC471" s="159"/>
      <c r="AD471" s="159"/>
      <c r="AE471" s="159"/>
      <c r="AF471" s="159"/>
    </row>
    <row r="472" spans="1:32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  <c r="AB472" s="159"/>
      <c r="AC472" s="159"/>
      <c r="AD472" s="159"/>
      <c r="AE472" s="159"/>
      <c r="AF472" s="159"/>
    </row>
    <row r="473" spans="1:32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  <c r="AB473" s="159"/>
      <c r="AC473" s="159"/>
      <c r="AD473" s="159"/>
      <c r="AE473" s="159"/>
      <c r="AF473" s="159"/>
    </row>
    <row r="474" spans="1:32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  <c r="AB474" s="159"/>
      <c r="AC474" s="159"/>
      <c r="AD474" s="159"/>
      <c r="AE474" s="159"/>
      <c r="AF474" s="159"/>
    </row>
    <row r="475" spans="1:32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  <c r="AB475" s="159"/>
      <c r="AC475" s="159"/>
      <c r="AD475" s="159"/>
      <c r="AE475" s="159"/>
      <c r="AF475" s="159"/>
    </row>
    <row r="476" spans="1:32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  <c r="AB476" s="159"/>
      <c r="AC476" s="159"/>
      <c r="AD476" s="159"/>
      <c r="AE476" s="159"/>
      <c r="AF476" s="159"/>
    </row>
    <row r="477" spans="1:32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  <c r="AB477" s="159"/>
      <c r="AC477" s="159"/>
      <c r="AD477" s="159"/>
      <c r="AE477" s="159"/>
      <c r="AF477" s="159"/>
    </row>
    <row r="478" spans="1:32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  <c r="AB478" s="159"/>
      <c r="AC478" s="159"/>
      <c r="AD478" s="159"/>
      <c r="AE478" s="159"/>
      <c r="AF478" s="159"/>
    </row>
    <row r="479" spans="1:32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  <c r="AB479" s="159"/>
      <c r="AC479" s="159"/>
      <c r="AD479" s="159"/>
      <c r="AE479" s="159"/>
      <c r="AF479" s="159"/>
    </row>
    <row r="480" spans="1:32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  <c r="AB480" s="159"/>
      <c r="AC480" s="159"/>
      <c r="AD480" s="159"/>
      <c r="AE480" s="159"/>
      <c r="AF480" s="159"/>
    </row>
    <row r="481" spans="1:32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  <c r="AB481" s="159"/>
      <c r="AC481" s="159"/>
      <c r="AD481" s="159"/>
      <c r="AE481" s="159"/>
      <c r="AF481" s="159"/>
    </row>
    <row r="482" spans="1:32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  <c r="AB482" s="159"/>
      <c r="AC482" s="159"/>
      <c r="AD482" s="159"/>
      <c r="AE482" s="159"/>
      <c r="AF482" s="159"/>
    </row>
    <row r="483" spans="1:32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  <c r="AB483" s="159"/>
      <c r="AC483" s="159"/>
      <c r="AD483" s="159"/>
      <c r="AE483" s="159"/>
      <c r="AF483" s="159"/>
    </row>
    <row r="484" spans="1:32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  <c r="AB484" s="159"/>
      <c r="AC484" s="159"/>
      <c r="AD484" s="159"/>
      <c r="AE484" s="159"/>
      <c r="AF484" s="159"/>
    </row>
    <row r="485" spans="1:32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  <c r="AB485" s="159"/>
      <c r="AC485" s="159"/>
      <c r="AD485" s="159"/>
      <c r="AE485" s="159"/>
      <c r="AF485" s="159"/>
    </row>
    <row r="486" spans="1:32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  <c r="AB486" s="159"/>
      <c r="AC486" s="159"/>
      <c r="AD486" s="159"/>
      <c r="AE486" s="159"/>
      <c r="AF486" s="159"/>
    </row>
    <row r="487" spans="1:32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  <c r="AB487" s="159"/>
      <c r="AC487" s="159"/>
      <c r="AD487" s="159"/>
      <c r="AE487" s="159"/>
      <c r="AF487" s="159"/>
    </row>
    <row r="488" spans="1:32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  <c r="AB488" s="159"/>
      <c r="AC488" s="159"/>
      <c r="AD488" s="159"/>
      <c r="AE488" s="159"/>
      <c r="AF488" s="159"/>
    </row>
    <row r="489" spans="1:32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  <c r="AB489" s="159"/>
      <c r="AC489" s="159"/>
      <c r="AD489" s="159"/>
      <c r="AE489" s="159"/>
      <c r="AF489" s="159"/>
    </row>
    <row r="490" spans="1:32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  <c r="AB490" s="159"/>
      <c r="AC490" s="159"/>
      <c r="AD490" s="159"/>
      <c r="AE490" s="159"/>
      <c r="AF490" s="159"/>
    </row>
    <row r="491" spans="1:32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  <c r="AB491" s="159"/>
      <c r="AC491" s="159"/>
      <c r="AD491" s="159"/>
      <c r="AE491" s="159"/>
      <c r="AF491" s="159"/>
    </row>
    <row r="492" spans="1:32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  <c r="AB492" s="159"/>
      <c r="AC492" s="159"/>
      <c r="AD492" s="159"/>
      <c r="AE492" s="159"/>
      <c r="AF492" s="159"/>
    </row>
    <row r="493" spans="1:32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  <c r="AB493" s="159"/>
      <c r="AC493" s="159"/>
      <c r="AD493" s="159"/>
      <c r="AE493" s="159"/>
      <c r="AF493" s="159"/>
    </row>
    <row r="494" spans="1:32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  <c r="AB494" s="159"/>
      <c r="AC494" s="159"/>
      <c r="AD494" s="159"/>
      <c r="AE494" s="159"/>
      <c r="AF494" s="159"/>
    </row>
    <row r="495" spans="1:32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  <c r="AB495" s="159"/>
      <c r="AC495" s="159"/>
      <c r="AD495" s="159"/>
      <c r="AE495" s="159"/>
      <c r="AF495" s="159"/>
    </row>
    <row r="496" spans="1:32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  <c r="AB496" s="159"/>
      <c r="AC496" s="159"/>
      <c r="AD496" s="159"/>
      <c r="AE496" s="159"/>
      <c r="AF496" s="159"/>
    </row>
    <row r="497" spans="1:32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  <c r="AB497" s="159"/>
      <c r="AC497" s="159"/>
      <c r="AD497" s="159"/>
      <c r="AE497" s="159"/>
      <c r="AF497" s="159"/>
    </row>
    <row r="498" spans="1:32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  <c r="AB498" s="159"/>
      <c r="AC498" s="159"/>
      <c r="AD498" s="159"/>
      <c r="AE498" s="159"/>
      <c r="AF498" s="159"/>
    </row>
    <row r="499" spans="1:32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  <c r="AB499" s="159"/>
      <c r="AC499" s="159"/>
      <c r="AD499" s="159"/>
      <c r="AE499" s="159"/>
      <c r="AF499" s="159"/>
    </row>
    <row r="500" spans="1:32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  <c r="AB500" s="159"/>
      <c r="AC500" s="159"/>
      <c r="AD500" s="159"/>
      <c r="AE500" s="159"/>
      <c r="AF500" s="159"/>
    </row>
    <row r="501" spans="1:32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  <c r="AB501" s="159"/>
      <c r="AC501" s="159"/>
      <c r="AD501" s="159"/>
      <c r="AE501" s="159"/>
      <c r="AF501" s="159"/>
    </row>
    <row r="502" spans="1:32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  <c r="AB502" s="159"/>
      <c r="AC502" s="159"/>
      <c r="AD502" s="159"/>
      <c r="AE502" s="159"/>
      <c r="AF502" s="159"/>
    </row>
    <row r="503" spans="1:32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  <c r="AB503" s="159"/>
      <c r="AC503" s="159"/>
      <c r="AD503" s="159"/>
      <c r="AE503" s="159"/>
      <c r="AF503" s="159"/>
    </row>
    <row r="504" spans="1:32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  <c r="AB504" s="159"/>
      <c r="AC504" s="159"/>
      <c r="AD504" s="159"/>
      <c r="AE504" s="159"/>
      <c r="AF504" s="159"/>
    </row>
    <row r="505" spans="1:32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  <c r="AB505" s="159"/>
      <c r="AC505" s="159"/>
      <c r="AD505" s="159"/>
      <c r="AE505" s="159"/>
      <c r="AF505" s="159"/>
    </row>
    <row r="506" spans="1:32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  <c r="AB506" s="159"/>
      <c r="AC506" s="159"/>
      <c r="AD506" s="159"/>
      <c r="AE506" s="159"/>
      <c r="AF506" s="159"/>
    </row>
    <row r="507" spans="1:32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  <c r="AB507" s="159"/>
      <c r="AC507" s="159"/>
      <c r="AD507" s="159"/>
      <c r="AE507" s="159"/>
      <c r="AF507" s="159"/>
    </row>
    <row r="508" spans="1:32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  <c r="AB508" s="159"/>
      <c r="AC508" s="159"/>
      <c r="AD508" s="159"/>
      <c r="AE508" s="159"/>
      <c r="AF508" s="159"/>
    </row>
    <row r="509" spans="1:32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  <c r="AB509" s="159"/>
      <c r="AC509" s="159"/>
      <c r="AD509" s="159"/>
      <c r="AE509" s="159"/>
      <c r="AF509" s="159"/>
    </row>
    <row r="510" spans="1:32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  <c r="AB510" s="159"/>
      <c r="AC510" s="159"/>
      <c r="AD510" s="159"/>
      <c r="AE510" s="159"/>
      <c r="AF510" s="159"/>
    </row>
    <row r="511" spans="1:32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  <c r="AB511" s="159"/>
      <c r="AC511" s="159"/>
      <c r="AD511" s="159"/>
      <c r="AE511" s="159"/>
      <c r="AF511" s="159"/>
    </row>
    <row r="512" spans="1:32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  <c r="AB512" s="159"/>
      <c r="AC512" s="159"/>
      <c r="AD512" s="159"/>
      <c r="AE512" s="159"/>
      <c r="AF512" s="159"/>
    </row>
    <row r="513" spans="1:32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  <c r="AB513" s="159"/>
      <c r="AC513" s="159"/>
      <c r="AD513" s="159"/>
      <c r="AE513" s="159"/>
      <c r="AF513" s="159"/>
    </row>
    <row r="514" spans="1:32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  <c r="AB514" s="159"/>
      <c r="AC514" s="159"/>
      <c r="AD514" s="159"/>
      <c r="AE514" s="159"/>
      <c r="AF514" s="159"/>
    </row>
    <row r="515" spans="1:32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  <c r="AB515" s="159"/>
      <c r="AC515" s="159"/>
      <c r="AD515" s="159"/>
      <c r="AE515" s="159"/>
      <c r="AF515" s="159"/>
    </row>
    <row r="516" spans="1:32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  <c r="AB516" s="159"/>
      <c r="AC516" s="159"/>
      <c r="AD516" s="159"/>
      <c r="AE516" s="159"/>
      <c r="AF516" s="159"/>
    </row>
    <row r="517" spans="1:32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  <c r="AB517" s="159"/>
      <c r="AC517" s="159"/>
      <c r="AD517" s="159"/>
      <c r="AE517" s="159"/>
      <c r="AF517" s="159"/>
    </row>
    <row r="518" spans="1:32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  <c r="AB518" s="159"/>
      <c r="AC518" s="159"/>
      <c r="AD518" s="159"/>
      <c r="AE518" s="159"/>
      <c r="AF518" s="159"/>
    </row>
    <row r="519" spans="1:32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  <c r="AB519" s="159"/>
      <c r="AC519" s="159"/>
      <c r="AD519" s="159"/>
      <c r="AE519" s="159"/>
      <c r="AF519" s="159"/>
    </row>
    <row r="520" spans="1:32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  <c r="AB520" s="159"/>
      <c r="AC520" s="159"/>
      <c r="AD520" s="159"/>
      <c r="AE520" s="159"/>
      <c r="AF520" s="159"/>
    </row>
    <row r="521" spans="1:32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  <c r="AB521" s="159"/>
      <c r="AC521" s="159"/>
      <c r="AD521" s="159"/>
      <c r="AE521" s="159"/>
      <c r="AF521" s="159"/>
    </row>
    <row r="522" spans="1:32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  <c r="AB522" s="159"/>
      <c r="AC522" s="159"/>
      <c r="AD522" s="159"/>
      <c r="AE522" s="159"/>
      <c r="AF522" s="159"/>
    </row>
    <row r="523" spans="1:32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  <c r="AB523" s="159"/>
      <c r="AC523" s="159"/>
      <c r="AD523" s="159"/>
      <c r="AE523" s="159"/>
      <c r="AF523" s="159"/>
    </row>
    <row r="524" spans="1:32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  <c r="AB524" s="159"/>
      <c r="AC524" s="159"/>
      <c r="AD524" s="159"/>
      <c r="AE524" s="159"/>
      <c r="AF524" s="159"/>
    </row>
    <row r="525" spans="1:32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  <c r="AB525" s="159"/>
      <c r="AC525" s="159"/>
      <c r="AD525" s="159"/>
      <c r="AE525" s="159"/>
      <c r="AF525" s="159"/>
    </row>
    <row r="526" spans="1:32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  <c r="AB526" s="159"/>
      <c r="AC526" s="159"/>
      <c r="AD526" s="159"/>
      <c r="AE526" s="159"/>
      <c r="AF526" s="159"/>
    </row>
    <row r="527" spans="1:32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  <c r="AB527" s="159"/>
      <c r="AC527" s="159"/>
      <c r="AD527" s="159"/>
      <c r="AE527" s="159"/>
      <c r="AF527" s="159"/>
    </row>
    <row r="528" spans="1:32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  <c r="AB528" s="159"/>
      <c r="AC528" s="159"/>
      <c r="AD528" s="159"/>
      <c r="AE528" s="159"/>
      <c r="AF528" s="159"/>
    </row>
    <row r="529" spans="1:32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  <c r="AB529" s="159"/>
      <c r="AC529" s="159"/>
      <c r="AD529" s="159"/>
      <c r="AE529" s="159"/>
      <c r="AF529" s="159"/>
    </row>
    <row r="530" spans="1:32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  <c r="AB530" s="159"/>
      <c r="AC530" s="159"/>
      <c r="AD530" s="159"/>
      <c r="AE530" s="159"/>
      <c r="AF530" s="159"/>
    </row>
    <row r="531" spans="1:32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  <c r="AB531" s="159"/>
      <c r="AC531" s="159"/>
      <c r="AD531" s="159"/>
      <c r="AE531" s="159"/>
      <c r="AF531" s="159"/>
    </row>
    <row r="532" spans="1:32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  <c r="AB532" s="159"/>
      <c r="AC532" s="159"/>
      <c r="AD532" s="159"/>
      <c r="AE532" s="159"/>
      <c r="AF532" s="159"/>
    </row>
    <row r="533" spans="1:32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  <c r="AB533" s="159"/>
      <c r="AC533" s="159"/>
      <c r="AD533" s="159"/>
      <c r="AE533" s="159"/>
      <c r="AF533" s="159"/>
    </row>
    <row r="534" spans="1:32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  <c r="AB534" s="159"/>
      <c r="AC534" s="159"/>
      <c r="AD534" s="159"/>
      <c r="AE534" s="159"/>
      <c r="AF534" s="159"/>
    </row>
    <row r="535" spans="1:32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  <c r="AB535" s="159"/>
      <c r="AC535" s="159"/>
      <c r="AD535" s="159"/>
      <c r="AE535" s="159"/>
      <c r="AF535" s="159"/>
    </row>
    <row r="536" spans="1:32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  <c r="AB536" s="159"/>
      <c r="AC536" s="159"/>
      <c r="AD536" s="159"/>
      <c r="AE536" s="159"/>
      <c r="AF536" s="159"/>
    </row>
    <row r="537" spans="1:32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  <c r="AB537" s="159"/>
      <c r="AC537" s="159"/>
      <c r="AD537" s="159"/>
      <c r="AE537" s="159"/>
      <c r="AF537" s="159"/>
    </row>
    <row r="538" spans="1:32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  <c r="AB538" s="159"/>
      <c r="AC538" s="159"/>
      <c r="AD538" s="159"/>
      <c r="AE538" s="159"/>
      <c r="AF538" s="159"/>
    </row>
    <row r="539" spans="1:32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  <c r="AB539" s="159"/>
      <c r="AC539" s="159"/>
      <c r="AD539" s="159"/>
      <c r="AE539" s="159"/>
      <c r="AF539" s="159"/>
    </row>
    <row r="540" spans="1:32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</row>
    <row r="541" spans="1:32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  <c r="AB541" s="159"/>
      <c r="AC541" s="159"/>
      <c r="AD541" s="159"/>
      <c r="AE541" s="159"/>
      <c r="AF541" s="159"/>
    </row>
    <row r="542" spans="1:32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  <c r="AB542" s="159"/>
      <c r="AC542" s="159"/>
      <c r="AD542" s="159"/>
      <c r="AE542" s="159"/>
      <c r="AF542" s="159"/>
    </row>
    <row r="543" spans="1:32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  <c r="AB543" s="159"/>
      <c r="AC543" s="159"/>
      <c r="AD543" s="159"/>
      <c r="AE543" s="159"/>
      <c r="AF543" s="159"/>
    </row>
    <row r="544" spans="1:32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  <c r="AB544" s="159"/>
      <c r="AC544" s="159"/>
      <c r="AD544" s="159"/>
      <c r="AE544" s="159"/>
      <c r="AF544" s="159"/>
    </row>
    <row r="545" spans="1:32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  <c r="AB545" s="159"/>
      <c r="AC545" s="159"/>
      <c r="AD545" s="159"/>
      <c r="AE545" s="159"/>
      <c r="AF545" s="159"/>
    </row>
    <row r="546" spans="1:32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  <c r="AB546" s="159"/>
      <c r="AC546" s="159"/>
      <c r="AD546" s="159"/>
      <c r="AE546" s="159"/>
      <c r="AF546" s="159"/>
    </row>
    <row r="547" spans="1:32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  <c r="AB547" s="159"/>
      <c r="AC547" s="159"/>
      <c r="AD547" s="159"/>
      <c r="AE547" s="159"/>
      <c r="AF547" s="159"/>
    </row>
    <row r="548" spans="1:32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  <c r="AB548" s="159"/>
      <c r="AC548" s="159"/>
      <c r="AD548" s="159"/>
      <c r="AE548" s="159"/>
      <c r="AF548" s="159"/>
    </row>
    <row r="549" spans="1:32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  <c r="AB549" s="159"/>
      <c r="AC549" s="159"/>
      <c r="AD549" s="159"/>
      <c r="AE549" s="159"/>
      <c r="AF549" s="159"/>
    </row>
    <row r="550" spans="1:32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  <c r="AB550" s="159"/>
      <c r="AC550" s="159"/>
      <c r="AD550" s="159"/>
      <c r="AE550" s="159"/>
      <c r="AF550" s="159"/>
    </row>
    <row r="551" spans="1:32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  <c r="AB551" s="159"/>
      <c r="AC551" s="159"/>
      <c r="AD551" s="159"/>
      <c r="AE551" s="159"/>
      <c r="AF551" s="159"/>
    </row>
    <row r="552" spans="1:32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  <c r="AB552" s="159"/>
      <c r="AC552" s="159"/>
      <c r="AD552" s="159"/>
      <c r="AE552" s="159"/>
      <c r="AF552" s="159"/>
    </row>
    <row r="553" spans="1:32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  <c r="AB553" s="159"/>
      <c r="AC553" s="159"/>
      <c r="AD553" s="159"/>
      <c r="AE553" s="159"/>
      <c r="AF553" s="159"/>
    </row>
    <row r="554" spans="1:32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  <c r="AB554" s="159"/>
      <c r="AC554" s="159"/>
      <c r="AD554" s="159"/>
      <c r="AE554" s="159"/>
      <c r="AF554" s="159"/>
    </row>
    <row r="555" spans="1:32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  <c r="AB555" s="159"/>
      <c r="AC555" s="159"/>
      <c r="AD555" s="159"/>
      <c r="AE555" s="159"/>
      <c r="AF555" s="159"/>
    </row>
    <row r="556" spans="1:32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  <c r="AB556" s="159"/>
      <c r="AC556" s="159"/>
      <c r="AD556" s="159"/>
      <c r="AE556" s="159"/>
      <c r="AF556" s="159"/>
    </row>
    <row r="557" spans="1:32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  <c r="AB557" s="159"/>
      <c r="AC557" s="159"/>
      <c r="AD557" s="159"/>
      <c r="AE557" s="159"/>
      <c r="AF557" s="159"/>
    </row>
    <row r="558" spans="1:32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  <c r="AB558" s="159"/>
      <c r="AC558" s="159"/>
      <c r="AD558" s="159"/>
      <c r="AE558" s="159"/>
      <c r="AF558" s="159"/>
    </row>
    <row r="559" spans="1:32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  <c r="AB559" s="159"/>
      <c r="AC559" s="159"/>
      <c r="AD559" s="159"/>
      <c r="AE559" s="159"/>
      <c r="AF559" s="159"/>
    </row>
    <row r="560" spans="1:32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  <c r="AB560" s="159"/>
      <c r="AC560" s="159"/>
      <c r="AD560" s="159"/>
      <c r="AE560" s="159"/>
      <c r="AF560" s="159"/>
    </row>
    <row r="561" spans="1:32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  <c r="AB561" s="159"/>
      <c r="AC561" s="159"/>
      <c r="AD561" s="159"/>
      <c r="AE561" s="159"/>
      <c r="AF561" s="159"/>
    </row>
    <row r="562" spans="1:32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  <c r="AB562" s="159"/>
      <c r="AC562" s="159"/>
      <c r="AD562" s="159"/>
      <c r="AE562" s="159"/>
      <c r="AF562" s="159"/>
    </row>
    <row r="563" spans="1:32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  <c r="AB563" s="159"/>
      <c r="AC563" s="159"/>
      <c r="AD563" s="159"/>
      <c r="AE563" s="159"/>
      <c r="AF563" s="159"/>
    </row>
    <row r="564" spans="1:32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  <c r="AB564" s="159"/>
      <c r="AC564" s="159"/>
      <c r="AD564" s="159"/>
      <c r="AE564" s="159"/>
      <c r="AF564" s="159"/>
    </row>
    <row r="565" spans="1:32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  <c r="AB565" s="159"/>
      <c r="AC565" s="159"/>
      <c r="AD565" s="159"/>
      <c r="AE565" s="159"/>
      <c r="AF565" s="159"/>
    </row>
    <row r="566" spans="1:32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  <c r="AB566" s="159"/>
      <c r="AC566" s="159"/>
      <c r="AD566" s="159"/>
      <c r="AE566" s="159"/>
      <c r="AF566" s="159"/>
    </row>
    <row r="567" spans="1:32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  <c r="AB567" s="159"/>
      <c r="AC567" s="159"/>
      <c r="AD567" s="159"/>
      <c r="AE567" s="159"/>
      <c r="AF567" s="159"/>
    </row>
    <row r="568" spans="1:32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  <c r="AB568" s="159"/>
      <c r="AC568" s="159"/>
      <c r="AD568" s="159"/>
      <c r="AE568" s="159"/>
      <c r="AF568" s="159"/>
    </row>
    <row r="569" spans="1:32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  <c r="AB569" s="159"/>
      <c r="AC569" s="159"/>
      <c r="AD569" s="159"/>
      <c r="AE569" s="159"/>
      <c r="AF569" s="159"/>
    </row>
    <row r="570" spans="1:32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  <c r="AB570" s="159"/>
      <c r="AC570" s="159"/>
      <c r="AD570" s="159"/>
      <c r="AE570" s="159"/>
      <c r="AF570" s="159"/>
    </row>
    <row r="571" spans="1:32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  <c r="AB571" s="159"/>
      <c r="AC571" s="159"/>
      <c r="AD571" s="159"/>
      <c r="AE571" s="159"/>
      <c r="AF571" s="159"/>
    </row>
    <row r="572" spans="1:32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  <c r="AB572" s="159"/>
      <c r="AC572" s="159"/>
      <c r="AD572" s="159"/>
      <c r="AE572" s="159"/>
      <c r="AF572" s="159"/>
    </row>
    <row r="573" spans="1:32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  <c r="AB573" s="159"/>
      <c r="AC573" s="159"/>
      <c r="AD573" s="159"/>
      <c r="AE573" s="159"/>
      <c r="AF573" s="159"/>
    </row>
    <row r="574" spans="1:32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  <c r="AB574" s="159"/>
      <c r="AC574" s="159"/>
      <c r="AD574" s="159"/>
      <c r="AE574" s="159"/>
      <c r="AF574" s="159"/>
    </row>
    <row r="575" spans="1:32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  <c r="AB575" s="159"/>
      <c r="AC575" s="159"/>
      <c r="AD575" s="159"/>
      <c r="AE575" s="159"/>
      <c r="AF575" s="159"/>
    </row>
    <row r="576" spans="1:32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  <c r="AB576" s="159"/>
      <c r="AC576" s="159"/>
      <c r="AD576" s="159"/>
      <c r="AE576" s="159"/>
      <c r="AF576" s="159"/>
    </row>
    <row r="577" spans="1:32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  <c r="AB577" s="159"/>
      <c r="AC577" s="159"/>
      <c r="AD577" s="159"/>
      <c r="AE577" s="159"/>
      <c r="AF577" s="159"/>
    </row>
    <row r="578" spans="1:32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  <c r="AB578" s="159"/>
      <c r="AC578" s="159"/>
      <c r="AD578" s="159"/>
      <c r="AE578" s="159"/>
      <c r="AF578" s="159"/>
    </row>
    <row r="579" spans="1:32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  <c r="AB579" s="159"/>
      <c r="AC579" s="159"/>
      <c r="AD579" s="159"/>
      <c r="AE579" s="159"/>
      <c r="AF579" s="159"/>
    </row>
    <row r="580" spans="1:32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  <c r="AB580" s="159"/>
      <c r="AC580" s="159"/>
      <c r="AD580" s="159"/>
      <c r="AE580" s="159"/>
      <c r="AF580" s="159"/>
    </row>
    <row r="581" spans="1:32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  <c r="AB581" s="159"/>
      <c r="AC581" s="159"/>
      <c r="AD581" s="159"/>
      <c r="AE581" s="159"/>
      <c r="AF581" s="159"/>
    </row>
    <row r="582" spans="1:32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  <c r="AB582" s="159"/>
      <c r="AC582" s="159"/>
      <c r="AD582" s="159"/>
      <c r="AE582" s="159"/>
      <c r="AF582" s="159"/>
    </row>
    <row r="583" spans="1:32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  <c r="AB583" s="159"/>
      <c r="AC583" s="159"/>
      <c r="AD583" s="159"/>
      <c r="AE583" s="159"/>
      <c r="AF583" s="159"/>
    </row>
    <row r="584" spans="1:32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  <c r="AB584" s="159"/>
      <c r="AC584" s="159"/>
      <c r="AD584" s="159"/>
      <c r="AE584" s="159"/>
      <c r="AF584" s="159"/>
    </row>
    <row r="585" spans="1:32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  <c r="AB585" s="159"/>
      <c r="AC585" s="159"/>
      <c r="AD585" s="159"/>
      <c r="AE585" s="159"/>
      <c r="AF585" s="159"/>
    </row>
    <row r="586" spans="1:32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  <c r="AB586" s="159"/>
      <c r="AC586" s="159"/>
      <c r="AD586" s="159"/>
      <c r="AE586" s="159"/>
      <c r="AF586" s="159"/>
    </row>
    <row r="587" spans="1:32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  <c r="AB587" s="159"/>
      <c r="AC587" s="159"/>
      <c r="AD587" s="159"/>
      <c r="AE587" s="159"/>
      <c r="AF587" s="159"/>
    </row>
    <row r="588" spans="1:32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  <c r="AB588" s="159"/>
      <c r="AC588" s="159"/>
      <c r="AD588" s="159"/>
      <c r="AE588" s="159"/>
      <c r="AF588" s="159"/>
    </row>
    <row r="589" spans="1:32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  <c r="AB589" s="159"/>
      <c r="AC589" s="159"/>
      <c r="AD589" s="159"/>
      <c r="AE589" s="159"/>
      <c r="AF589" s="159"/>
    </row>
    <row r="590" spans="1:32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  <c r="AB590" s="159"/>
      <c r="AC590" s="159"/>
      <c r="AD590" s="159"/>
      <c r="AE590" s="159"/>
      <c r="AF590" s="159"/>
    </row>
    <row r="591" spans="1:32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  <c r="AB591" s="159"/>
      <c r="AC591" s="159"/>
      <c r="AD591" s="159"/>
      <c r="AE591" s="159"/>
      <c r="AF591" s="159"/>
    </row>
    <row r="592" spans="1:32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  <c r="AB592" s="159"/>
      <c r="AC592" s="159"/>
      <c r="AD592" s="159"/>
      <c r="AE592" s="159"/>
      <c r="AF592" s="159"/>
    </row>
    <row r="593" spans="1:32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  <c r="AB593" s="159"/>
      <c r="AC593" s="159"/>
      <c r="AD593" s="159"/>
      <c r="AE593" s="159"/>
      <c r="AF593" s="159"/>
    </row>
    <row r="594" spans="1:32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  <c r="AB594" s="159"/>
      <c r="AC594" s="159"/>
      <c r="AD594" s="159"/>
      <c r="AE594" s="159"/>
      <c r="AF594" s="159"/>
    </row>
    <row r="595" spans="1:32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  <c r="AB595" s="159"/>
      <c r="AC595" s="159"/>
      <c r="AD595" s="159"/>
      <c r="AE595" s="159"/>
      <c r="AF595" s="159"/>
    </row>
    <row r="596" spans="1:32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  <c r="AB596" s="159"/>
      <c r="AC596" s="159"/>
      <c r="AD596" s="159"/>
      <c r="AE596" s="159"/>
      <c r="AF596" s="159"/>
    </row>
    <row r="597" spans="1:32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  <c r="AB597" s="159"/>
      <c r="AC597" s="159"/>
      <c r="AD597" s="159"/>
      <c r="AE597" s="159"/>
      <c r="AF597" s="159"/>
    </row>
    <row r="598" spans="1:32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  <c r="AB598" s="159"/>
      <c r="AC598" s="159"/>
      <c r="AD598" s="159"/>
      <c r="AE598" s="159"/>
      <c r="AF598" s="159"/>
    </row>
    <row r="599" spans="1:32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  <c r="AB599" s="159"/>
      <c r="AC599" s="159"/>
      <c r="AD599" s="159"/>
      <c r="AE599" s="159"/>
      <c r="AF599" s="159"/>
    </row>
    <row r="600" spans="1:32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  <c r="AB600" s="159"/>
      <c r="AC600" s="159"/>
      <c r="AD600" s="159"/>
      <c r="AE600" s="159"/>
      <c r="AF600" s="159"/>
    </row>
    <row r="601" spans="1:32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  <c r="AB601" s="159"/>
      <c r="AC601" s="159"/>
      <c r="AD601" s="159"/>
      <c r="AE601" s="159"/>
      <c r="AF601" s="159"/>
    </row>
    <row r="602" spans="1:32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  <c r="AB602" s="159"/>
      <c r="AC602" s="159"/>
      <c r="AD602" s="159"/>
      <c r="AE602" s="159"/>
      <c r="AF602" s="159"/>
    </row>
    <row r="603" spans="1:32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  <c r="AB603" s="159"/>
      <c r="AC603" s="159"/>
      <c r="AD603" s="159"/>
      <c r="AE603" s="159"/>
      <c r="AF603" s="159"/>
    </row>
    <row r="604" spans="1:32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  <c r="AB604" s="159"/>
      <c r="AC604" s="159"/>
      <c r="AD604" s="159"/>
      <c r="AE604" s="159"/>
      <c r="AF604" s="159"/>
    </row>
    <row r="605" spans="1:32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  <c r="AB605" s="159"/>
      <c r="AC605" s="159"/>
      <c r="AD605" s="159"/>
      <c r="AE605" s="159"/>
      <c r="AF605" s="159"/>
    </row>
    <row r="606" spans="1:32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  <c r="AB606" s="159"/>
      <c r="AC606" s="159"/>
      <c r="AD606" s="159"/>
      <c r="AE606" s="159"/>
      <c r="AF606" s="159"/>
    </row>
    <row r="607" spans="1:32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  <c r="AB607" s="159"/>
      <c r="AC607" s="159"/>
      <c r="AD607" s="159"/>
      <c r="AE607" s="159"/>
      <c r="AF607" s="159"/>
    </row>
    <row r="608" spans="1:32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  <c r="AB608" s="159"/>
      <c r="AC608" s="159"/>
      <c r="AD608" s="159"/>
      <c r="AE608" s="159"/>
      <c r="AF608" s="159"/>
    </row>
    <row r="609" spans="1:32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</row>
    <row r="610" spans="1:32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  <c r="AB610" s="159"/>
      <c r="AC610" s="159"/>
      <c r="AD610" s="159"/>
      <c r="AE610" s="159"/>
      <c r="AF610" s="159"/>
    </row>
    <row r="611" spans="1:32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  <c r="AB611" s="159"/>
      <c r="AC611" s="159"/>
      <c r="AD611" s="159"/>
      <c r="AE611" s="159"/>
      <c r="AF611" s="159"/>
    </row>
    <row r="612" spans="1:32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  <c r="AB612" s="159"/>
      <c r="AC612" s="159"/>
      <c r="AD612" s="159"/>
      <c r="AE612" s="159"/>
      <c r="AF612" s="159"/>
    </row>
    <row r="613" spans="1:32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  <c r="AB613" s="159"/>
      <c r="AC613" s="159"/>
      <c r="AD613" s="159"/>
      <c r="AE613" s="159"/>
      <c r="AF613" s="159"/>
    </row>
    <row r="614" spans="1:32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  <c r="AB614" s="159"/>
      <c r="AC614" s="159"/>
      <c r="AD614" s="159"/>
      <c r="AE614" s="159"/>
      <c r="AF614" s="159"/>
    </row>
    <row r="615" spans="1:32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  <c r="AB615" s="159"/>
      <c r="AC615" s="159"/>
      <c r="AD615" s="159"/>
      <c r="AE615" s="159"/>
      <c r="AF615" s="159"/>
    </row>
    <row r="616" spans="1:32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  <c r="AB616" s="159"/>
      <c r="AC616" s="159"/>
      <c r="AD616" s="159"/>
      <c r="AE616" s="159"/>
      <c r="AF616" s="159"/>
    </row>
    <row r="617" spans="1:32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  <c r="AB617" s="159"/>
      <c r="AC617" s="159"/>
      <c r="AD617" s="159"/>
      <c r="AE617" s="159"/>
      <c r="AF617" s="159"/>
    </row>
    <row r="618" spans="1:32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  <c r="AB618" s="159"/>
      <c r="AC618" s="159"/>
      <c r="AD618" s="159"/>
      <c r="AE618" s="159"/>
      <c r="AF618" s="159"/>
    </row>
    <row r="619" spans="1:32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  <c r="AB619" s="159"/>
      <c r="AC619" s="159"/>
      <c r="AD619" s="159"/>
      <c r="AE619" s="159"/>
      <c r="AF619" s="159"/>
    </row>
    <row r="620" spans="1:32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  <c r="AB620" s="159"/>
      <c r="AC620" s="159"/>
      <c r="AD620" s="159"/>
      <c r="AE620" s="159"/>
      <c r="AF620" s="159"/>
    </row>
    <row r="621" spans="1:32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  <c r="AB621" s="159"/>
      <c r="AC621" s="159"/>
      <c r="AD621" s="159"/>
      <c r="AE621" s="159"/>
      <c r="AF621" s="159"/>
    </row>
    <row r="622" spans="1:32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  <c r="AB622" s="159"/>
      <c r="AC622" s="159"/>
      <c r="AD622" s="159"/>
      <c r="AE622" s="159"/>
      <c r="AF622" s="159"/>
    </row>
    <row r="623" spans="1:32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  <c r="AB623" s="159"/>
      <c r="AC623" s="159"/>
      <c r="AD623" s="159"/>
      <c r="AE623" s="159"/>
      <c r="AF623" s="159"/>
    </row>
    <row r="624" spans="1:32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  <c r="AB624" s="159"/>
      <c r="AC624" s="159"/>
      <c r="AD624" s="159"/>
      <c r="AE624" s="159"/>
      <c r="AF624" s="159"/>
    </row>
    <row r="625" spans="1:32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  <c r="AB625" s="159"/>
      <c r="AC625" s="159"/>
      <c r="AD625" s="159"/>
      <c r="AE625" s="159"/>
      <c r="AF625" s="159"/>
    </row>
    <row r="626" spans="1:32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  <c r="AB626" s="159"/>
      <c r="AC626" s="159"/>
      <c r="AD626" s="159"/>
      <c r="AE626" s="159"/>
      <c r="AF626" s="159"/>
    </row>
    <row r="627" spans="1:32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  <c r="AB627" s="159"/>
      <c r="AC627" s="159"/>
      <c r="AD627" s="159"/>
      <c r="AE627" s="159"/>
      <c r="AF627" s="159"/>
    </row>
    <row r="628" spans="1:32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  <c r="AB628" s="159"/>
      <c r="AC628" s="159"/>
      <c r="AD628" s="159"/>
      <c r="AE628" s="159"/>
      <c r="AF628" s="159"/>
    </row>
    <row r="629" spans="1:32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  <c r="AB629" s="159"/>
      <c r="AC629" s="159"/>
      <c r="AD629" s="159"/>
      <c r="AE629" s="159"/>
      <c r="AF629" s="159"/>
    </row>
    <row r="630" spans="1:32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  <c r="AB630" s="159"/>
      <c r="AC630" s="159"/>
      <c r="AD630" s="159"/>
      <c r="AE630" s="159"/>
      <c r="AF630" s="159"/>
    </row>
    <row r="631" spans="1:32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  <c r="AB631" s="159"/>
      <c r="AC631" s="159"/>
      <c r="AD631" s="159"/>
      <c r="AE631" s="159"/>
      <c r="AF631" s="159"/>
    </row>
    <row r="632" spans="1:32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  <c r="AB632" s="159"/>
      <c r="AC632" s="159"/>
      <c r="AD632" s="159"/>
      <c r="AE632" s="159"/>
      <c r="AF632" s="159"/>
    </row>
    <row r="633" spans="1:32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  <c r="AB633" s="159"/>
      <c r="AC633" s="159"/>
      <c r="AD633" s="159"/>
      <c r="AE633" s="159"/>
      <c r="AF633" s="159"/>
    </row>
    <row r="634" spans="1:32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  <c r="AB634" s="159"/>
      <c r="AC634" s="159"/>
      <c r="AD634" s="159"/>
      <c r="AE634" s="159"/>
      <c r="AF634" s="159"/>
    </row>
    <row r="635" spans="1:32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  <c r="AB635" s="159"/>
      <c r="AC635" s="159"/>
      <c r="AD635" s="159"/>
      <c r="AE635" s="159"/>
      <c r="AF635" s="159"/>
    </row>
    <row r="636" spans="1:32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  <c r="AB636" s="159"/>
      <c r="AC636" s="159"/>
      <c r="AD636" s="159"/>
      <c r="AE636" s="159"/>
      <c r="AF636" s="159"/>
    </row>
    <row r="637" spans="1:32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  <c r="AB637" s="159"/>
      <c r="AC637" s="159"/>
      <c r="AD637" s="159"/>
      <c r="AE637" s="159"/>
      <c r="AF637" s="159"/>
    </row>
    <row r="638" spans="1:32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  <c r="AB638" s="159"/>
      <c r="AC638" s="159"/>
      <c r="AD638" s="159"/>
      <c r="AE638" s="159"/>
      <c r="AF638" s="159"/>
    </row>
    <row r="639" spans="1:32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  <c r="AB639" s="159"/>
      <c r="AC639" s="159"/>
      <c r="AD639" s="159"/>
      <c r="AE639" s="159"/>
      <c r="AF639" s="159"/>
    </row>
    <row r="640" spans="1:32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  <c r="AB640" s="159"/>
      <c r="AC640" s="159"/>
      <c r="AD640" s="159"/>
      <c r="AE640" s="159"/>
      <c r="AF640" s="159"/>
    </row>
    <row r="641" spans="1:32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  <c r="AB641" s="159"/>
      <c r="AC641" s="159"/>
      <c r="AD641" s="159"/>
      <c r="AE641" s="159"/>
      <c r="AF641" s="159"/>
    </row>
    <row r="642" spans="1:32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  <c r="AB642" s="159"/>
      <c r="AC642" s="159"/>
      <c r="AD642" s="159"/>
      <c r="AE642" s="159"/>
      <c r="AF642" s="159"/>
    </row>
    <row r="643" spans="1:32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  <c r="AB643" s="159"/>
      <c r="AC643" s="159"/>
      <c r="AD643" s="159"/>
      <c r="AE643" s="159"/>
      <c r="AF643" s="159"/>
    </row>
    <row r="644" spans="1:32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  <c r="AB644" s="159"/>
      <c r="AC644" s="159"/>
      <c r="AD644" s="159"/>
      <c r="AE644" s="159"/>
      <c r="AF644" s="159"/>
    </row>
    <row r="645" spans="1:32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  <c r="AB645" s="159"/>
      <c r="AC645" s="159"/>
      <c r="AD645" s="159"/>
      <c r="AE645" s="159"/>
      <c r="AF645" s="159"/>
    </row>
    <row r="646" spans="1:32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  <c r="AB646" s="159"/>
      <c r="AC646" s="159"/>
      <c r="AD646" s="159"/>
      <c r="AE646" s="159"/>
      <c r="AF646" s="159"/>
    </row>
    <row r="647" spans="1:32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  <c r="AB647" s="159"/>
      <c r="AC647" s="159"/>
      <c r="AD647" s="159"/>
      <c r="AE647" s="159"/>
      <c r="AF647" s="159"/>
    </row>
    <row r="648" spans="1:32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  <c r="AB648" s="159"/>
      <c r="AC648" s="159"/>
      <c r="AD648" s="159"/>
      <c r="AE648" s="159"/>
      <c r="AF648" s="159"/>
    </row>
    <row r="649" spans="1:32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  <c r="AB649" s="159"/>
      <c r="AC649" s="159"/>
      <c r="AD649" s="159"/>
      <c r="AE649" s="159"/>
      <c r="AF649" s="159"/>
    </row>
    <row r="650" spans="1:32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  <c r="AB650" s="159"/>
      <c r="AC650" s="159"/>
      <c r="AD650" s="159"/>
      <c r="AE650" s="159"/>
      <c r="AF650" s="159"/>
    </row>
    <row r="651" spans="1:32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  <c r="AB651" s="159"/>
      <c r="AC651" s="159"/>
      <c r="AD651" s="159"/>
      <c r="AE651" s="159"/>
      <c r="AF651" s="159"/>
    </row>
    <row r="652" spans="1:32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  <c r="AB652" s="159"/>
      <c r="AC652" s="159"/>
      <c r="AD652" s="159"/>
      <c r="AE652" s="159"/>
      <c r="AF652" s="159"/>
    </row>
    <row r="653" spans="1:32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  <c r="AB653" s="159"/>
      <c r="AC653" s="159"/>
      <c r="AD653" s="159"/>
      <c r="AE653" s="159"/>
      <c r="AF653" s="159"/>
    </row>
    <row r="654" spans="1:32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  <c r="AB654" s="159"/>
      <c r="AC654" s="159"/>
      <c r="AD654" s="159"/>
      <c r="AE654" s="159"/>
      <c r="AF654" s="159"/>
    </row>
    <row r="655" spans="1:32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  <c r="AB655" s="159"/>
      <c r="AC655" s="159"/>
      <c r="AD655" s="159"/>
      <c r="AE655" s="159"/>
      <c r="AF655" s="159"/>
    </row>
    <row r="656" spans="1:32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  <c r="AB656" s="159"/>
      <c r="AC656" s="159"/>
      <c r="AD656" s="159"/>
      <c r="AE656" s="159"/>
      <c r="AF656" s="159"/>
    </row>
    <row r="657" spans="1:32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  <c r="AB657" s="159"/>
      <c r="AC657" s="159"/>
      <c r="AD657" s="159"/>
      <c r="AE657" s="159"/>
      <c r="AF657" s="159"/>
    </row>
    <row r="658" spans="1:32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  <c r="AB658" s="159"/>
      <c r="AC658" s="159"/>
      <c r="AD658" s="159"/>
      <c r="AE658" s="159"/>
      <c r="AF658" s="159"/>
    </row>
    <row r="659" spans="1:32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  <c r="AB659" s="159"/>
      <c r="AC659" s="159"/>
      <c r="AD659" s="159"/>
      <c r="AE659" s="159"/>
      <c r="AF659" s="159"/>
    </row>
    <row r="660" spans="1:32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  <c r="AB660" s="159"/>
      <c r="AC660" s="159"/>
      <c r="AD660" s="159"/>
      <c r="AE660" s="159"/>
      <c r="AF660" s="159"/>
    </row>
    <row r="661" spans="1:32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  <c r="AB661" s="159"/>
      <c r="AC661" s="159"/>
      <c r="AD661" s="159"/>
      <c r="AE661" s="159"/>
      <c r="AF661" s="159"/>
    </row>
    <row r="662" spans="1:32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  <c r="AB662" s="159"/>
      <c r="AC662" s="159"/>
      <c r="AD662" s="159"/>
      <c r="AE662" s="159"/>
      <c r="AF662" s="159"/>
    </row>
    <row r="663" spans="1:32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  <c r="AB663" s="159"/>
      <c r="AC663" s="159"/>
      <c r="AD663" s="159"/>
      <c r="AE663" s="159"/>
      <c r="AF663" s="159"/>
    </row>
    <row r="664" spans="1:32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  <c r="AB664" s="159"/>
      <c r="AC664" s="159"/>
      <c r="AD664" s="159"/>
      <c r="AE664" s="159"/>
      <c r="AF664" s="159"/>
    </row>
    <row r="665" spans="1:32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  <c r="AB665" s="159"/>
      <c r="AC665" s="159"/>
      <c r="AD665" s="159"/>
      <c r="AE665" s="159"/>
      <c r="AF665" s="159"/>
    </row>
    <row r="666" spans="1:32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  <c r="AB666" s="159"/>
      <c r="AC666" s="159"/>
      <c r="AD666" s="159"/>
      <c r="AE666" s="159"/>
      <c r="AF666" s="159"/>
    </row>
    <row r="667" spans="1:32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  <c r="AB667" s="159"/>
      <c r="AC667" s="159"/>
      <c r="AD667" s="159"/>
      <c r="AE667" s="159"/>
      <c r="AF667" s="159"/>
    </row>
    <row r="668" spans="1:32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  <c r="AB668" s="159"/>
      <c r="AC668" s="159"/>
      <c r="AD668" s="159"/>
      <c r="AE668" s="159"/>
      <c r="AF668" s="159"/>
    </row>
    <row r="669" spans="1:32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  <c r="AB669" s="159"/>
      <c r="AC669" s="159"/>
      <c r="AD669" s="159"/>
      <c r="AE669" s="159"/>
      <c r="AF669" s="159"/>
    </row>
    <row r="670" spans="1:32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  <c r="AB670" s="159"/>
      <c r="AC670" s="159"/>
      <c r="AD670" s="159"/>
      <c r="AE670" s="159"/>
      <c r="AF670" s="159"/>
    </row>
    <row r="671" spans="1:32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  <c r="AB671" s="159"/>
      <c r="AC671" s="159"/>
      <c r="AD671" s="159"/>
      <c r="AE671" s="159"/>
      <c r="AF671" s="159"/>
    </row>
    <row r="672" spans="1:32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  <c r="AB672" s="159"/>
      <c r="AC672" s="159"/>
      <c r="AD672" s="159"/>
      <c r="AE672" s="159"/>
      <c r="AF672" s="159"/>
    </row>
    <row r="673" spans="1:32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  <c r="AB673" s="159"/>
      <c r="AC673" s="159"/>
      <c r="AD673" s="159"/>
      <c r="AE673" s="159"/>
      <c r="AF673" s="159"/>
    </row>
    <row r="674" spans="1:32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</row>
    <row r="675" spans="1:32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  <c r="AB675" s="159"/>
      <c r="AC675" s="159"/>
      <c r="AD675" s="159"/>
      <c r="AE675" s="159"/>
      <c r="AF675" s="159"/>
    </row>
    <row r="676" spans="1:32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  <c r="AB676" s="159"/>
      <c r="AC676" s="159"/>
      <c r="AD676" s="159"/>
      <c r="AE676" s="159"/>
      <c r="AF676" s="159"/>
    </row>
    <row r="677" spans="1:32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  <c r="AB677" s="159"/>
      <c r="AC677" s="159"/>
      <c r="AD677" s="159"/>
      <c r="AE677" s="159"/>
      <c r="AF677" s="159"/>
    </row>
    <row r="678" spans="1:32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  <c r="AB678" s="159"/>
      <c r="AC678" s="159"/>
      <c r="AD678" s="159"/>
      <c r="AE678" s="159"/>
      <c r="AF678" s="159"/>
    </row>
    <row r="679" spans="1:32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  <c r="AB679" s="159"/>
      <c r="AC679" s="159"/>
      <c r="AD679" s="159"/>
      <c r="AE679" s="159"/>
      <c r="AF679" s="159"/>
    </row>
    <row r="680" spans="1:32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  <c r="AB680" s="159"/>
      <c r="AC680" s="159"/>
      <c r="AD680" s="159"/>
      <c r="AE680" s="159"/>
      <c r="AF680" s="159"/>
    </row>
    <row r="681" spans="1:32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  <c r="AB681" s="159"/>
      <c r="AC681" s="159"/>
      <c r="AD681" s="159"/>
      <c r="AE681" s="159"/>
      <c r="AF681" s="159"/>
    </row>
    <row r="682" spans="1:32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  <c r="AB682" s="159"/>
      <c r="AC682" s="159"/>
      <c r="AD682" s="159"/>
      <c r="AE682" s="159"/>
      <c r="AF682" s="159"/>
    </row>
    <row r="683" spans="1:32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  <c r="AB683" s="159"/>
      <c r="AC683" s="159"/>
      <c r="AD683" s="159"/>
      <c r="AE683" s="159"/>
      <c r="AF683" s="159"/>
    </row>
    <row r="684" spans="1:32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  <c r="AB684" s="159"/>
      <c r="AC684" s="159"/>
      <c r="AD684" s="159"/>
      <c r="AE684" s="159"/>
      <c r="AF684" s="159"/>
    </row>
    <row r="685" spans="1:32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  <c r="AB685" s="159"/>
      <c r="AC685" s="159"/>
      <c r="AD685" s="159"/>
      <c r="AE685" s="159"/>
      <c r="AF685" s="159"/>
    </row>
    <row r="686" spans="1:32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  <c r="AB686" s="159"/>
      <c r="AC686" s="159"/>
      <c r="AD686" s="159"/>
      <c r="AE686" s="159"/>
      <c r="AF686" s="159"/>
    </row>
    <row r="687" spans="1:32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  <c r="AB687" s="159"/>
      <c r="AC687" s="159"/>
      <c r="AD687" s="159"/>
      <c r="AE687" s="159"/>
      <c r="AF687" s="159"/>
    </row>
    <row r="688" spans="1:32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  <c r="AB688" s="159"/>
      <c r="AC688" s="159"/>
      <c r="AD688" s="159"/>
      <c r="AE688" s="159"/>
      <c r="AF688" s="159"/>
    </row>
    <row r="689" spans="1:32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  <c r="AB689" s="159"/>
      <c r="AC689" s="159"/>
      <c r="AD689" s="159"/>
      <c r="AE689" s="159"/>
      <c r="AF689" s="159"/>
    </row>
    <row r="690" spans="1:32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  <c r="AB690" s="159"/>
      <c r="AC690" s="159"/>
      <c r="AD690" s="159"/>
      <c r="AE690" s="159"/>
      <c r="AF690" s="159"/>
    </row>
    <row r="691" spans="1:32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  <c r="AB691" s="159"/>
      <c r="AC691" s="159"/>
      <c r="AD691" s="159"/>
      <c r="AE691" s="159"/>
      <c r="AF691" s="159"/>
    </row>
    <row r="692" spans="1:32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  <c r="AB692" s="159"/>
      <c r="AC692" s="159"/>
      <c r="AD692" s="159"/>
      <c r="AE692" s="159"/>
      <c r="AF692" s="159"/>
    </row>
    <row r="693" spans="1:32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  <c r="AB693" s="159"/>
      <c r="AC693" s="159"/>
      <c r="AD693" s="159"/>
      <c r="AE693" s="159"/>
      <c r="AF693" s="159"/>
    </row>
    <row r="694" spans="1:32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  <c r="AB694" s="159"/>
      <c r="AC694" s="159"/>
      <c r="AD694" s="159"/>
      <c r="AE694" s="159"/>
      <c r="AF694" s="159"/>
    </row>
    <row r="695" spans="1:32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  <c r="AB695" s="159"/>
      <c r="AC695" s="159"/>
      <c r="AD695" s="159"/>
      <c r="AE695" s="159"/>
      <c r="AF695" s="159"/>
    </row>
    <row r="696" spans="1:32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  <c r="AB696" s="159"/>
      <c r="AC696" s="159"/>
      <c r="AD696" s="159"/>
      <c r="AE696" s="159"/>
      <c r="AF696" s="159"/>
    </row>
    <row r="697" spans="1:32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  <c r="AB697" s="159"/>
      <c r="AC697" s="159"/>
      <c r="AD697" s="159"/>
      <c r="AE697" s="159"/>
      <c r="AF697" s="159"/>
    </row>
    <row r="698" spans="1:32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  <c r="AB698" s="159"/>
      <c r="AC698" s="159"/>
      <c r="AD698" s="159"/>
      <c r="AE698" s="159"/>
      <c r="AF698" s="159"/>
    </row>
    <row r="699" spans="1:32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  <c r="AB699" s="159"/>
      <c r="AC699" s="159"/>
      <c r="AD699" s="159"/>
      <c r="AE699" s="159"/>
      <c r="AF699" s="159"/>
    </row>
    <row r="700" spans="1:32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  <c r="AB700" s="159"/>
      <c r="AC700" s="159"/>
      <c r="AD700" s="159"/>
      <c r="AE700" s="159"/>
      <c r="AF700" s="159"/>
    </row>
    <row r="701" spans="1:32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  <c r="AB701" s="159"/>
      <c r="AC701" s="159"/>
      <c r="AD701" s="159"/>
      <c r="AE701" s="159"/>
      <c r="AF701" s="159"/>
    </row>
    <row r="702" spans="1:32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  <c r="AB702" s="159"/>
      <c r="AC702" s="159"/>
      <c r="AD702" s="159"/>
      <c r="AE702" s="159"/>
      <c r="AF702" s="159"/>
    </row>
    <row r="703" spans="1:32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  <c r="AB703" s="159"/>
      <c r="AC703" s="159"/>
      <c r="AD703" s="159"/>
      <c r="AE703" s="159"/>
      <c r="AF703" s="159"/>
    </row>
    <row r="704" spans="1:32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  <c r="AB704" s="159"/>
      <c r="AC704" s="159"/>
      <c r="AD704" s="159"/>
      <c r="AE704" s="159"/>
      <c r="AF704" s="159"/>
    </row>
    <row r="705" spans="1:32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  <c r="AB705" s="159"/>
      <c r="AC705" s="159"/>
      <c r="AD705" s="159"/>
      <c r="AE705" s="159"/>
      <c r="AF705" s="159"/>
    </row>
    <row r="706" spans="1:32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  <c r="AB706" s="159"/>
      <c r="AC706" s="159"/>
      <c r="AD706" s="159"/>
      <c r="AE706" s="159"/>
      <c r="AF706" s="159"/>
    </row>
    <row r="707" spans="1:32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  <c r="AB707" s="159"/>
      <c r="AC707" s="159"/>
      <c r="AD707" s="159"/>
      <c r="AE707" s="159"/>
      <c r="AF707" s="159"/>
    </row>
    <row r="708" spans="1:32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  <c r="AB708" s="159"/>
      <c r="AC708" s="159"/>
      <c r="AD708" s="159"/>
      <c r="AE708" s="159"/>
      <c r="AF708" s="159"/>
    </row>
    <row r="709" spans="1:32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  <c r="AB709" s="159"/>
      <c r="AC709" s="159"/>
      <c r="AD709" s="159"/>
      <c r="AE709" s="159"/>
      <c r="AF709" s="159"/>
    </row>
    <row r="710" spans="1:32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  <c r="AB710" s="159"/>
      <c r="AC710" s="159"/>
      <c r="AD710" s="159"/>
      <c r="AE710" s="159"/>
      <c r="AF710" s="159"/>
    </row>
    <row r="711" spans="1:32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  <c r="AB711" s="159"/>
      <c r="AC711" s="159"/>
      <c r="AD711" s="159"/>
      <c r="AE711" s="159"/>
      <c r="AF711" s="159"/>
    </row>
    <row r="712" spans="1:32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  <c r="AB712" s="159"/>
      <c r="AC712" s="159"/>
      <c r="AD712" s="159"/>
      <c r="AE712" s="159"/>
      <c r="AF712" s="159"/>
    </row>
    <row r="713" spans="1:32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  <c r="AB713" s="159"/>
      <c r="AC713" s="159"/>
      <c r="AD713" s="159"/>
      <c r="AE713" s="159"/>
      <c r="AF713" s="159"/>
    </row>
    <row r="714" spans="1:32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  <c r="AB714" s="159"/>
      <c r="AC714" s="159"/>
      <c r="AD714" s="159"/>
      <c r="AE714" s="159"/>
      <c r="AF714" s="159"/>
    </row>
    <row r="715" spans="1:32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  <c r="AB715" s="159"/>
      <c r="AC715" s="159"/>
      <c r="AD715" s="159"/>
      <c r="AE715" s="159"/>
      <c r="AF715" s="159"/>
    </row>
    <row r="716" spans="1:32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  <c r="AB716" s="159"/>
      <c r="AC716" s="159"/>
      <c r="AD716" s="159"/>
      <c r="AE716" s="159"/>
      <c r="AF716" s="159"/>
    </row>
    <row r="717" spans="1:32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  <c r="AB717" s="159"/>
      <c r="AC717" s="159"/>
      <c r="AD717" s="159"/>
      <c r="AE717" s="159"/>
      <c r="AF717" s="159"/>
    </row>
    <row r="718" spans="1:32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  <c r="AB718" s="159"/>
      <c r="AC718" s="159"/>
      <c r="AD718" s="159"/>
      <c r="AE718" s="159"/>
      <c r="AF718" s="159"/>
    </row>
    <row r="719" spans="1:32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  <c r="AB719" s="159"/>
      <c r="AC719" s="159"/>
      <c r="AD719" s="159"/>
      <c r="AE719" s="159"/>
      <c r="AF719" s="159"/>
    </row>
    <row r="720" spans="1:32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  <c r="AB720" s="159"/>
      <c r="AC720" s="159"/>
      <c r="AD720" s="159"/>
      <c r="AE720" s="159"/>
      <c r="AF720" s="159"/>
    </row>
    <row r="721" spans="1:32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  <c r="AB721" s="159"/>
      <c r="AC721" s="159"/>
      <c r="AD721" s="159"/>
      <c r="AE721" s="159"/>
      <c r="AF721" s="159"/>
    </row>
    <row r="722" spans="1:32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  <c r="AB722" s="159"/>
      <c r="AC722" s="159"/>
      <c r="AD722" s="159"/>
      <c r="AE722" s="159"/>
      <c r="AF722" s="159"/>
    </row>
    <row r="723" spans="1:32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  <c r="AB723" s="159"/>
      <c r="AC723" s="159"/>
      <c r="AD723" s="159"/>
      <c r="AE723" s="159"/>
      <c r="AF723" s="159"/>
    </row>
    <row r="724" spans="1:32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  <c r="AB724" s="159"/>
      <c r="AC724" s="159"/>
      <c r="AD724" s="159"/>
      <c r="AE724" s="159"/>
      <c r="AF724" s="159"/>
    </row>
    <row r="725" spans="1:32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  <c r="AB725" s="159"/>
      <c r="AC725" s="159"/>
      <c r="AD725" s="159"/>
      <c r="AE725" s="159"/>
      <c r="AF725" s="159"/>
    </row>
    <row r="726" spans="1:32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  <c r="AB726" s="159"/>
      <c r="AC726" s="159"/>
      <c r="AD726" s="159"/>
      <c r="AE726" s="159"/>
      <c r="AF726" s="159"/>
    </row>
    <row r="727" spans="1:32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  <c r="AB727" s="159"/>
      <c r="AC727" s="159"/>
      <c r="AD727" s="159"/>
      <c r="AE727" s="159"/>
      <c r="AF727" s="159"/>
    </row>
    <row r="728" spans="1:32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  <c r="AB728" s="159"/>
      <c r="AC728" s="159"/>
      <c r="AD728" s="159"/>
      <c r="AE728" s="159"/>
      <c r="AF728" s="159"/>
    </row>
    <row r="729" spans="1:32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  <c r="AB729" s="159"/>
      <c r="AC729" s="159"/>
      <c r="AD729" s="159"/>
      <c r="AE729" s="159"/>
      <c r="AF729" s="159"/>
    </row>
    <row r="730" spans="1:32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  <c r="AB730" s="159"/>
      <c r="AC730" s="159"/>
      <c r="AD730" s="159"/>
      <c r="AE730" s="159"/>
      <c r="AF730" s="159"/>
    </row>
    <row r="731" spans="1:32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  <c r="AB731" s="159"/>
      <c r="AC731" s="159"/>
      <c r="AD731" s="159"/>
      <c r="AE731" s="159"/>
      <c r="AF731" s="159"/>
    </row>
    <row r="732" spans="1:32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  <c r="AB732" s="159"/>
      <c r="AC732" s="159"/>
      <c r="AD732" s="159"/>
      <c r="AE732" s="159"/>
      <c r="AF732" s="159"/>
    </row>
    <row r="733" spans="1:32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  <c r="AB733" s="159"/>
      <c r="AC733" s="159"/>
      <c r="AD733" s="159"/>
      <c r="AE733" s="159"/>
      <c r="AF733" s="159"/>
    </row>
    <row r="734" spans="1:32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  <c r="AB734" s="159"/>
      <c r="AC734" s="159"/>
      <c r="AD734" s="159"/>
      <c r="AE734" s="159"/>
      <c r="AF734" s="159"/>
    </row>
    <row r="735" spans="1:32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  <c r="AB735" s="159"/>
      <c r="AC735" s="159"/>
      <c r="AD735" s="159"/>
      <c r="AE735" s="159"/>
      <c r="AF735" s="159"/>
    </row>
    <row r="736" spans="1:32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  <c r="AB736" s="159"/>
      <c r="AC736" s="159"/>
      <c r="AD736" s="159"/>
      <c r="AE736" s="159"/>
      <c r="AF736" s="159"/>
    </row>
    <row r="737" spans="1:32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  <c r="AB737" s="159"/>
      <c r="AC737" s="159"/>
      <c r="AD737" s="159"/>
      <c r="AE737" s="159"/>
      <c r="AF737" s="159"/>
    </row>
    <row r="738" spans="1:32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  <c r="AB738" s="159"/>
      <c r="AC738" s="159"/>
      <c r="AD738" s="159"/>
      <c r="AE738" s="159"/>
      <c r="AF738" s="159"/>
    </row>
    <row r="739" spans="1:32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  <c r="AB739" s="159"/>
      <c r="AC739" s="159"/>
      <c r="AD739" s="159"/>
      <c r="AE739" s="159"/>
      <c r="AF739" s="159"/>
    </row>
    <row r="740" spans="1:32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  <c r="AB740" s="159"/>
      <c r="AC740" s="159"/>
      <c r="AD740" s="159"/>
      <c r="AE740" s="159"/>
      <c r="AF740" s="159"/>
    </row>
    <row r="741" spans="1:32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  <c r="AB741" s="159"/>
      <c r="AC741" s="159"/>
      <c r="AD741" s="159"/>
      <c r="AE741" s="159"/>
      <c r="AF741" s="159"/>
    </row>
    <row r="742" spans="1:32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  <c r="AB742" s="159"/>
      <c r="AC742" s="159"/>
      <c r="AD742" s="159"/>
      <c r="AE742" s="159"/>
      <c r="AF742" s="159"/>
    </row>
    <row r="743" spans="1:32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  <c r="AB743" s="159"/>
      <c r="AC743" s="159"/>
      <c r="AD743" s="159"/>
      <c r="AE743" s="159"/>
      <c r="AF743" s="159"/>
    </row>
    <row r="744" spans="1:32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  <c r="AB744" s="159"/>
      <c r="AC744" s="159"/>
      <c r="AD744" s="159"/>
      <c r="AE744" s="159"/>
      <c r="AF744" s="159"/>
    </row>
    <row r="745" spans="1:32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  <c r="AB745" s="159"/>
      <c r="AC745" s="159"/>
      <c r="AD745" s="159"/>
      <c r="AE745" s="159"/>
      <c r="AF745" s="159"/>
    </row>
    <row r="746" spans="1:32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  <c r="AB746" s="159"/>
      <c r="AC746" s="159"/>
      <c r="AD746" s="159"/>
      <c r="AE746" s="159"/>
      <c r="AF746" s="159"/>
    </row>
    <row r="747" spans="1:32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  <c r="AB747" s="159"/>
      <c r="AC747" s="159"/>
      <c r="AD747" s="159"/>
      <c r="AE747" s="159"/>
      <c r="AF747" s="159"/>
    </row>
    <row r="748" spans="1:32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  <c r="AB748" s="159"/>
      <c r="AC748" s="159"/>
      <c r="AD748" s="159"/>
      <c r="AE748" s="159"/>
      <c r="AF748" s="159"/>
    </row>
    <row r="749" spans="1:32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  <c r="AB749" s="159"/>
      <c r="AC749" s="159"/>
      <c r="AD749" s="159"/>
      <c r="AE749" s="159"/>
      <c r="AF749" s="159"/>
    </row>
    <row r="750" spans="1:32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  <c r="AB750" s="159"/>
      <c r="AC750" s="159"/>
      <c r="AD750" s="159"/>
      <c r="AE750" s="159"/>
      <c r="AF750" s="159"/>
    </row>
    <row r="751" spans="1:32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  <c r="AB751" s="159"/>
      <c r="AC751" s="159"/>
      <c r="AD751" s="159"/>
      <c r="AE751" s="159"/>
      <c r="AF751" s="159"/>
    </row>
    <row r="752" spans="1:32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  <c r="AB752" s="159"/>
      <c r="AC752" s="159"/>
      <c r="AD752" s="159"/>
      <c r="AE752" s="159"/>
      <c r="AF752" s="159"/>
    </row>
    <row r="753" spans="1:32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  <c r="AB753" s="159"/>
      <c r="AC753" s="159"/>
      <c r="AD753" s="159"/>
      <c r="AE753" s="159"/>
      <c r="AF753" s="159"/>
    </row>
    <row r="754" spans="1:32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  <c r="AB754" s="159"/>
      <c r="AC754" s="159"/>
      <c r="AD754" s="159"/>
      <c r="AE754" s="159"/>
      <c r="AF754" s="159"/>
    </row>
    <row r="755" spans="1:32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  <c r="AB755" s="159"/>
      <c r="AC755" s="159"/>
      <c r="AD755" s="159"/>
      <c r="AE755" s="159"/>
      <c r="AF755" s="159"/>
    </row>
    <row r="756" spans="1:32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  <c r="AB756" s="159"/>
      <c r="AC756" s="159"/>
      <c r="AD756" s="159"/>
      <c r="AE756" s="159"/>
      <c r="AF756" s="159"/>
    </row>
    <row r="757" spans="1:32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  <c r="AB757" s="159"/>
      <c r="AC757" s="159"/>
      <c r="AD757" s="159"/>
      <c r="AE757" s="159"/>
      <c r="AF757" s="159"/>
    </row>
    <row r="758" spans="1:32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  <c r="AB758" s="159"/>
      <c r="AC758" s="159"/>
      <c r="AD758" s="159"/>
      <c r="AE758" s="159"/>
      <c r="AF758" s="159"/>
    </row>
    <row r="759" spans="1:32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  <c r="AB759" s="159"/>
      <c r="AC759" s="159"/>
      <c r="AD759" s="159"/>
      <c r="AE759" s="159"/>
      <c r="AF759" s="159"/>
    </row>
    <row r="760" spans="1:32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  <c r="AB760" s="159"/>
      <c r="AC760" s="159"/>
      <c r="AD760" s="159"/>
      <c r="AE760" s="159"/>
      <c r="AF760" s="159"/>
    </row>
    <row r="761" spans="1:32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  <c r="AB761" s="159"/>
      <c r="AC761" s="159"/>
      <c r="AD761" s="159"/>
      <c r="AE761" s="159"/>
      <c r="AF761" s="159"/>
    </row>
    <row r="762" spans="1:32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  <c r="AB762" s="159"/>
      <c r="AC762" s="159"/>
      <c r="AD762" s="159"/>
      <c r="AE762" s="159"/>
      <c r="AF762" s="159"/>
    </row>
    <row r="763" spans="1:32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  <c r="AB763" s="159"/>
      <c r="AC763" s="159"/>
      <c r="AD763" s="159"/>
      <c r="AE763" s="159"/>
      <c r="AF763" s="159"/>
    </row>
    <row r="764" spans="1:32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  <c r="AB764" s="159"/>
      <c r="AC764" s="159"/>
      <c r="AD764" s="159"/>
      <c r="AE764" s="159"/>
      <c r="AF764" s="159"/>
    </row>
    <row r="765" spans="1:32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  <c r="AB765" s="159"/>
      <c r="AC765" s="159"/>
      <c r="AD765" s="159"/>
      <c r="AE765" s="159"/>
      <c r="AF765" s="159"/>
    </row>
    <row r="766" spans="1:32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  <c r="AB766" s="159"/>
      <c r="AC766" s="159"/>
      <c r="AD766" s="159"/>
      <c r="AE766" s="159"/>
      <c r="AF766" s="159"/>
    </row>
    <row r="767" spans="1:32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  <c r="AB767" s="159"/>
      <c r="AC767" s="159"/>
      <c r="AD767" s="159"/>
      <c r="AE767" s="159"/>
      <c r="AF767" s="159"/>
    </row>
    <row r="768" spans="1:32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  <c r="AB768" s="159"/>
      <c r="AC768" s="159"/>
      <c r="AD768" s="159"/>
      <c r="AE768" s="159"/>
      <c r="AF768" s="159"/>
    </row>
    <row r="769" spans="1:32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  <c r="AB769" s="159"/>
      <c r="AC769" s="159"/>
      <c r="AD769" s="159"/>
      <c r="AE769" s="159"/>
      <c r="AF769" s="159"/>
    </row>
    <row r="770" spans="1:32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  <c r="AB770" s="159"/>
      <c r="AC770" s="159"/>
      <c r="AD770" s="159"/>
      <c r="AE770" s="159"/>
      <c r="AF770" s="159"/>
    </row>
    <row r="771" spans="1:32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  <c r="AB771" s="159"/>
      <c r="AC771" s="159"/>
      <c r="AD771" s="159"/>
      <c r="AE771" s="159"/>
      <c r="AF771" s="159"/>
    </row>
    <row r="772" spans="1:32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  <c r="AB772" s="159"/>
      <c r="AC772" s="159"/>
      <c r="AD772" s="159"/>
      <c r="AE772" s="159"/>
      <c r="AF772" s="159"/>
    </row>
    <row r="773" spans="1:32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  <c r="AB773" s="159"/>
      <c r="AC773" s="159"/>
      <c r="AD773" s="159"/>
      <c r="AE773" s="159"/>
      <c r="AF773" s="159"/>
    </row>
    <row r="774" spans="1:32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  <c r="AB774" s="159"/>
      <c r="AC774" s="159"/>
      <c r="AD774" s="159"/>
      <c r="AE774" s="159"/>
      <c r="AF774" s="159"/>
    </row>
    <row r="775" spans="1:32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  <c r="AB775" s="159"/>
      <c r="AC775" s="159"/>
      <c r="AD775" s="159"/>
      <c r="AE775" s="159"/>
      <c r="AF775" s="159"/>
    </row>
    <row r="776" spans="1:32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  <c r="AB776" s="159"/>
      <c r="AC776" s="159"/>
      <c r="AD776" s="159"/>
      <c r="AE776" s="159"/>
      <c r="AF776" s="159"/>
    </row>
    <row r="777" spans="1:32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  <c r="AB777" s="159"/>
      <c r="AC777" s="159"/>
      <c r="AD777" s="159"/>
      <c r="AE777" s="159"/>
      <c r="AF777" s="159"/>
    </row>
    <row r="778" spans="1:32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  <c r="AB778" s="159"/>
      <c r="AC778" s="159"/>
      <c r="AD778" s="159"/>
      <c r="AE778" s="159"/>
      <c r="AF778" s="159"/>
    </row>
    <row r="779" spans="1:32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  <c r="AB779" s="159"/>
      <c r="AC779" s="159"/>
      <c r="AD779" s="159"/>
      <c r="AE779" s="159"/>
      <c r="AF779" s="159"/>
    </row>
    <row r="780" spans="1:32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  <c r="AB780" s="159"/>
      <c r="AC780" s="159"/>
      <c r="AD780" s="159"/>
      <c r="AE780" s="159"/>
      <c r="AF780" s="159"/>
    </row>
    <row r="781" spans="1:32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  <c r="AB781" s="159"/>
      <c r="AC781" s="159"/>
      <c r="AD781" s="159"/>
      <c r="AE781" s="159"/>
      <c r="AF781" s="159"/>
    </row>
    <row r="782" spans="1:32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  <c r="AB782" s="159"/>
      <c r="AC782" s="159"/>
      <c r="AD782" s="159"/>
      <c r="AE782" s="159"/>
      <c r="AF782" s="159"/>
    </row>
    <row r="783" spans="1:32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  <c r="AB783" s="159"/>
      <c r="AC783" s="159"/>
      <c r="AD783" s="159"/>
      <c r="AE783" s="159"/>
      <c r="AF783" s="159"/>
    </row>
    <row r="784" spans="1:32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  <c r="AB784" s="159"/>
      <c r="AC784" s="159"/>
      <c r="AD784" s="159"/>
      <c r="AE784" s="159"/>
      <c r="AF784" s="159"/>
    </row>
    <row r="785" spans="1:32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  <c r="AB785" s="159"/>
      <c r="AC785" s="159"/>
      <c r="AD785" s="159"/>
      <c r="AE785" s="159"/>
      <c r="AF785" s="159"/>
    </row>
    <row r="786" spans="1:32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  <c r="AB786" s="159"/>
      <c r="AC786" s="159"/>
      <c r="AD786" s="159"/>
      <c r="AE786" s="159"/>
      <c r="AF786" s="159"/>
    </row>
    <row r="787" spans="1:32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  <c r="AB787" s="159"/>
      <c r="AC787" s="159"/>
      <c r="AD787" s="159"/>
      <c r="AE787" s="159"/>
      <c r="AF787" s="159"/>
    </row>
    <row r="788" spans="1:32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  <c r="AB788" s="159"/>
      <c r="AC788" s="159"/>
      <c r="AD788" s="159"/>
      <c r="AE788" s="159"/>
      <c r="AF788" s="159"/>
    </row>
    <row r="789" spans="1:32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  <c r="AB789" s="159"/>
      <c r="AC789" s="159"/>
      <c r="AD789" s="159"/>
      <c r="AE789" s="159"/>
      <c r="AF789" s="159"/>
    </row>
    <row r="790" spans="1:32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  <c r="AB790" s="159"/>
      <c r="AC790" s="159"/>
      <c r="AD790" s="159"/>
      <c r="AE790" s="159"/>
      <c r="AF790" s="159"/>
    </row>
    <row r="791" spans="1:32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  <c r="AB791" s="159"/>
      <c r="AC791" s="159"/>
      <c r="AD791" s="159"/>
      <c r="AE791" s="159"/>
      <c r="AF791" s="159"/>
    </row>
    <row r="792" spans="1:32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  <c r="AB792" s="159"/>
      <c r="AC792" s="159"/>
      <c r="AD792" s="159"/>
      <c r="AE792" s="159"/>
      <c r="AF792" s="159"/>
    </row>
    <row r="793" spans="1:32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  <c r="AB793" s="159"/>
      <c r="AC793" s="159"/>
      <c r="AD793" s="159"/>
      <c r="AE793" s="159"/>
      <c r="AF793" s="159"/>
    </row>
    <row r="794" spans="1:32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  <c r="AB794" s="159"/>
      <c r="AC794" s="159"/>
      <c r="AD794" s="159"/>
      <c r="AE794" s="159"/>
      <c r="AF794" s="159"/>
    </row>
    <row r="795" spans="1:32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  <c r="AB795" s="159"/>
      <c r="AC795" s="159"/>
      <c r="AD795" s="159"/>
      <c r="AE795" s="159"/>
      <c r="AF795" s="159"/>
    </row>
    <row r="796" spans="1:32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  <c r="AB796" s="159"/>
      <c r="AC796" s="159"/>
      <c r="AD796" s="159"/>
      <c r="AE796" s="159"/>
      <c r="AF796" s="159"/>
    </row>
    <row r="797" spans="1:32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  <c r="AB797" s="159"/>
      <c r="AC797" s="159"/>
      <c r="AD797" s="159"/>
      <c r="AE797" s="159"/>
      <c r="AF797" s="159"/>
    </row>
    <row r="798" spans="1:32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  <c r="AB798" s="159"/>
      <c r="AC798" s="159"/>
      <c r="AD798" s="159"/>
      <c r="AE798" s="159"/>
      <c r="AF798" s="159"/>
    </row>
    <row r="799" spans="1:32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  <c r="AB799" s="159"/>
      <c r="AC799" s="159"/>
      <c r="AD799" s="159"/>
      <c r="AE799" s="159"/>
      <c r="AF799" s="159"/>
    </row>
    <row r="800" spans="1:32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  <c r="AB800" s="159"/>
      <c r="AC800" s="159"/>
      <c r="AD800" s="159"/>
      <c r="AE800" s="159"/>
      <c r="AF800" s="159"/>
    </row>
    <row r="801" spans="1:32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  <c r="AB801" s="159"/>
      <c r="AC801" s="159"/>
      <c r="AD801" s="159"/>
      <c r="AE801" s="159"/>
      <c r="AF801" s="159"/>
    </row>
    <row r="802" spans="1:32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  <c r="AB802" s="159"/>
      <c r="AC802" s="159"/>
      <c r="AD802" s="159"/>
      <c r="AE802" s="159"/>
      <c r="AF802" s="159"/>
    </row>
    <row r="803" spans="1:32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  <c r="AB803" s="159"/>
      <c r="AC803" s="159"/>
      <c r="AD803" s="159"/>
      <c r="AE803" s="159"/>
      <c r="AF803" s="159"/>
    </row>
    <row r="804" spans="1:32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  <c r="AB804" s="159"/>
      <c r="AC804" s="159"/>
      <c r="AD804" s="159"/>
      <c r="AE804" s="159"/>
      <c r="AF804" s="159"/>
    </row>
    <row r="805" spans="1:32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  <c r="AB805" s="159"/>
      <c r="AC805" s="159"/>
      <c r="AD805" s="159"/>
      <c r="AE805" s="159"/>
      <c r="AF805" s="159"/>
    </row>
    <row r="806" spans="1:32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  <c r="AB806" s="159"/>
      <c r="AC806" s="159"/>
      <c r="AD806" s="159"/>
      <c r="AE806" s="159"/>
      <c r="AF806" s="159"/>
    </row>
    <row r="807" spans="1:32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  <c r="AB807" s="159"/>
      <c r="AC807" s="159"/>
      <c r="AD807" s="159"/>
      <c r="AE807" s="159"/>
      <c r="AF807" s="159"/>
    </row>
    <row r="808" spans="1:32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  <c r="AB808" s="159"/>
      <c r="AC808" s="159"/>
      <c r="AD808" s="159"/>
      <c r="AE808" s="159"/>
      <c r="AF808" s="159"/>
    </row>
    <row r="809" spans="1:32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  <c r="AB809" s="159"/>
      <c r="AC809" s="159"/>
      <c r="AD809" s="159"/>
      <c r="AE809" s="159"/>
      <c r="AF809" s="159"/>
    </row>
    <row r="810" spans="1:32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  <c r="AB810" s="159"/>
      <c r="AC810" s="159"/>
      <c r="AD810" s="159"/>
      <c r="AE810" s="159"/>
      <c r="AF810" s="159"/>
    </row>
    <row r="811" spans="1:32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  <c r="AB811" s="159"/>
      <c r="AC811" s="159"/>
      <c r="AD811" s="159"/>
      <c r="AE811" s="159"/>
      <c r="AF811" s="159"/>
    </row>
    <row r="812" spans="1:32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  <c r="AB812" s="159"/>
      <c r="AC812" s="159"/>
      <c r="AD812" s="159"/>
      <c r="AE812" s="159"/>
      <c r="AF812" s="159"/>
    </row>
    <row r="813" spans="1:32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  <c r="AB813" s="159"/>
      <c r="AC813" s="159"/>
      <c r="AD813" s="159"/>
      <c r="AE813" s="159"/>
      <c r="AF813" s="159"/>
    </row>
    <row r="814" spans="1:32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  <c r="AB814" s="159"/>
      <c r="AC814" s="159"/>
      <c r="AD814" s="159"/>
      <c r="AE814" s="159"/>
      <c r="AF814" s="159"/>
    </row>
    <row r="815" spans="1:32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  <c r="AB815" s="159"/>
      <c r="AC815" s="159"/>
      <c r="AD815" s="159"/>
      <c r="AE815" s="159"/>
      <c r="AF815" s="159"/>
    </row>
    <row r="816" spans="1:32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  <c r="AB816" s="159"/>
      <c r="AC816" s="159"/>
      <c r="AD816" s="159"/>
      <c r="AE816" s="159"/>
      <c r="AF816" s="159"/>
    </row>
    <row r="817" spans="1:32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  <c r="AB817" s="159"/>
      <c r="AC817" s="159"/>
      <c r="AD817" s="159"/>
      <c r="AE817" s="159"/>
      <c r="AF817" s="159"/>
    </row>
    <row r="818" spans="1:32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  <c r="AB818" s="159"/>
      <c r="AC818" s="159"/>
      <c r="AD818" s="159"/>
      <c r="AE818" s="159"/>
      <c r="AF818" s="159"/>
    </row>
    <row r="819" spans="1:32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  <c r="AB819" s="159"/>
      <c r="AC819" s="159"/>
      <c r="AD819" s="159"/>
      <c r="AE819" s="159"/>
      <c r="AF819" s="159"/>
    </row>
    <row r="820" spans="1:32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  <c r="AB820" s="159"/>
      <c r="AC820" s="159"/>
      <c r="AD820" s="159"/>
      <c r="AE820" s="159"/>
      <c r="AF820" s="159"/>
    </row>
    <row r="821" spans="1:32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  <c r="AB821" s="159"/>
      <c r="AC821" s="159"/>
      <c r="AD821" s="159"/>
      <c r="AE821" s="159"/>
      <c r="AF821" s="159"/>
    </row>
    <row r="822" spans="1:32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  <c r="AB822" s="159"/>
      <c r="AC822" s="159"/>
      <c r="AD822" s="159"/>
      <c r="AE822" s="159"/>
      <c r="AF822" s="159"/>
    </row>
    <row r="823" spans="1:32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  <c r="AB823" s="159"/>
      <c r="AC823" s="159"/>
      <c r="AD823" s="159"/>
      <c r="AE823" s="159"/>
      <c r="AF823" s="159"/>
    </row>
    <row r="824" spans="1:32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  <c r="AB824" s="159"/>
      <c r="AC824" s="159"/>
      <c r="AD824" s="159"/>
      <c r="AE824" s="159"/>
      <c r="AF824" s="159"/>
    </row>
    <row r="825" spans="1:32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  <c r="AB825" s="159"/>
      <c r="AC825" s="159"/>
      <c r="AD825" s="159"/>
      <c r="AE825" s="159"/>
      <c r="AF825" s="159"/>
    </row>
    <row r="826" spans="1:32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  <c r="AB826" s="159"/>
      <c r="AC826" s="159"/>
      <c r="AD826" s="159"/>
      <c r="AE826" s="159"/>
      <c r="AF826" s="159"/>
    </row>
    <row r="827" spans="1:32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  <c r="AB827" s="159"/>
      <c r="AC827" s="159"/>
      <c r="AD827" s="159"/>
      <c r="AE827" s="159"/>
      <c r="AF827" s="159"/>
    </row>
    <row r="828" spans="1:32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  <c r="AB828" s="159"/>
      <c r="AC828" s="159"/>
      <c r="AD828" s="159"/>
      <c r="AE828" s="159"/>
      <c r="AF828" s="159"/>
    </row>
    <row r="829" spans="1:32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  <c r="AB829" s="159"/>
      <c r="AC829" s="159"/>
      <c r="AD829" s="159"/>
      <c r="AE829" s="159"/>
      <c r="AF829" s="159"/>
    </row>
    <row r="830" spans="1:32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  <c r="AB830" s="159"/>
      <c r="AC830" s="159"/>
      <c r="AD830" s="159"/>
      <c r="AE830" s="159"/>
      <c r="AF830" s="159"/>
    </row>
    <row r="831" spans="1:32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  <c r="AB831" s="159"/>
      <c r="AC831" s="159"/>
      <c r="AD831" s="159"/>
      <c r="AE831" s="159"/>
      <c r="AF831" s="159"/>
    </row>
    <row r="832" spans="1:32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  <c r="AB832" s="159"/>
      <c r="AC832" s="159"/>
      <c r="AD832" s="159"/>
      <c r="AE832" s="159"/>
      <c r="AF832" s="159"/>
    </row>
    <row r="833" spans="1:32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  <c r="AB833" s="159"/>
      <c r="AC833" s="159"/>
      <c r="AD833" s="159"/>
      <c r="AE833" s="159"/>
      <c r="AF833" s="159"/>
    </row>
    <row r="834" spans="1:32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  <c r="AB834" s="159"/>
      <c r="AC834" s="159"/>
      <c r="AD834" s="159"/>
      <c r="AE834" s="159"/>
      <c r="AF834" s="159"/>
    </row>
    <row r="835" spans="1:32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  <c r="AB835" s="159"/>
      <c r="AC835" s="159"/>
      <c r="AD835" s="159"/>
      <c r="AE835" s="159"/>
      <c r="AF835" s="159"/>
    </row>
    <row r="836" spans="1:32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  <c r="AB836" s="159"/>
      <c r="AC836" s="159"/>
      <c r="AD836" s="159"/>
      <c r="AE836" s="159"/>
      <c r="AF836" s="159"/>
    </row>
    <row r="837" spans="1:32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  <c r="AB837" s="159"/>
      <c r="AC837" s="159"/>
      <c r="AD837" s="159"/>
      <c r="AE837" s="159"/>
      <c r="AF837" s="159"/>
    </row>
    <row r="838" spans="1:32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  <c r="AB838" s="159"/>
      <c r="AC838" s="159"/>
      <c r="AD838" s="159"/>
      <c r="AE838" s="159"/>
      <c r="AF838" s="159"/>
    </row>
    <row r="839" spans="1:32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  <c r="AB839" s="159"/>
      <c r="AC839" s="159"/>
      <c r="AD839" s="159"/>
      <c r="AE839" s="159"/>
      <c r="AF839" s="159"/>
    </row>
    <row r="840" spans="1:32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  <c r="AB840" s="159"/>
      <c r="AC840" s="159"/>
      <c r="AD840" s="159"/>
      <c r="AE840" s="159"/>
      <c r="AF840" s="159"/>
    </row>
    <row r="841" spans="1:32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  <c r="AB841" s="159"/>
      <c r="AC841" s="159"/>
      <c r="AD841" s="159"/>
      <c r="AE841" s="159"/>
      <c r="AF841" s="159"/>
    </row>
    <row r="842" spans="1:32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  <c r="AB842" s="159"/>
      <c r="AC842" s="159"/>
      <c r="AD842" s="159"/>
      <c r="AE842" s="159"/>
      <c r="AF842" s="159"/>
    </row>
    <row r="843" spans="1:32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  <c r="AB843" s="159"/>
      <c r="AC843" s="159"/>
      <c r="AD843" s="159"/>
      <c r="AE843" s="159"/>
      <c r="AF843" s="159"/>
    </row>
    <row r="844" spans="1:32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  <c r="AB844" s="159"/>
      <c r="AC844" s="159"/>
      <c r="AD844" s="159"/>
      <c r="AE844" s="159"/>
      <c r="AF844" s="159"/>
    </row>
    <row r="845" spans="1:32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  <c r="AB845" s="159"/>
      <c r="AC845" s="159"/>
      <c r="AD845" s="159"/>
      <c r="AE845" s="159"/>
      <c r="AF845" s="159"/>
    </row>
    <row r="846" spans="1:32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  <c r="AB846" s="159"/>
      <c r="AC846" s="159"/>
      <c r="AD846" s="159"/>
      <c r="AE846" s="159"/>
      <c r="AF846" s="159"/>
    </row>
    <row r="847" spans="1:32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  <c r="AB847" s="159"/>
      <c r="AC847" s="159"/>
      <c r="AD847" s="159"/>
      <c r="AE847" s="159"/>
      <c r="AF847" s="159"/>
    </row>
    <row r="848" spans="1:32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  <c r="AB848" s="159"/>
      <c r="AC848" s="159"/>
      <c r="AD848" s="159"/>
      <c r="AE848" s="159"/>
      <c r="AF848" s="159"/>
    </row>
    <row r="849" spans="1:32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  <c r="AB849" s="159"/>
      <c r="AC849" s="159"/>
      <c r="AD849" s="159"/>
      <c r="AE849" s="159"/>
      <c r="AF849" s="159"/>
    </row>
    <row r="850" spans="1:32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  <c r="AB850" s="159"/>
      <c r="AC850" s="159"/>
      <c r="AD850" s="159"/>
      <c r="AE850" s="159"/>
      <c r="AF850" s="159"/>
    </row>
    <row r="851" spans="1:32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  <c r="AB851" s="159"/>
      <c r="AC851" s="159"/>
      <c r="AD851" s="159"/>
      <c r="AE851" s="159"/>
      <c r="AF851" s="159"/>
    </row>
    <row r="852" spans="1:32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  <c r="AB852" s="159"/>
      <c r="AC852" s="159"/>
      <c r="AD852" s="159"/>
      <c r="AE852" s="159"/>
      <c r="AF852" s="159"/>
    </row>
    <row r="853" spans="1:32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  <c r="AB853" s="159"/>
      <c r="AC853" s="159"/>
      <c r="AD853" s="159"/>
      <c r="AE853" s="159"/>
      <c r="AF853" s="159"/>
    </row>
    <row r="854" spans="1:32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  <c r="AB854" s="159"/>
      <c r="AC854" s="159"/>
      <c r="AD854" s="159"/>
      <c r="AE854" s="159"/>
      <c r="AF854" s="159"/>
    </row>
    <row r="855" spans="1:32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  <c r="AB855" s="159"/>
      <c r="AC855" s="159"/>
      <c r="AD855" s="159"/>
      <c r="AE855" s="159"/>
      <c r="AF855" s="159"/>
    </row>
    <row r="856" spans="1:32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  <c r="AB856" s="159"/>
      <c r="AC856" s="159"/>
      <c r="AD856" s="159"/>
      <c r="AE856" s="159"/>
      <c r="AF856" s="159"/>
    </row>
    <row r="857" spans="1:32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  <c r="AB857" s="159"/>
      <c r="AC857" s="159"/>
      <c r="AD857" s="159"/>
      <c r="AE857" s="159"/>
      <c r="AF857" s="159"/>
    </row>
    <row r="858" spans="1:32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  <c r="AB858" s="159"/>
      <c r="AC858" s="159"/>
      <c r="AD858" s="159"/>
      <c r="AE858" s="159"/>
      <c r="AF858" s="159"/>
    </row>
    <row r="859" spans="1:32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  <c r="AB859" s="159"/>
      <c r="AC859" s="159"/>
      <c r="AD859" s="159"/>
      <c r="AE859" s="159"/>
      <c r="AF859" s="159"/>
    </row>
    <row r="860" spans="1:32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  <c r="AB860" s="159"/>
      <c r="AC860" s="159"/>
      <c r="AD860" s="159"/>
      <c r="AE860" s="159"/>
      <c r="AF860" s="159"/>
    </row>
    <row r="861" spans="1:32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  <c r="AB861" s="159"/>
      <c r="AC861" s="159"/>
      <c r="AD861" s="159"/>
      <c r="AE861" s="159"/>
      <c r="AF861" s="159"/>
    </row>
    <row r="862" spans="1:32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  <c r="AB862" s="159"/>
      <c r="AC862" s="159"/>
      <c r="AD862" s="159"/>
      <c r="AE862" s="159"/>
      <c r="AF862" s="159"/>
    </row>
    <row r="863" spans="1:32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  <c r="AB863" s="159"/>
      <c r="AC863" s="159"/>
      <c r="AD863" s="159"/>
      <c r="AE863" s="159"/>
      <c r="AF863" s="159"/>
    </row>
    <row r="864" spans="1:32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  <c r="AB864" s="159"/>
      <c r="AC864" s="159"/>
      <c r="AD864" s="159"/>
      <c r="AE864" s="159"/>
      <c r="AF864" s="159"/>
    </row>
    <row r="865" spans="1:32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  <c r="AB865" s="159"/>
      <c r="AC865" s="159"/>
      <c r="AD865" s="159"/>
      <c r="AE865" s="159"/>
      <c r="AF865" s="159"/>
    </row>
    <row r="866" spans="1:32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  <c r="AB866" s="159"/>
      <c r="AC866" s="159"/>
      <c r="AD866" s="159"/>
      <c r="AE866" s="159"/>
      <c r="AF866" s="159"/>
    </row>
    <row r="867" spans="1:32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  <c r="AB867" s="159"/>
      <c r="AC867" s="159"/>
      <c r="AD867" s="159"/>
      <c r="AE867" s="159"/>
      <c r="AF867" s="159"/>
    </row>
    <row r="868" spans="1:32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  <c r="AB868" s="159"/>
      <c r="AC868" s="159"/>
      <c r="AD868" s="159"/>
      <c r="AE868" s="159"/>
      <c r="AF868" s="159"/>
    </row>
    <row r="869" spans="1:32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  <c r="AB869" s="159"/>
      <c r="AC869" s="159"/>
      <c r="AD869" s="159"/>
      <c r="AE869" s="159"/>
      <c r="AF869" s="159"/>
    </row>
    <row r="870" spans="1:32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  <c r="AB870" s="159"/>
      <c r="AC870" s="159"/>
      <c r="AD870" s="159"/>
      <c r="AE870" s="159"/>
      <c r="AF870" s="159"/>
    </row>
    <row r="871" spans="1:32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  <c r="AB871" s="159"/>
      <c r="AC871" s="159"/>
      <c r="AD871" s="159"/>
      <c r="AE871" s="159"/>
      <c r="AF871" s="159"/>
    </row>
    <row r="872" spans="1:32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  <c r="AB872" s="159"/>
      <c r="AC872" s="159"/>
      <c r="AD872" s="159"/>
      <c r="AE872" s="159"/>
      <c r="AF872" s="159"/>
    </row>
    <row r="873" spans="1:32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</row>
    <row r="874" spans="1:32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  <c r="AB874" s="159"/>
      <c r="AC874" s="159"/>
      <c r="AD874" s="159"/>
      <c r="AE874" s="159"/>
      <c r="AF874" s="159"/>
    </row>
    <row r="875" spans="1:32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  <c r="AB875" s="159"/>
      <c r="AC875" s="159"/>
      <c r="AD875" s="159"/>
      <c r="AE875" s="159"/>
      <c r="AF875" s="159"/>
    </row>
    <row r="876" spans="1:32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  <c r="AB876" s="159"/>
      <c r="AC876" s="159"/>
      <c r="AD876" s="159"/>
      <c r="AE876" s="159"/>
      <c r="AF876" s="159"/>
    </row>
    <row r="877" spans="1:32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  <c r="AB877" s="159"/>
      <c r="AC877" s="159"/>
      <c r="AD877" s="159"/>
      <c r="AE877" s="159"/>
      <c r="AF877" s="159"/>
    </row>
    <row r="878" spans="1:32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  <c r="AB878" s="159"/>
      <c r="AC878" s="159"/>
      <c r="AD878" s="159"/>
      <c r="AE878" s="159"/>
      <c r="AF878" s="159"/>
    </row>
    <row r="879" spans="1:32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  <c r="AB879" s="159"/>
      <c r="AC879" s="159"/>
      <c r="AD879" s="159"/>
      <c r="AE879" s="159"/>
      <c r="AF879" s="159"/>
    </row>
    <row r="880" spans="1:32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  <c r="AB880" s="159"/>
      <c r="AC880" s="159"/>
      <c r="AD880" s="159"/>
      <c r="AE880" s="159"/>
      <c r="AF880" s="159"/>
    </row>
    <row r="881" spans="1:32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  <c r="AB881" s="159"/>
      <c r="AC881" s="159"/>
      <c r="AD881" s="159"/>
      <c r="AE881" s="159"/>
      <c r="AF881" s="159"/>
    </row>
    <row r="882" spans="1:32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  <c r="AB882" s="159"/>
      <c r="AC882" s="159"/>
      <c r="AD882" s="159"/>
      <c r="AE882" s="159"/>
      <c r="AF882" s="159"/>
    </row>
    <row r="883" spans="1:32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  <c r="AB883" s="159"/>
      <c r="AC883" s="159"/>
      <c r="AD883" s="159"/>
      <c r="AE883" s="159"/>
      <c r="AF883" s="159"/>
    </row>
    <row r="884" spans="1:32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  <c r="AB884" s="159"/>
      <c r="AC884" s="159"/>
      <c r="AD884" s="159"/>
      <c r="AE884" s="159"/>
      <c r="AF884" s="159"/>
    </row>
    <row r="885" spans="1:32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  <c r="AB885" s="159"/>
      <c r="AC885" s="159"/>
      <c r="AD885" s="159"/>
      <c r="AE885" s="159"/>
      <c r="AF885" s="159"/>
    </row>
    <row r="886" spans="1:32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  <c r="AB886" s="159"/>
      <c r="AC886" s="159"/>
      <c r="AD886" s="159"/>
      <c r="AE886" s="159"/>
      <c r="AF886" s="159"/>
    </row>
    <row r="887" spans="1:32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  <c r="AB887" s="159"/>
      <c r="AC887" s="159"/>
      <c r="AD887" s="159"/>
      <c r="AE887" s="159"/>
      <c r="AF887" s="159"/>
    </row>
    <row r="888" spans="1:32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  <c r="AB888" s="159"/>
      <c r="AC888" s="159"/>
      <c r="AD888" s="159"/>
      <c r="AE888" s="159"/>
      <c r="AF888" s="159"/>
    </row>
    <row r="889" spans="1:32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  <c r="AB889" s="159"/>
      <c r="AC889" s="159"/>
      <c r="AD889" s="159"/>
      <c r="AE889" s="159"/>
      <c r="AF889" s="159"/>
    </row>
    <row r="890" spans="1:32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  <c r="AB890" s="159"/>
      <c r="AC890" s="159"/>
      <c r="AD890" s="159"/>
      <c r="AE890" s="159"/>
      <c r="AF890" s="159"/>
    </row>
    <row r="891" spans="1:32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  <c r="AB891" s="159"/>
      <c r="AC891" s="159"/>
      <c r="AD891" s="159"/>
      <c r="AE891" s="159"/>
      <c r="AF891" s="159"/>
    </row>
    <row r="892" spans="1:32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  <c r="AB892" s="159"/>
      <c r="AC892" s="159"/>
      <c r="AD892" s="159"/>
      <c r="AE892" s="159"/>
      <c r="AF892" s="159"/>
    </row>
    <row r="893" spans="1:32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  <c r="AB893" s="159"/>
      <c r="AC893" s="159"/>
      <c r="AD893" s="159"/>
      <c r="AE893" s="159"/>
      <c r="AF893" s="159"/>
    </row>
    <row r="894" spans="1:32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  <c r="AB894" s="159"/>
      <c r="AC894" s="159"/>
      <c r="AD894" s="159"/>
      <c r="AE894" s="159"/>
      <c r="AF894" s="159"/>
    </row>
    <row r="895" spans="1:32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  <c r="AB895" s="159"/>
      <c r="AC895" s="159"/>
      <c r="AD895" s="159"/>
      <c r="AE895" s="159"/>
      <c r="AF895" s="159"/>
    </row>
    <row r="896" spans="1:32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  <c r="AB896" s="159"/>
      <c r="AC896" s="159"/>
      <c r="AD896" s="159"/>
      <c r="AE896" s="159"/>
      <c r="AF896" s="159"/>
    </row>
    <row r="897" spans="1:32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  <c r="AB897" s="159"/>
      <c r="AC897" s="159"/>
      <c r="AD897" s="159"/>
      <c r="AE897" s="159"/>
      <c r="AF897" s="159"/>
    </row>
    <row r="898" spans="1:32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  <c r="AB898" s="159"/>
      <c r="AC898" s="159"/>
      <c r="AD898" s="159"/>
      <c r="AE898" s="159"/>
      <c r="AF898" s="159"/>
    </row>
    <row r="899" spans="1:32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  <c r="AB899" s="159"/>
      <c r="AC899" s="159"/>
      <c r="AD899" s="159"/>
      <c r="AE899" s="159"/>
      <c r="AF899" s="159"/>
    </row>
    <row r="900" spans="1:32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  <c r="AB900" s="159"/>
      <c r="AC900" s="159"/>
      <c r="AD900" s="159"/>
      <c r="AE900" s="159"/>
      <c r="AF900" s="159"/>
    </row>
    <row r="901" spans="1:32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  <c r="AB901" s="159"/>
      <c r="AC901" s="159"/>
      <c r="AD901" s="159"/>
      <c r="AE901" s="159"/>
      <c r="AF901" s="159"/>
    </row>
    <row r="902" spans="1:32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  <c r="AB902" s="159"/>
      <c r="AC902" s="159"/>
      <c r="AD902" s="159"/>
      <c r="AE902" s="159"/>
      <c r="AF902" s="159"/>
    </row>
    <row r="903" spans="1:32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  <c r="AB903" s="159"/>
      <c r="AC903" s="159"/>
      <c r="AD903" s="159"/>
      <c r="AE903" s="159"/>
      <c r="AF903" s="159"/>
    </row>
    <row r="904" spans="1:32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  <c r="AB904" s="159"/>
      <c r="AC904" s="159"/>
      <c r="AD904" s="159"/>
      <c r="AE904" s="159"/>
      <c r="AF904" s="159"/>
    </row>
    <row r="905" spans="1:32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  <c r="AB905" s="159"/>
      <c r="AC905" s="159"/>
      <c r="AD905" s="159"/>
      <c r="AE905" s="159"/>
      <c r="AF905" s="159"/>
    </row>
    <row r="906" spans="1:32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  <c r="AB906" s="159"/>
      <c r="AC906" s="159"/>
      <c r="AD906" s="159"/>
      <c r="AE906" s="159"/>
      <c r="AF906" s="159"/>
    </row>
    <row r="907" spans="1:32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  <c r="AB907" s="159"/>
      <c r="AC907" s="159"/>
      <c r="AD907" s="159"/>
      <c r="AE907" s="159"/>
      <c r="AF907" s="159"/>
    </row>
    <row r="908" spans="1:32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  <c r="AB908" s="159"/>
      <c r="AC908" s="159"/>
      <c r="AD908" s="159"/>
      <c r="AE908" s="159"/>
      <c r="AF908" s="159"/>
    </row>
    <row r="909" spans="1:32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  <c r="AB909" s="159"/>
      <c r="AC909" s="159"/>
      <c r="AD909" s="159"/>
      <c r="AE909" s="159"/>
      <c r="AF909" s="159"/>
    </row>
    <row r="910" spans="1:32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  <c r="AB910" s="159"/>
      <c r="AC910" s="159"/>
      <c r="AD910" s="159"/>
      <c r="AE910" s="159"/>
      <c r="AF910" s="159"/>
    </row>
    <row r="911" spans="1:32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  <c r="AB911" s="159"/>
      <c r="AC911" s="159"/>
      <c r="AD911" s="159"/>
      <c r="AE911" s="159"/>
      <c r="AF911" s="159"/>
    </row>
    <row r="912" spans="1:32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  <c r="AB912" s="159"/>
      <c r="AC912" s="159"/>
      <c r="AD912" s="159"/>
      <c r="AE912" s="159"/>
      <c r="AF912" s="159"/>
    </row>
    <row r="913" spans="1:32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  <c r="AB913" s="159"/>
      <c r="AC913" s="159"/>
      <c r="AD913" s="159"/>
      <c r="AE913" s="159"/>
      <c r="AF913" s="159"/>
    </row>
    <row r="914" spans="1:32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  <c r="AB914" s="159"/>
      <c r="AC914" s="159"/>
      <c r="AD914" s="159"/>
      <c r="AE914" s="159"/>
      <c r="AF914" s="159"/>
    </row>
    <row r="915" spans="1:32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  <c r="AB915" s="159"/>
      <c r="AC915" s="159"/>
      <c r="AD915" s="159"/>
      <c r="AE915" s="159"/>
      <c r="AF915" s="159"/>
    </row>
    <row r="916" spans="1:32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  <c r="AB916" s="159"/>
      <c r="AC916" s="159"/>
      <c r="AD916" s="159"/>
      <c r="AE916" s="159"/>
      <c r="AF916" s="159"/>
    </row>
    <row r="917" spans="1:32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  <c r="AB917" s="159"/>
      <c r="AC917" s="159"/>
      <c r="AD917" s="159"/>
      <c r="AE917" s="159"/>
      <c r="AF917" s="159"/>
    </row>
    <row r="918" spans="1:32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  <c r="AB918" s="159"/>
      <c r="AC918" s="159"/>
      <c r="AD918" s="159"/>
      <c r="AE918" s="159"/>
      <c r="AF918" s="159"/>
    </row>
    <row r="919" spans="1:32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  <c r="AB919" s="159"/>
      <c r="AC919" s="159"/>
      <c r="AD919" s="159"/>
      <c r="AE919" s="159"/>
      <c r="AF919" s="159"/>
    </row>
    <row r="920" spans="1:32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  <c r="AB920" s="159"/>
      <c r="AC920" s="159"/>
      <c r="AD920" s="159"/>
      <c r="AE920" s="159"/>
      <c r="AF920" s="159"/>
    </row>
    <row r="921" spans="1:32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  <c r="AB921" s="159"/>
      <c r="AC921" s="159"/>
      <c r="AD921" s="159"/>
      <c r="AE921" s="159"/>
      <c r="AF921" s="159"/>
    </row>
    <row r="922" spans="1:32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  <c r="AB922" s="159"/>
      <c r="AC922" s="159"/>
      <c r="AD922" s="159"/>
      <c r="AE922" s="159"/>
      <c r="AF922" s="159"/>
    </row>
    <row r="923" spans="1:32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  <c r="AB923" s="159"/>
      <c r="AC923" s="159"/>
      <c r="AD923" s="159"/>
      <c r="AE923" s="159"/>
      <c r="AF923" s="159"/>
    </row>
    <row r="924" spans="1:32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  <c r="AB924" s="159"/>
      <c r="AC924" s="159"/>
      <c r="AD924" s="159"/>
      <c r="AE924" s="159"/>
      <c r="AF924" s="159"/>
    </row>
    <row r="925" spans="1:32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  <c r="AB925" s="159"/>
      <c r="AC925" s="159"/>
      <c r="AD925" s="159"/>
      <c r="AE925" s="159"/>
      <c r="AF925" s="159"/>
    </row>
    <row r="926" spans="1:32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  <c r="AB926" s="159"/>
      <c r="AC926" s="159"/>
      <c r="AD926" s="159"/>
      <c r="AE926" s="159"/>
      <c r="AF926" s="159"/>
    </row>
    <row r="927" spans="1:32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  <c r="AB927" s="159"/>
      <c r="AC927" s="159"/>
      <c r="AD927" s="159"/>
      <c r="AE927" s="159"/>
      <c r="AF927" s="159"/>
    </row>
    <row r="928" spans="1:32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  <c r="AB928" s="159"/>
      <c r="AC928" s="159"/>
      <c r="AD928" s="159"/>
      <c r="AE928" s="159"/>
      <c r="AF928" s="159"/>
    </row>
    <row r="929" spans="1:32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  <c r="AB929" s="159"/>
      <c r="AC929" s="159"/>
      <c r="AD929" s="159"/>
      <c r="AE929" s="159"/>
      <c r="AF929" s="159"/>
    </row>
    <row r="930" spans="1:32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  <c r="AB930" s="159"/>
      <c r="AC930" s="159"/>
      <c r="AD930" s="159"/>
      <c r="AE930" s="159"/>
      <c r="AF930" s="159"/>
    </row>
    <row r="931" spans="1:32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  <c r="AB931" s="159"/>
      <c r="AC931" s="159"/>
      <c r="AD931" s="159"/>
      <c r="AE931" s="159"/>
      <c r="AF931" s="159"/>
    </row>
    <row r="932" spans="1:32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  <c r="AB932" s="159"/>
      <c r="AC932" s="159"/>
      <c r="AD932" s="159"/>
      <c r="AE932" s="159"/>
      <c r="AF932" s="159"/>
    </row>
    <row r="933" spans="1:32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  <c r="AB933" s="159"/>
      <c r="AC933" s="159"/>
      <c r="AD933" s="159"/>
      <c r="AE933" s="159"/>
      <c r="AF933" s="159"/>
    </row>
    <row r="934" spans="1:32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  <c r="AB934" s="159"/>
      <c r="AC934" s="159"/>
      <c r="AD934" s="159"/>
      <c r="AE934" s="159"/>
      <c r="AF934" s="159"/>
    </row>
    <row r="935" spans="1:32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  <c r="AB935" s="159"/>
      <c r="AC935" s="159"/>
      <c r="AD935" s="159"/>
      <c r="AE935" s="159"/>
      <c r="AF935" s="159"/>
    </row>
    <row r="936" spans="1:32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  <c r="AB936" s="159"/>
      <c r="AC936" s="159"/>
      <c r="AD936" s="159"/>
      <c r="AE936" s="159"/>
      <c r="AF936" s="159"/>
    </row>
    <row r="937" spans="1:32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  <c r="AB937" s="159"/>
      <c r="AC937" s="159"/>
      <c r="AD937" s="159"/>
      <c r="AE937" s="159"/>
      <c r="AF937" s="159"/>
    </row>
    <row r="938" spans="1:32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  <c r="AB938" s="159"/>
      <c r="AC938" s="159"/>
      <c r="AD938" s="159"/>
      <c r="AE938" s="159"/>
      <c r="AF938" s="159"/>
    </row>
    <row r="939" spans="1:32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  <c r="AB939" s="159"/>
      <c r="AC939" s="159"/>
      <c r="AD939" s="159"/>
      <c r="AE939" s="159"/>
      <c r="AF939" s="159"/>
    </row>
    <row r="940" spans="1:32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  <c r="AB940" s="159"/>
      <c r="AC940" s="159"/>
      <c r="AD940" s="159"/>
      <c r="AE940" s="159"/>
      <c r="AF940" s="159"/>
    </row>
    <row r="941" spans="1:32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  <c r="AB941" s="159"/>
      <c r="AC941" s="159"/>
      <c r="AD941" s="159"/>
      <c r="AE941" s="159"/>
      <c r="AF941" s="159"/>
    </row>
    <row r="942" spans="1:32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  <c r="AB942" s="159"/>
      <c r="AC942" s="159"/>
      <c r="AD942" s="159"/>
      <c r="AE942" s="159"/>
      <c r="AF942" s="159"/>
    </row>
    <row r="943" spans="1:32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  <c r="AB943" s="159"/>
      <c r="AC943" s="159"/>
      <c r="AD943" s="159"/>
      <c r="AE943" s="159"/>
      <c r="AF943" s="159"/>
    </row>
    <row r="944" spans="1:32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  <c r="AB944" s="159"/>
      <c r="AC944" s="159"/>
      <c r="AD944" s="159"/>
      <c r="AE944" s="159"/>
      <c r="AF944" s="159"/>
    </row>
    <row r="945" spans="1:32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  <c r="AB945" s="159"/>
      <c r="AC945" s="159"/>
      <c r="AD945" s="159"/>
      <c r="AE945" s="159"/>
      <c r="AF945" s="159"/>
    </row>
    <row r="946" spans="1:32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  <c r="AB946" s="159"/>
      <c r="AC946" s="159"/>
      <c r="AD946" s="159"/>
      <c r="AE946" s="159"/>
      <c r="AF946" s="159"/>
    </row>
    <row r="947" spans="1:32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  <c r="AB947" s="159"/>
      <c r="AC947" s="159"/>
      <c r="AD947" s="159"/>
      <c r="AE947" s="159"/>
      <c r="AF947" s="159"/>
    </row>
    <row r="948" spans="1:32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  <c r="AB948" s="159"/>
      <c r="AC948" s="159"/>
      <c r="AD948" s="159"/>
      <c r="AE948" s="159"/>
      <c r="AF948" s="159"/>
    </row>
    <row r="949" spans="1:32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  <c r="AB949" s="159"/>
      <c r="AC949" s="159"/>
      <c r="AD949" s="159"/>
      <c r="AE949" s="159"/>
      <c r="AF949" s="159"/>
    </row>
    <row r="950" spans="1:32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  <c r="AB950" s="159"/>
      <c r="AC950" s="159"/>
      <c r="AD950" s="159"/>
      <c r="AE950" s="159"/>
      <c r="AF950" s="159"/>
    </row>
    <row r="951" spans="1:32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  <c r="AB951" s="159"/>
      <c r="AC951" s="159"/>
      <c r="AD951" s="159"/>
      <c r="AE951" s="159"/>
      <c r="AF951" s="159"/>
    </row>
    <row r="952" spans="1:32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  <c r="AB952" s="159"/>
      <c r="AC952" s="159"/>
      <c r="AD952" s="159"/>
      <c r="AE952" s="159"/>
      <c r="AF952" s="159"/>
    </row>
    <row r="953" spans="1:32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  <c r="AB953" s="159"/>
      <c r="AC953" s="159"/>
      <c r="AD953" s="159"/>
      <c r="AE953" s="159"/>
      <c r="AF953" s="159"/>
    </row>
    <row r="954" spans="1:32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  <c r="AB954" s="159"/>
      <c r="AC954" s="159"/>
      <c r="AD954" s="159"/>
      <c r="AE954" s="159"/>
      <c r="AF954" s="159"/>
    </row>
    <row r="955" spans="1:32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  <c r="AB955" s="159"/>
      <c r="AC955" s="159"/>
      <c r="AD955" s="159"/>
      <c r="AE955" s="159"/>
      <c r="AF955" s="159"/>
    </row>
    <row r="956" spans="1:32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  <c r="AB956" s="159"/>
      <c r="AC956" s="159"/>
      <c r="AD956" s="159"/>
      <c r="AE956" s="159"/>
      <c r="AF956" s="159"/>
    </row>
    <row r="957" spans="1:32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  <c r="AB957" s="159"/>
      <c r="AC957" s="159"/>
      <c r="AD957" s="159"/>
      <c r="AE957" s="159"/>
      <c r="AF957" s="159"/>
    </row>
    <row r="958" spans="1:32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  <c r="AB958" s="159"/>
      <c r="AC958" s="159"/>
      <c r="AD958" s="159"/>
      <c r="AE958" s="159"/>
      <c r="AF958" s="159"/>
    </row>
    <row r="959" spans="1:32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  <c r="AB959" s="159"/>
      <c r="AC959" s="159"/>
      <c r="AD959" s="159"/>
      <c r="AE959" s="159"/>
      <c r="AF959" s="159"/>
    </row>
    <row r="960" spans="1:32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  <c r="AB960" s="159"/>
      <c r="AC960" s="159"/>
      <c r="AD960" s="159"/>
      <c r="AE960" s="159"/>
      <c r="AF960" s="159"/>
    </row>
    <row r="961" spans="1:32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  <c r="AB961" s="159"/>
      <c r="AC961" s="159"/>
      <c r="AD961" s="159"/>
      <c r="AE961" s="159"/>
      <c r="AF961" s="159"/>
    </row>
    <row r="962" spans="1:32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  <c r="AB962" s="159"/>
      <c r="AC962" s="159"/>
      <c r="AD962" s="159"/>
      <c r="AE962" s="159"/>
      <c r="AF962" s="159"/>
    </row>
    <row r="963" spans="1:32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  <c r="AB963" s="159"/>
      <c r="AC963" s="159"/>
      <c r="AD963" s="159"/>
      <c r="AE963" s="159"/>
      <c r="AF963" s="159"/>
    </row>
    <row r="964" spans="1:32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  <c r="AB964" s="159"/>
      <c r="AC964" s="159"/>
      <c r="AD964" s="159"/>
      <c r="AE964" s="159"/>
      <c r="AF964" s="159"/>
    </row>
    <row r="965" spans="1:32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  <c r="AB965" s="159"/>
      <c r="AC965" s="159"/>
      <c r="AD965" s="159"/>
      <c r="AE965" s="159"/>
      <c r="AF965" s="159"/>
    </row>
    <row r="966" spans="1:32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  <c r="AB966" s="159"/>
      <c r="AC966" s="159"/>
      <c r="AD966" s="159"/>
      <c r="AE966" s="159"/>
      <c r="AF966" s="159"/>
    </row>
    <row r="967" spans="1:32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  <c r="AB967" s="159"/>
      <c r="AC967" s="159"/>
      <c r="AD967" s="159"/>
      <c r="AE967" s="159"/>
      <c r="AF967" s="159"/>
    </row>
    <row r="968" spans="1:32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  <c r="AB968" s="159"/>
      <c r="AC968" s="159"/>
      <c r="AD968" s="159"/>
      <c r="AE968" s="159"/>
      <c r="AF968" s="159"/>
    </row>
    <row r="969" spans="1:32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  <c r="AB969" s="159"/>
      <c r="AC969" s="159"/>
      <c r="AD969" s="159"/>
      <c r="AE969" s="159"/>
      <c r="AF969" s="159"/>
    </row>
    <row r="970" spans="1:32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  <c r="AB970" s="159"/>
      <c r="AC970" s="159"/>
      <c r="AD970" s="159"/>
      <c r="AE970" s="159"/>
      <c r="AF970" s="159"/>
    </row>
    <row r="971" spans="1:32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  <c r="AB971" s="159"/>
      <c r="AC971" s="159"/>
      <c r="AD971" s="159"/>
      <c r="AE971" s="159"/>
      <c r="AF971" s="159"/>
    </row>
    <row r="972" spans="1:32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  <c r="AB972" s="159"/>
      <c r="AC972" s="159"/>
      <c r="AD972" s="159"/>
      <c r="AE972" s="159"/>
      <c r="AF972" s="159"/>
    </row>
    <row r="973" spans="1:32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  <c r="AB973" s="159"/>
      <c r="AC973" s="159"/>
      <c r="AD973" s="159"/>
      <c r="AE973" s="159"/>
      <c r="AF973" s="159"/>
    </row>
    <row r="974" spans="1:32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  <c r="AB974" s="159"/>
      <c r="AC974" s="159"/>
      <c r="AD974" s="159"/>
      <c r="AE974" s="159"/>
      <c r="AF974" s="159"/>
    </row>
    <row r="975" spans="1:32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  <c r="AB975" s="159"/>
      <c r="AC975" s="159"/>
      <c r="AD975" s="159"/>
      <c r="AE975" s="159"/>
      <c r="AF975" s="159"/>
    </row>
    <row r="976" spans="1:32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  <c r="AB976" s="159"/>
      <c r="AC976" s="159"/>
      <c r="AD976" s="159"/>
      <c r="AE976" s="159"/>
      <c r="AF976" s="159"/>
    </row>
    <row r="977" spans="1:32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  <c r="AB977" s="159"/>
      <c r="AC977" s="159"/>
      <c r="AD977" s="159"/>
      <c r="AE977" s="159"/>
      <c r="AF977" s="159"/>
    </row>
    <row r="978" spans="1:32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  <c r="AB978" s="159"/>
      <c r="AC978" s="159"/>
      <c r="AD978" s="159"/>
      <c r="AE978" s="159"/>
      <c r="AF978" s="159"/>
    </row>
    <row r="979" spans="1:32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  <c r="AB979" s="159"/>
      <c r="AC979" s="159"/>
      <c r="AD979" s="159"/>
      <c r="AE979" s="159"/>
      <c r="AF979" s="159"/>
    </row>
    <row r="980" spans="1:32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  <c r="AB980" s="159"/>
      <c r="AC980" s="159"/>
      <c r="AD980" s="159"/>
      <c r="AE980" s="159"/>
      <c r="AF980" s="159"/>
    </row>
    <row r="981" spans="1:32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  <c r="AB981" s="159"/>
      <c r="AC981" s="159"/>
      <c r="AD981" s="159"/>
      <c r="AE981" s="159"/>
      <c r="AF981" s="159"/>
    </row>
    <row r="982" spans="1:32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  <c r="AB982" s="159"/>
      <c r="AC982" s="159"/>
      <c r="AD982" s="159"/>
      <c r="AE982" s="159"/>
      <c r="AF982" s="159"/>
    </row>
    <row r="983" spans="1:32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  <c r="AB983" s="159"/>
      <c r="AC983" s="159"/>
      <c r="AD983" s="159"/>
      <c r="AE983" s="159"/>
      <c r="AF983" s="159"/>
    </row>
    <row r="984" spans="1:32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  <c r="AB984" s="159"/>
      <c r="AC984" s="159"/>
      <c r="AD984" s="159"/>
      <c r="AE984" s="159"/>
      <c r="AF984" s="159"/>
    </row>
    <row r="985" spans="1:32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  <c r="AB985" s="159"/>
      <c r="AC985" s="159"/>
      <c r="AD985" s="159"/>
      <c r="AE985" s="159"/>
      <c r="AF985" s="159"/>
    </row>
    <row r="986" spans="1:32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  <c r="AB986" s="159"/>
      <c r="AC986" s="159"/>
      <c r="AD986" s="159"/>
      <c r="AE986" s="159"/>
      <c r="AF986" s="159"/>
    </row>
    <row r="987" spans="1:32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  <c r="AB987" s="159"/>
      <c r="AC987" s="159"/>
      <c r="AD987" s="159"/>
      <c r="AE987" s="159"/>
      <c r="AF987" s="159"/>
    </row>
    <row r="988" spans="1:32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  <c r="AB988" s="159"/>
      <c r="AC988" s="159"/>
      <c r="AD988" s="159"/>
      <c r="AE988" s="159"/>
      <c r="AF988" s="159"/>
    </row>
    <row r="989" spans="1:32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  <c r="AB989" s="159"/>
      <c r="AC989" s="159"/>
      <c r="AD989" s="159"/>
      <c r="AE989" s="159"/>
      <c r="AF989" s="159"/>
    </row>
    <row r="990" spans="1:32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  <c r="AB990" s="159"/>
      <c r="AC990" s="159"/>
      <c r="AD990" s="159"/>
      <c r="AE990" s="159"/>
      <c r="AF990" s="159"/>
    </row>
    <row r="991" spans="1:32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  <c r="AB991" s="159"/>
      <c r="AC991" s="159"/>
      <c r="AD991" s="159"/>
      <c r="AE991" s="159"/>
      <c r="AF991" s="159"/>
    </row>
    <row r="992" spans="1:32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  <c r="AB992" s="159"/>
      <c r="AC992" s="159"/>
      <c r="AD992" s="159"/>
      <c r="AE992" s="159"/>
      <c r="AF992" s="159"/>
    </row>
    <row r="993" spans="1:32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  <c r="AB993" s="159"/>
      <c r="AC993" s="159"/>
      <c r="AD993" s="159"/>
      <c r="AE993" s="159"/>
      <c r="AF993" s="159"/>
    </row>
    <row r="994" spans="1:32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  <c r="AB994" s="159"/>
      <c r="AC994" s="159"/>
      <c r="AD994" s="159"/>
      <c r="AE994" s="159"/>
      <c r="AF994" s="159"/>
    </row>
    <row r="995" spans="1:32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  <c r="AB995" s="159"/>
      <c r="AC995" s="159"/>
      <c r="AD995" s="159"/>
      <c r="AE995" s="159"/>
      <c r="AF995" s="159"/>
    </row>
    <row r="996" spans="1:32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  <c r="AB996" s="159"/>
      <c r="AC996" s="159"/>
      <c r="AD996" s="159"/>
      <c r="AE996" s="159"/>
      <c r="AF996" s="159"/>
    </row>
    <row r="997" spans="1:32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  <c r="AB997" s="159"/>
      <c r="AC997" s="159"/>
      <c r="AD997" s="159"/>
      <c r="AE997" s="159"/>
      <c r="AF997" s="159"/>
    </row>
    <row r="998" spans="1:32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  <c r="AB998" s="159"/>
      <c r="AC998" s="159"/>
      <c r="AD998" s="159"/>
      <c r="AE998" s="159"/>
      <c r="AF998" s="159"/>
    </row>
    <row r="999" spans="1:32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  <c r="AB999" s="159"/>
      <c r="AC999" s="159"/>
      <c r="AD999" s="159"/>
      <c r="AE999" s="159"/>
      <c r="AF999" s="159"/>
    </row>
    <row r="1000" spans="1:32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  <c r="AB1000" s="159"/>
      <c r="AC1000" s="159"/>
      <c r="AD1000" s="159"/>
      <c r="AE1000" s="159"/>
      <c r="AF1000" s="159"/>
    </row>
    <row r="1001" spans="1:32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  <c r="AB1001" s="159"/>
      <c r="AC1001" s="159"/>
      <c r="AD1001" s="159"/>
      <c r="AE1001" s="159"/>
      <c r="AF1001" s="159"/>
    </row>
  </sheetData>
  <mergeCells count="16">
    <mergeCell ref="R3:U3"/>
    <mergeCell ref="W3:Z3"/>
    <mergeCell ref="AB3:AE3"/>
    <mergeCell ref="A58:F58"/>
    <mergeCell ref="H58:K58"/>
    <mergeCell ref="M58:P58"/>
    <mergeCell ref="R58:U58"/>
    <mergeCell ref="W58:Z58"/>
    <mergeCell ref="AB58:AE58"/>
    <mergeCell ref="M3:P3"/>
    <mergeCell ref="A1:F1"/>
    <mergeCell ref="G1:I1"/>
    <mergeCell ref="A2:F2"/>
    <mergeCell ref="G2:I2"/>
    <mergeCell ref="A3:F3"/>
    <mergeCell ref="H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01"/>
  <sheetViews>
    <sheetView workbookViewId="0">
      <selection activeCell="B16" sqref="B16:B17"/>
    </sheetView>
  </sheetViews>
  <sheetFormatPr baseColWidth="10" defaultColWidth="14.5" defaultRowHeight="15" customHeight="1"/>
  <cols>
    <col min="1" max="35" width="8.6640625" customWidth="1"/>
  </cols>
  <sheetData>
    <row r="1" spans="1:35">
      <c r="A1" s="294" t="s">
        <v>297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188"/>
      <c r="AB1" s="295"/>
      <c r="AC1" s="260"/>
      <c r="AD1" s="260"/>
      <c r="AE1" s="260"/>
      <c r="AF1" s="189"/>
    </row>
    <row r="2" spans="1:35">
      <c r="A2" s="296" t="s">
        <v>298</v>
      </c>
      <c r="B2" s="293" t="s">
        <v>299</v>
      </c>
      <c r="C2" s="297" t="s">
        <v>300</v>
      </c>
      <c r="D2" s="231"/>
      <c r="E2" s="231"/>
      <c r="F2" s="231"/>
      <c r="G2" s="232"/>
      <c r="H2" s="298" t="s">
        <v>301</v>
      </c>
      <c r="I2" s="231"/>
      <c r="J2" s="231"/>
      <c r="K2" s="231"/>
      <c r="L2" s="232"/>
      <c r="M2" s="299" t="s">
        <v>302</v>
      </c>
      <c r="N2" s="231"/>
      <c r="O2" s="231"/>
      <c r="P2" s="231"/>
      <c r="Q2" s="232"/>
      <c r="R2" s="290" t="s">
        <v>303</v>
      </c>
      <c r="S2" s="231"/>
      <c r="T2" s="231"/>
      <c r="U2" s="231"/>
      <c r="V2" s="232"/>
      <c r="W2" s="291" t="s">
        <v>304</v>
      </c>
      <c r="X2" s="231"/>
      <c r="Y2" s="231"/>
      <c r="Z2" s="231"/>
      <c r="AA2" s="232"/>
      <c r="AB2" s="292" t="s">
        <v>293</v>
      </c>
      <c r="AC2" s="231"/>
      <c r="AD2" s="231"/>
      <c r="AE2" s="232"/>
      <c r="AF2" s="293" t="s">
        <v>305</v>
      </c>
    </row>
    <row r="3" spans="1:35">
      <c r="A3" s="229"/>
      <c r="B3" s="229"/>
      <c r="C3" s="190" t="s">
        <v>306</v>
      </c>
      <c r="D3" s="190" t="s">
        <v>307</v>
      </c>
      <c r="E3" s="190" t="s">
        <v>308</v>
      </c>
      <c r="F3" s="190" t="s">
        <v>309</v>
      </c>
      <c r="G3" s="190" t="s">
        <v>310</v>
      </c>
      <c r="H3" s="191" t="s">
        <v>306</v>
      </c>
      <c r="I3" s="191" t="s">
        <v>307</v>
      </c>
      <c r="J3" s="191" t="s">
        <v>308</v>
      </c>
      <c r="K3" s="191" t="s">
        <v>309</v>
      </c>
      <c r="L3" s="191" t="s">
        <v>310</v>
      </c>
      <c r="M3" s="192" t="s">
        <v>306</v>
      </c>
      <c r="N3" s="192" t="s">
        <v>307</v>
      </c>
      <c r="O3" s="192" t="s">
        <v>308</v>
      </c>
      <c r="P3" s="192" t="s">
        <v>309</v>
      </c>
      <c r="Q3" s="192" t="s">
        <v>310</v>
      </c>
      <c r="R3" s="193" t="s">
        <v>306</v>
      </c>
      <c r="S3" s="193" t="s">
        <v>307</v>
      </c>
      <c r="T3" s="193" t="s">
        <v>308</v>
      </c>
      <c r="U3" s="193" t="s">
        <v>309</v>
      </c>
      <c r="V3" s="193" t="s">
        <v>310</v>
      </c>
      <c r="W3" s="194" t="s">
        <v>306</v>
      </c>
      <c r="X3" s="194" t="s">
        <v>307</v>
      </c>
      <c r="Y3" s="194" t="s">
        <v>308</v>
      </c>
      <c r="Z3" s="194" t="s">
        <v>309</v>
      </c>
      <c r="AA3" s="194" t="s">
        <v>310</v>
      </c>
      <c r="AB3" s="195" t="s">
        <v>306</v>
      </c>
      <c r="AC3" s="195" t="s">
        <v>307</v>
      </c>
      <c r="AD3" s="195" t="s">
        <v>308</v>
      </c>
      <c r="AE3" s="195" t="s">
        <v>309</v>
      </c>
      <c r="AF3" s="229"/>
      <c r="AG3" s="196"/>
      <c r="AH3" s="196"/>
      <c r="AI3" s="196"/>
    </row>
    <row r="4" spans="1:35">
      <c r="A4" s="197" t="s">
        <v>311</v>
      </c>
      <c r="B4" s="198">
        <v>44627</v>
      </c>
      <c r="C4" s="199" t="s">
        <v>312</v>
      </c>
      <c r="D4" s="199" t="s">
        <v>312</v>
      </c>
      <c r="E4" s="199" t="s">
        <v>312</v>
      </c>
      <c r="F4" s="199" t="s">
        <v>312</v>
      </c>
      <c r="G4" s="199" t="s">
        <v>312</v>
      </c>
      <c r="H4" s="199" t="s">
        <v>312</v>
      </c>
      <c r="I4" s="199" t="s">
        <v>312</v>
      </c>
      <c r="J4" s="199" t="s">
        <v>312</v>
      </c>
      <c r="K4" s="199" t="s">
        <v>312</v>
      </c>
      <c r="L4" s="199" t="s">
        <v>312</v>
      </c>
      <c r="M4" s="199" t="s">
        <v>312</v>
      </c>
      <c r="N4" s="199" t="s">
        <v>312</v>
      </c>
      <c r="O4" s="199" t="s">
        <v>312</v>
      </c>
      <c r="P4" s="199" t="s">
        <v>312</v>
      </c>
      <c r="Q4" s="199" t="s">
        <v>312</v>
      </c>
      <c r="R4" s="199" t="s">
        <v>312</v>
      </c>
      <c r="S4" s="199" t="s">
        <v>312</v>
      </c>
      <c r="T4" s="199" t="s">
        <v>312</v>
      </c>
      <c r="U4" s="199" t="s">
        <v>312</v>
      </c>
      <c r="V4" s="199" t="s">
        <v>312</v>
      </c>
      <c r="W4" s="199" t="s">
        <v>312</v>
      </c>
      <c r="X4" s="199" t="s">
        <v>312</v>
      </c>
      <c r="Y4" s="199" t="s">
        <v>312</v>
      </c>
      <c r="Z4" s="199" t="s">
        <v>312</v>
      </c>
      <c r="AA4" s="199" t="s">
        <v>312</v>
      </c>
      <c r="AB4" s="199" t="s">
        <v>312</v>
      </c>
      <c r="AC4" s="199" t="s">
        <v>312</v>
      </c>
      <c r="AD4" s="199" t="s">
        <v>312</v>
      </c>
      <c r="AE4" s="199" t="s">
        <v>312</v>
      </c>
      <c r="AF4" s="200">
        <v>44663</v>
      </c>
    </row>
    <row r="5" spans="1:35">
      <c r="A5" s="201" t="s">
        <v>51</v>
      </c>
      <c r="B5" s="202">
        <v>44627</v>
      </c>
      <c r="C5" s="203" t="s">
        <v>312</v>
      </c>
      <c r="D5" s="203" t="s">
        <v>312</v>
      </c>
      <c r="E5" s="203" t="s">
        <v>312</v>
      </c>
      <c r="F5" s="203" t="s">
        <v>312</v>
      </c>
      <c r="G5" s="203" t="s">
        <v>312</v>
      </c>
      <c r="H5" s="203" t="s">
        <v>312</v>
      </c>
      <c r="I5" s="203" t="s">
        <v>312</v>
      </c>
      <c r="J5" s="203" t="s">
        <v>312</v>
      </c>
      <c r="K5" s="203" t="s">
        <v>312</v>
      </c>
      <c r="L5" s="203" t="s">
        <v>312</v>
      </c>
      <c r="M5" s="203" t="s">
        <v>312</v>
      </c>
      <c r="N5" s="203" t="s">
        <v>312</v>
      </c>
      <c r="O5" s="203" t="s">
        <v>312</v>
      </c>
      <c r="P5" s="203" t="s">
        <v>312</v>
      </c>
      <c r="Q5" s="203" t="s">
        <v>312</v>
      </c>
      <c r="R5" s="203" t="s">
        <v>312</v>
      </c>
      <c r="S5" s="199" t="s">
        <v>312</v>
      </c>
      <c r="T5" s="204" t="s">
        <v>312</v>
      </c>
      <c r="U5" s="204" t="s">
        <v>312</v>
      </c>
      <c r="V5" s="204" t="s">
        <v>312</v>
      </c>
      <c r="W5" s="203" t="s">
        <v>312</v>
      </c>
      <c r="X5" s="203" t="s">
        <v>312</v>
      </c>
      <c r="Y5" s="203" t="s">
        <v>312</v>
      </c>
      <c r="Z5" s="203" t="s">
        <v>312</v>
      </c>
      <c r="AA5" s="203" t="s">
        <v>312</v>
      </c>
      <c r="AB5" s="203" t="s">
        <v>312</v>
      </c>
      <c r="AC5" s="203" t="s">
        <v>312</v>
      </c>
      <c r="AD5" s="203" t="s">
        <v>312</v>
      </c>
      <c r="AE5" s="203" t="s">
        <v>312</v>
      </c>
      <c r="AF5" s="205">
        <v>44662</v>
      </c>
    </row>
    <row r="7" spans="1:35">
      <c r="A7" s="294" t="s">
        <v>313</v>
      </c>
      <c r="B7" s="260"/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188"/>
      <c r="AB7" s="295"/>
      <c r="AC7" s="260"/>
      <c r="AD7" s="260"/>
      <c r="AE7" s="260"/>
    </row>
    <row r="8" spans="1:35">
      <c r="A8" s="296" t="s">
        <v>298</v>
      </c>
      <c r="B8" s="293" t="s">
        <v>299</v>
      </c>
      <c r="C8" s="297" t="s">
        <v>300</v>
      </c>
      <c r="D8" s="231"/>
      <c r="E8" s="231"/>
      <c r="F8" s="231"/>
      <c r="G8" s="232"/>
      <c r="H8" s="298" t="s">
        <v>301</v>
      </c>
      <c r="I8" s="231"/>
      <c r="J8" s="231"/>
      <c r="K8" s="231"/>
      <c r="L8" s="232"/>
      <c r="M8" s="299" t="s">
        <v>302</v>
      </c>
      <c r="N8" s="231"/>
      <c r="O8" s="231"/>
      <c r="P8" s="231"/>
      <c r="Q8" s="232"/>
      <c r="R8" s="290" t="s">
        <v>303</v>
      </c>
      <c r="S8" s="231"/>
      <c r="T8" s="231"/>
      <c r="U8" s="231"/>
      <c r="V8" s="232"/>
      <c r="W8" s="291" t="s">
        <v>304</v>
      </c>
      <c r="X8" s="231"/>
      <c r="Y8" s="231"/>
      <c r="Z8" s="231"/>
      <c r="AA8" s="232"/>
      <c r="AB8" s="292" t="s">
        <v>314</v>
      </c>
      <c r="AC8" s="231"/>
      <c r="AD8" s="231"/>
      <c r="AE8" s="231"/>
      <c r="AF8" s="232"/>
      <c r="AG8" s="293" t="s">
        <v>305</v>
      </c>
    </row>
    <row r="9" spans="1:35">
      <c r="A9" s="229"/>
      <c r="B9" s="229"/>
      <c r="C9" s="190" t="s">
        <v>306</v>
      </c>
      <c r="D9" s="190" t="s">
        <v>307</v>
      </c>
      <c r="E9" s="190" t="s">
        <v>308</v>
      </c>
      <c r="F9" s="190" t="s">
        <v>309</v>
      </c>
      <c r="G9" s="190" t="s">
        <v>310</v>
      </c>
      <c r="H9" s="191" t="s">
        <v>306</v>
      </c>
      <c r="I9" s="191" t="s">
        <v>307</v>
      </c>
      <c r="J9" s="191" t="s">
        <v>308</v>
      </c>
      <c r="K9" s="191" t="s">
        <v>309</v>
      </c>
      <c r="L9" s="191" t="s">
        <v>310</v>
      </c>
      <c r="M9" s="192" t="s">
        <v>306</v>
      </c>
      <c r="N9" s="192" t="s">
        <v>307</v>
      </c>
      <c r="O9" s="192" t="s">
        <v>308</v>
      </c>
      <c r="P9" s="192" t="s">
        <v>309</v>
      </c>
      <c r="Q9" s="192" t="s">
        <v>310</v>
      </c>
      <c r="R9" s="193" t="s">
        <v>306</v>
      </c>
      <c r="S9" s="193" t="s">
        <v>307</v>
      </c>
      <c r="T9" s="193" t="s">
        <v>308</v>
      </c>
      <c r="U9" s="193" t="s">
        <v>309</v>
      </c>
      <c r="V9" s="193" t="s">
        <v>310</v>
      </c>
      <c r="W9" s="194" t="s">
        <v>306</v>
      </c>
      <c r="X9" s="194" t="s">
        <v>307</v>
      </c>
      <c r="Y9" s="194" t="s">
        <v>308</v>
      </c>
      <c r="Z9" s="194" t="s">
        <v>309</v>
      </c>
      <c r="AA9" s="194" t="s">
        <v>310</v>
      </c>
      <c r="AB9" s="206" t="s">
        <v>306</v>
      </c>
      <c r="AC9" s="206" t="s">
        <v>307</v>
      </c>
      <c r="AD9" s="206" t="s">
        <v>308</v>
      </c>
      <c r="AE9" s="206" t="s">
        <v>309</v>
      </c>
      <c r="AF9" s="206" t="s">
        <v>310</v>
      </c>
      <c r="AG9" s="229"/>
    </row>
    <row r="10" spans="1:35">
      <c r="A10" s="197" t="s">
        <v>311</v>
      </c>
      <c r="B10" s="300">
        <v>44677</v>
      </c>
      <c r="C10" s="199" t="s">
        <v>312</v>
      </c>
      <c r="D10" s="199" t="s">
        <v>312</v>
      </c>
      <c r="E10" s="199" t="s">
        <v>312</v>
      </c>
      <c r="F10" s="199" t="s">
        <v>312</v>
      </c>
      <c r="G10" s="199" t="s">
        <v>312</v>
      </c>
      <c r="H10" s="199" t="s">
        <v>312</v>
      </c>
      <c r="I10" s="199" t="s">
        <v>312</v>
      </c>
      <c r="J10" s="199" t="s">
        <v>312</v>
      </c>
      <c r="K10" s="199" t="s">
        <v>312</v>
      </c>
      <c r="L10" s="199" t="s">
        <v>312</v>
      </c>
      <c r="M10" s="199" t="s">
        <v>312</v>
      </c>
      <c r="N10" s="199" t="s">
        <v>312</v>
      </c>
      <c r="O10" s="199" t="s">
        <v>312</v>
      </c>
      <c r="P10" s="199" t="s">
        <v>312</v>
      </c>
      <c r="Q10" s="199" t="s">
        <v>312</v>
      </c>
      <c r="R10" s="199" t="s">
        <v>312</v>
      </c>
      <c r="S10" s="199" t="s">
        <v>312</v>
      </c>
      <c r="T10" s="199" t="s">
        <v>312</v>
      </c>
      <c r="U10" s="199" t="s">
        <v>312</v>
      </c>
      <c r="V10" s="199" t="s">
        <v>312</v>
      </c>
      <c r="W10" s="199" t="s">
        <v>312</v>
      </c>
      <c r="X10" s="199" t="s">
        <v>312</v>
      </c>
      <c r="Y10" s="199" t="s">
        <v>312</v>
      </c>
      <c r="Z10" s="199" t="s">
        <v>312</v>
      </c>
      <c r="AA10" s="199" t="s">
        <v>312</v>
      </c>
      <c r="AB10" s="199" t="s">
        <v>312</v>
      </c>
      <c r="AC10" s="199" t="s">
        <v>312</v>
      </c>
      <c r="AD10" s="199" t="s">
        <v>312</v>
      </c>
      <c r="AE10" s="199" t="s">
        <v>312</v>
      </c>
      <c r="AF10" s="199" t="s">
        <v>312</v>
      </c>
      <c r="AG10" s="200">
        <v>44713</v>
      </c>
    </row>
    <row r="11" spans="1:35">
      <c r="A11" s="201" t="s">
        <v>51</v>
      </c>
      <c r="B11" s="229"/>
      <c r="C11" s="203" t="s">
        <v>312</v>
      </c>
      <c r="D11" s="203" t="s">
        <v>312</v>
      </c>
      <c r="E11" s="203" t="s">
        <v>312</v>
      </c>
      <c r="F11" s="203" t="s">
        <v>312</v>
      </c>
      <c r="G11" s="203" t="s">
        <v>312</v>
      </c>
      <c r="H11" s="203" t="s">
        <v>312</v>
      </c>
      <c r="I11" s="203" t="s">
        <v>312</v>
      </c>
      <c r="J11" s="203" t="s">
        <v>312</v>
      </c>
      <c r="K11" s="203" t="s">
        <v>312</v>
      </c>
      <c r="L11" s="203" t="s">
        <v>312</v>
      </c>
      <c r="M11" s="203" t="s">
        <v>312</v>
      </c>
      <c r="N11" s="203" t="s">
        <v>312</v>
      </c>
      <c r="O11" s="203" t="s">
        <v>312</v>
      </c>
      <c r="P11" s="203" t="s">
        <v>312</v>
      </c>
      <c r="Q11" s="203" t="s">
        <v>312</v>
      </c>
      <c r="R11" s="203" t="s">
        <v>312</v>
      </c>
      <c r="S11" s="203" t="s">
        <v>312</v>
      </c>
      <c r="T11" s="203" t="s">
        <v>312</v>
      </c>
      <c r="U11" s="203" t="s">
        <v>312</v>
      </c>
      <c r="V11" s="203" t="s">
        <v>312</v>
      </c>
      <c r="W11" s="203" t="s">
        <v>312</v>
      </c>
      <c r="X11" s="203" t="s">
        <v>312</v>
      </c>
      <c r="Y11" s="203" t="s">
        <v>312</v>
      </c>
      <c r="Z11" s="203" t="s">
        <v>312</v>
      </c>
      <c r="AA11" s="203" t="s">
        <v>312</v>
      </c>
      <c r="AB11" s="203" t="s">
        <v>312</v>
      </c>
      <c r="AC11" s="203" t="s">
        <v>312</v>
      </c>
      <c r="AD11" s="203" t="s">
        <v>312</v>
      </c>
      <c r="AE11" s="203" t="s">
        <v>312</v>
      </c>
      <c r="AF11" s="203" t="s">
        <v>312</v>
      </c>
      <c r="AG11" s="205">
        <v>44712</v>
      </c>
    </row>
    <row r="13" spans="1:35">
      <c r="A13" s="294" t="s">
        <v>313</v>
      </c>
      <c r="B13" s="260"/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260"/>
      <c r="O13" s="260"/>
      <c r="P13" s="260"/>
      <c r="Q13" s="260"/>
      <c r="R13" s="260"/>
      <c r="S13" s="260"/>
      <c r="T13" s="260"/>
      <c r="U13" s="260"/>
      <c r="V13" s="260"/>
      <c r="W13" s="260"/>
      <c r="X13" s="260"/>
      <c r="Y13" s="260"/>
      <c r="Z13" s="260"/>
      <c r="AA13" s="188"/>
      <c r="AB13" s="295"/>
      <c r="AC13" s="260"/>
      <c r="AD13" s="260"/>
      <c r="AE13" s="260"/>
    </row>
    <row r="14" spans="1:35">
      <c r="A14" s="296" t="s">
        <v>298</v>
      </c>
      <c r="B14" s="293" t="s">
        <v>299</v>
      </c>
      <c r="C14" s="297" t="s">
        <v>300</v>
      </c>
      <c r="D14" s="231"/>
      <c r="E14" s="231"/>
      <c r="F14" s="231"/>
      <c r="G14" s="232"/>
      <c r="H14" s="298" t="s">
        <v>301</v>
      </c>
      <c r="I14" s="231"/>
      <c r="J14" s="231"/>
      <c r="K14" s="231"/>
      <c r="L14" s="232"/>
      <c r="M14" s="299" t="s">
        <v>302</v>
      </c>
      <c r="N14" s="231"/>
      <c r="O14" s="231"/>
      <c r="P14" s="231"/>
      <c r="Q14" s="232"/>
      <c r="R14" s="290" t="s">
        <v>303</v>
      </c>
      <c r="S14" s="231"/>
      <c r="T14" s="231"/>
      <c r="U14" s="231"/>
      <c r="V14" s="232"/>
      <c r="W14" s="291" t="s">
        <v>304</v>
      </c>
      <c r="X14" s="231"/>
      <c r="Y14" s="231"/>
      <c r="Z14" s="231"/>
      <c r="AA14" s="232"/>
      <c r="AB14" s="292" t="s">
        <v>314</v>
      </c>
      <c r="AC14" s="231"/>
      <c r="AD14" s="231"/>
      <c r="AE14" s="231"/>
      <c r="AF14" s="232"/>
      <c r="AG14" s="293" t="s">
        <v>305</v>
      </c>
    </row>
    <row r="15" spans="1:35">
      <c r="A15" s="229"/>
      <c r="B15" s="229"/>
      <c r="C15" s="190" t="s">
        <v>306</v>
      </c>
      <c r="D15" s="190" t="s">
        <v>307</v>
      </c>
      <c r="E15" s="190" t="s">
        <v>308</v>
      </c>
      <c r="F15" s="190" t="s">
        <v>309</v>
      </c>
      <c r="G15" s="190" t="s">
        <v>310</v>
      </c>
      <c r="H15" s="191" t="s">
        <v>306</v>
      </c>
      <c r="I15" s="191" t="s">
        <v>307</v>
      </c>
      <c r="J15" s="191" t="s">
        <v>308</v>
      </c>
      <c r="K15" s="191" t="s">
        <v>309</v>
      </c>
      <c r="L15" s="191" t="s">
        <v>310</v>
      </c>
      <c r="M15" s="192" t="s">
        <v>306</v>
      </c>
      <c r="N15" s="192" t="s">
        <v>307</v>
      </c>
      <c r="O15" s="192" t="s">
        <v>308</v>
      </c>
      <c r="P15" s="192" t="s">
        <v>309</v>
      </c>
      <c r="Q15" s="192" t="s">
        <v>310</v>
      </c>
      <c r="R15" s="193" t="s">
        <v>306</v>
      </c>
      <c r="S15" s="193" t="s">
        <v>307</v>
      </c>
      <c r="T15" s="193" t="s">
        <v>308</v>
      </c>
      <c r="U15" s="193" t="s">
        <v>309</v>
      </c>
      <c r="V15" s="193" t="s">
        <v>310</v>
      </c>
      <c r="W15" s="194" t="s">
        <v>306</v>
      </c>
      <c r="X15" s="194" t="s">
        <v>307</v>
      </c>
      <c r="Y15" s="194" t="s">
        <v>308</v>
      </c>
      <c r="Z15" s="194" t="s">
        <v>309</v>
      </c>
      <c r="AA15" s="194" t="s">
        <v>310</v>
      </c>
      <c r="AB15" s="206" t="s">
        <v>306</v>
      </c>
      <c r="AC15" s="206" t="s">
        <v>307</v>
      </c>
      <c r="AD15" s="206" t="s">
        <v>308</v>
      </c>
      <c r="AE15" s="206" t="s">
        <v>309</v>
      </c>
      <c r="AF15" s="206" t="s">
        <v>310</v>
      </c>
      <c r="AG15" s="229"/>
    </row>
    <row r="16" spans="1:35">
      <c r="A16" s="197" t="s">
        <v>311</v>
      </c>
      <c r="B16" s="300">
        <v>44865</v>
      </c>
      <c r="C16" s="199" t="s">
        <v>315</v>
      </c>
      <c r="D16" s="199" t="s">
        <v>315</v>
      </c>
      <c r="E16" s="199" t="s">
        <v>315</v>
      </c>
      <c r="F16" s="199" t="s">
        <v>315</v>
      </c>
      <c r="G16" s="199" t="s">
        <v>315</v>
      </c>
      <c r="H16" s="199" t="s">
        <v>315</v>
      </c>
      <c r="I16" s="199"/>
      <c r="J16" s="199"/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200"/>
    </row>
    <row r="17" spans="1:33">
      <c r="A17" s="201" t="s">
        <v>51</v>
      </c>
      <c r="B17" s="229"/>
      <c r="C17" s="203" t="s">
        <v>315</v>
      </c>
      <c r="D17" s="203" t="s">
        <v>315</v>
      </c>
      <c r="E17" s="203" t="s">
        <v>315</v>
      </c>
      <c r="F17" s="203" t="s">
        <v>315</v>
      </c>
      <c r="G17" s="203" t="s">
        <v>315</v>
      </c>
      <c r="H17" s="203" t="s">
        <v>315</v>
      </c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5"/>
    </row>
    <row r="22" spans="1:33" ht="15.75" customHeight="1"/>
    <row r="23" spans="1:33" ht="15.75" customHeight="1"/>
    <row r="24" spans="1:33" ht="15.75" customHeight="1"/>
    <row r="25" spans="1:33" ht="15.75" customHeight="1"/>
    <row r="26" spans="1:33" ht="15.75" customHeight="1"/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5">
    <mergeCell ref="B16:B17"/>
    <mergeCell ref="B10:B11"/>
    <mergeCell ref="A13:Z13"/>
    <mergeCell ref="AB13:AE13"/>
    <mergeCell ref="A14:A15"/>
    <mergeCell ref="C14:G14"/>
    <mergeCell ref="H14:L14"/>
    <mergeCell ref="B14:B15"/>
    <mergeCell ref="AG14:AG15"/>
    <mergeCell ref="W14:AA14"/>
    <mergeCell ref="AB14:AF14"/>
    <mergeCell ref="M14:Q14"/>
    <mergeCell ref="R14:V14"/>
    <mergeCell ref="R2:V2"/>
    <mergeCell ref="W2:AA2"/>
    <mergeCell ref="AB2:AE2"/>
    <mergeCell ref="AF2:AF3"/>
    <mergeCell ref="A1:Z1"/>
    <mergeCell ref="AB1:AE1"/>
    <mergeCell ref="A2:A3"/>
    <mergeCell ref="B2:B3"/>
    <mergeCell ref="C2:G2"/>
    <mergeCell ref="H2:L2"/>
    <mergeCell ref="M2:Q2"/>
    <mergeCell ref="R8:V8"/>
    <mergeCell ref="W8:AA8"/>
    <mergeCell ref="AB8:AF8"/>
    <mergeCell ref="AG8:AG9"/>
    <mergeCell ref="A7:Z7"/>
    <mergeCell ref="AB7:AE7"/>
    <mergeCell ref="A8:A9"/>
    <mergeCell ref="B8:B9"/>
    <mergeCell ref="C8:G8"/>
    <mergeCell ref="H8:L8"/>
    <mergeCell ref="M8:Q8"/>
  </mergeCells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"/>
  <sheetViews>
    <sheetView workbookViewId="0">
      <selection sqref="A1:B1"/>
    </sheetView>
  </sheetViews>
  <sheetFormatPr baseColWidth="10" defaultColWidth="14.5" defaultRowHeight="15" customHeight="1"/>
  <sheetData>
    <row r="1" spans="1:8">
      <c r="A1" s="301" t="s">
        <v>297</v>
      </c>
      <c r="B1" s="232"/>
      <c r="D1" s="301" t="s">
        <v>313</v>
      </c>
      <c r="E1" s="232"/>
      <c r="G1" s="301" t="s">
        <v>316</v>
      </c>
      <c r="H1" s="232"/>
    </row>
    <row r="2" spans="1:8">
      <c r="A2" s="131" t="s">
        <v>46</v>
      </c>
      <c r="B2" s="207">
        <v>44509</v>
      </c>
      <c r="D2" s="131" t="s">
        <v>46</v>
      </c>
      <c r="E2" s="208">
        <v>44572</v>
      </c>
      <c r="G2" s="131" t="s">
        <v>46</v>
      </c>
      <c r="H2" s="208"/>
    </row>
    <row r="3" spans="1:8">
      <c r="A3" s="131" t="s">
        <v>51</v>
      </c>
      <c r="B3" s="207">
        <v>44523</v>
      </c>
      <c r="D3" s="131" t="s">
        <v>51</v>
      </c>
      <c r="E3" s="208">
        <v>44572</v>
      </c>
      <c r="G3" s="131" t="s">
        <v>51</v>
      </c>
      <c r="H3" s="208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5"/>
  <sheetViews>
    <sheetView workbookViewId="0"/>
  </sheetViews>
  <sheetFormatPr baseColWidth="10" defaultColWidth="14.5" defaultRowHeight="15" customHeight="1"/>
  <cols>
    <col min="1" max="1" width="20.5" customWidth="1"/>
    <col min="2" max="2" width="53.33203125" customWidth="1"/>
  </cols>
  <sheetData>
    <row r="1" spans="1:2">
      <c r="A1" s="209" t="s">
        <v>317</v>
      </c>
      <c r="B1" s="210" t="s">
        <v>318</v>
      </c>
    </row>
    <row r="2" spans="1:2">
      <c r="A2" s="211" t="s">
        <v>319</v>
      </c>
      <c r="B2" s="212" t="s">
        <v>320</v>
      </c>
    </row>
    <row r="3" spans="1:2">
      <c r="A3" s="211" t="s">
        <v>321</v>
      </c>
      <c r="B3" s="213" t="s">
        <v>322</v>
      </c>
    </row>
    <row r="4" spans="1:2">
      <c r="A4" s="211" t="s">
        <v>323</v>
      </c>
      <c r="B4" s="212" t="s">
        <v>324</v>
      </c>
    </row>
    <row r="5" spans="1:2">
      <c r="A5" s="211" t="s">
        <v>325</v>
      </c>
      <c r="B5" s="21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Database</vt:lpstr>
      <vt:lpstr>% fat mass</vt:lpstr>
      <vt:lpstr>Fat mass</vt:lpstr>
      <vt:lpstr>Body mass</vt:lpstr>
      <vt:lpstr>Body Comp Average</vt:lpstr>
      <vt:lpstr>qPCR</vt:lpstr>
      <vt:lpstr>Food Intake Calculation</vt:lpstr>
      <vt:lpstr>Injection Calculation</vt:lpstr>
      <vt:lpstr>Schedule of injections</vt:lpstr>
      <vt:lpstr>DOB</vt:lpstr>
      <vt:lpstr>Euthanasia 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Izabelle</dc:creator>
  <cp:lastModifiedBy>Carolina Loreto Sandoval Caballero</cp:lastModifiedBy>
  <dcterms:created xsi:type="dcterms:W3CDTF">2022-01-16T23:53:42Z</dcterms:created>
  <dcterms:modified xsi:type="dcterms:W3CDTF">2026-07-30T20:28:56Z</dcterms:modified>
</cp:coreProperties>
</file>