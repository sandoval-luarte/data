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"/>
    </mc:Choice>
  </mc:AlternateContent>
  <xr:revisionPtr revIDLastSave="0" documentId="11_14219165B8D3CE9A5CB4CC4432ED99775CE383FC" xr6:coauthVersionLast="47" xr6:coauthVersionMax="47" xr10:uidLastSave="{00000000-0000-0000-0000-000000000000}"/>
  <bookViews>
    <workbookView xWindow="0" yWindow="760" windowWidth="29400" windowHeight="16020" xr2:uid="{00000000-000D-0000-FFFF-FFFF00000000}"/>
  </bookViews>
  <sheets>
    <sheet name="Database" sheetId="1" r:id="rId1"/>
    <sheet name="% fat mass" sheetId="12" r:id="rId2"/>
    <sheet name="Fat mass" sheetId="10" r:id="rId3"/>
    <sheet name="Body mass" sheetId="9" r:id="rId4"/>
    <sheet name="Body Comp Average" sheetId="2" r:id="rId5"/>
    <sheet name="qPCR" sheetId="3" r:id="rId6"/>
    <sheet name="Food Intake Calculation" sheetId="4" r:id="rId7"/>
    <sheet name="Injection Calculation" sheetId="5" r:id="rId8"/>
    <sheet name="Schedule of injections" sheetId="6" r:id="rId9"/>
    <sheet name="DOB" sheetId="7" r:id="rId10"/>
    <sheet name="Euthanasia observations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XKo/iRElfK38cPd5KJJKWLYCIyw=="/>
    </ext>
  </extLst>
</workbook>
</file>

<file path=xl/calcChain.xml><?xml version="1.0" encoding="utf-8"?>
<calcChain xmlns="http://schemas.openxmlformats.org/spreadsheetml/2006/main">
  <c r="W29" i="12" l="1"/>
  <c r="X29" i="12" s="1"/>
  <c r="W28" i="12"/>
  <c r="X28" i="12" s="1"/>
  <c r="W27" i="12"/>
  <c r="X27" i="12" s="1"/>
  <c r="W26" i="12"/>
  <c r="X26" i="12" s="1"/>
  <c r="W25" i="12"/>
  <c r="X25" i="12" s="1"/>
  <c r="W24" i="12"/>
  <c r="X24" i="12" s="1"/>
  <c r="W23" i="12"/>
  <c r="X23" i="12" s="1"/>
  <c r="W22" i="12"/>
  <c r="X22" i="12" s="1"/>
  <c r="W21" i="12"/>
  <c r="X21" i="12" s="1"/>
  <c r="W20" i="12"/>
  <c r="X20" i="12" s="1"/>
  <c r="W19" i="12"/>
  <c r="X19" i="12" s="1"/>
  <c r="W18" i="12"/>
  <c r="X18" i="12" s="1"/>
  <c r="W16" i="12"/>
  <c r="X16" i="12" s="1"/>
  <c r="W15" i="12"/>
  <c r="X15" i="12" s="1"/>
  <c r="W14" i="12"/>
  <c r="X14" i="12" s="1"/>
  <c r="W13" i="12"/>
  <c r="X13" i="12" s="1"/>
  <c r="W12" i="12"/>
  <c r="X12" i="12" s="1"/>
  <c r="W11" i="12"/>
  <c r="X11" i="12" s="1"/>
  <c r="W9" i="12"/>
  <c r="X9" i="12" s="1"/>
  <c r="W8" i="12"/>
  <c r="X8" i="12" s="1"/>
  <c r="W7" i="12"/>
  <c r="X7" i="12" s="1"/>
  <c r="W6" i="12"/>
  <c r="X6" i="12" s="1"/>
  <c r="W5" i="12"/>
  <c r="X5" i="12" s="1"/>
  <c r="W4" i="12"/>
  <c r="X4" i="12" s="1"/>
  <c r="T29" i="12"/>
  <c r="T28" i="12"/>
  <c r="T27" i="12"/>
  <c r="T26" i="12"/>
  <c r="T25" i="12"/>
  <c r="T24" i="12"/>
  <c r="T23" i="12"/>
  <c r="T22" i="12"/>
  <c r="T21" i="12"/>
  <c r="T20" i="12"/>
  <c r="T19" i="12"/>
  <c r="T18" i="12"/>
  <c r="T16" i="12"/>
  <c r="T15" i="12"/>
  <c r="T14" i="12"/>
  <c r="T13" i="12"/>
  <c r="T12" i="12"/>
  <c r="T11" i="12"/>
  <c r="T9" i="12"/>
  <c r="T8" i="12"/>
  <c r="T7" i="12"/>
  <c r="T6" i="12"/>
  <c r="T5" i="12"/>
  <c r="T4" i="12"/>
  <c r="K28" i="12"/>
  <c r="L28" i="12" s="1"/>
  <c r="K27" i="12"/>
  <c r="L27" i="12" s="1"/>
  <c r="K26" i="12"/>
  <c r="L26" i="12" s="1"/>
  <c r="K25" i="12"/>
  <c r="L25" i="12" s="1"/>
  <c r="K24" i="12"/>
  <c r="L24" i="12" s="1"/>
  <c r="K23" i="12"/>
  <c r="L23" i="12" s="1"/>
  <c r="K22" i="12"/>
  <c r="L22" i="12" s="1"/>
  <c r="K21" i="12"/>
  <c r="L21" i="12" s="1"/>
  <c r="K20" i="12"/>
  <c r="L20" i="12" s="1"/>
  <c r="K19" i="12"/>
  <c r="L19" i="12" s="1"/>
  <c r="K18" i="12"/>
  <c r="L18" i="12" s="1"/>
  <c r="K16" i="12"/>
  <c r="L16" i="12" s="1"/>
  <c r="K15" i="12"/>
  <c r="L15" i="12" s="1"/>
  <c r="K14" i="12"/>
  <c r="L14" i="12" s="1"/>
  <c r="K13" i="12"/>
  <c r="L13" i="12" s="1"/>
  <c r="K12" i="12"/>
  <c r="L12" i="12" s="1"/>
  <c r="K11" i="12"/>
  <c r="L11" i="12" s="1"/>
  <c r="K9" i="12"/>
  <c r="L9" i="12" s="1"/>
  <c r="K8" i="12"/>
  <c r="L8" i="12" s="1"/>
  <c r="K7" i="12"/>
  <c r="L7" i="12" s="1"/>
  <c r="K6" i="12"/>
  <c r="L6" i="12" s="1"/>
  <c r="K5" i="12"/>
  <c r="L5" i="12" s="1"/>
  <c r="K4" i="12"/>
  <c r="L4" i="12" s="1"/>
  <c r="H28" i="12"/>
  <c r="H27" i="12"/>
  <c r="H26" i="12"/>
  <c r="H25" i="12"/>
  <c r="H24" i="12"/>
  <c r="H23" i="12"/>
  <c r="H22" i="12"/>
  <c r="H21" i="12"/>
  <c r="H20" i="12"/>
  <c r="H19" i="12"/>
  <c r="H18" i="12"/>
  <c r="H16" i="12"/>
  <c r="H15" i="12"/>
  <c r="H14" i="12"/>
  <c r="H13" i="12"/>
  <c r="H12" i="12"/>
  <c r="H11" i="12"/>
  <c r="H9" i="12"/>
  <c r="H8" i="12"/>
  <c r="H7" i="12"/>
  <c r="H6" i="12"/>
  <c r="H5" i="12"/>
  <c r="H4" i="12"/>
  <c r="P29" i="10" l="1"/>
  <c r="P28" i="10"/>
  <c r="H28" i="10"/>
  <c r="P27" i="10"/>
  <c r="H27" i="10"/>
  <c r="P26" i="10"/>
  <c r="H26" i="10"/>
  <c r="P25" i="10"/>
  <c r="H25" i="10"/>
  <c r="P24" i="10"/>
  <c r="H24" i="10"/>
  <c r="P23" i="10"/>
  <c r="H23" i="10"/>
  <c r="P22" i="10"/>
  <c r="H22" i="10"/>
  <c r="P21" i="10"/>
  <c r="H21" i="10"/>
  <c r="P20" i="10"/>
  <c r="H20" i="10"/>
  <c r="P19" i="10"/>
  <c r="H19" i="10"/>
  <c r="P18" i="10"/>
  <c r="H18" i="10"/>
  <c r="P16" i="10"/>
  <c r="H16" i="10"/>
  <c r="P15" i="10"/>
  <c r="H15" i="10"/>
  <c r="P14" i="10"/>
  <c r="H14" i="10"/>
  <c r="P13" i="10"/>
  <c r="H13" i="10"/>
  <c r="P12" i="10"/>
  <c r="H12" i="10"/>
  <c r="P11" i="10"/>
  <c r="H11" i="10"/>
  <c r="P9" i="10"/>
  <c r="H9" i="10"/>
  <c r="P8" i="10"/>
  <c r="H8" i="10"/>
  <c r="P7" i="10"/>
  <c r="H7" i="10"/>
  <c r="P6" i="10"/>
  <c r="H6" i="10"/>
  <c r="P5" i="10"/>
  <c r="H5" i="10"/>
  <c r="P4" i="10"/>
  <c r="H4" i="10"/>
  <c r="P29" i="9"/>
  <c r="P28" i="9"/>
  <c r="P27" i="9"/>
  <c r="P26" i="9"/>
  <c r="P25" i="9"/>
  <c r="P24" i="9"/>
  <c r="P23" i="9"/>
  <c r="P22" i="9"/>
  <c r="P21" i="9"/>
  <c r="P20" i="9"/>
  <c r="P19" i="9"/>
  <c r="P18" i="9"/>
  <c r="P16" i="9"/>
  <c r="P15" i="9"/>
  <c r="P14" i="9"/>
  <c r="P13" i="9"/>
  <c r="P12" i="9"/>
  <c r="P11" i="9"/>
  <c r="P9" i="9"/>
  <c r="P8" i="9"/>
  <c r="P7" i="9"/>
  <c r="P6" i="9"/>
  <c r="P5" i="9"/>
  <c r="P4" i="9"/>
  <c r="H28" i="9"/>
  <c r="H27" i="9"/>
  <c r="H26" i="9"/>
  <c r="H25" i="9"/>
  <c r="H24" i="9"/>
  <c r="H23" i="9"/>
  <c r="H22" i="9"/>
  <c r="H21" i="9"/>
  <c r="H20" i="9"/>
  <c r="H19" i="9"/>
  <c r="H18" i="9"/>
  <c r="H16" i="9"/>
  <c r="H15" i="9"/>
  <c r="H14" i="9"/>
  <c r="H13" i="9"/>
  <c r="H12" i="9"/>
  <c r="H11" i="9"/>
  <c r="H9" i="9"/>
  <c r="H8" i="9"/>
  <c r="H7" i="9"/>
  <c r="H6" i="9"/>
  <c r="H5" i="9"/>
  <c r="H4" i="9"/>
  <c r="AD82" i="5" l="1"/>
  <c r="AE82" i="5" s="1"/>
  <c r="Y82" i="5"/>
  <c r="Z82" i="5" s="1"/>
  <c r="T82" i="5"/>
  <c r="U82" i="5" s="1"/>
  <c r="O82" i="5"/>
  <c r="P82" i="5" s="1"/>
  <c r="J82" i="5"/>
  <c r="K82" i="5" s="1"/>
  <c r="E82" i="5"/>
  <c r="F82" i="5" s="1"/>
  <c r="AD81" i="5"/>
  <c r="AE81" i="5" s="1"/>
  <c r="Y81" i="5"/>
  <c r="Z81" i="5" s="1"/>
  <c r="T81" i="5"/>
  <c r="U81" i="5" s="1"/>
  <c r="O81" i="5"/>
  <c r="P81" i="5" s="1"/>
  <c r="J81" i="5"/>
  <c r="K81" i="5" s="1"/>
  <c r="E81" i="5"/>
  <c r="F81" i="5" s="1"/>
  <c r="AD80" i="5"/>
  <c r="AE80" i="5" s="1"/>
  <c r="Y80" i="5"/>
  <c r="Z80" i="5" s="1"/>
  <c r="T80" i="5"/>
  <c r="U80" i="5" s="1"/>
  <c r="O80" i="5"/>
  <c r="P80" i="5" s="1"/>
  <c r="J80" i="5"/>
  <c r="K80" i="5" s="1"/>
  <c r="E80" i="5"/>
  <c r="F80" i="5" s="1"/>
  <c r="AD79" i="5"/>
  <c r="AE79" i="5" s="1"/>
  <c r="Y79" i="5"/>
  <c r="Z79" i="5" s="1"/>
  <c r="T79" i="5"/>
  <c r="U79" i="5" s="1"/>
  <c r="O79" i="5"/>
  <c r="P79" i="5" s="1"/>
  <c r="J79" i="5"/>
  <c r="K79" i="5" s="1"/>
  <c r="E79" i="5"/>
  <c r="F79" i="5" s="1"/>
  <c r="AD78" i="5"/>
  <c r="AE78" i="5" s="1"/>
  <c r="Y78" i="5"/>
  <c r="Z78" i="5" s="1"/>
  <c r="T78" i="5"/>
  <c r="U78" i="5" s="1"/>
  <c r="O78" i="5"/>
  <c r="P78" i="5" s="1"/>
  <c r="J78" i="5"/>
  <c r="K78" i="5" s="1"/>
  <c r="E78" i="5"/>
  <c r="F78" i="5" s="1"/>
  <c r="AD77" i="5"/>
  <c r="AE77" i="5" s="1"/>
  <c r="Y77" i="5"/>
  <c r="Z77" i="5" s="1"/>
  <c r="T77" i="5"/>
  <c r="U77" i="5" s="1"/>
  <c r="O77" i="5"/>
  <c r="P77" i="5" s="1"/>
  <c r="J77" i="5"/>
  <c r="K77" i="5" s="1"/>
  <c r="E77" i="5"/>
  <c r="F77" i="5" s="1"/>
  <c r="AD76" i="5"/>
  <c r="AE76" i="5" s="1"/>
  <c r="Y76" i="5"/>
  <c r="Z76" i="5" s="1"/>
  <c r="T76" i="5"/>
  <c r="U76" i="5" s="1"/>
  <c r="O76" i="5"/>
  <c r="P76" i="5" s="1"/>
  <c r="J76" i="5"/>
  <c r="K76" i="5" s="1"/>
  <c r="E76" i="5"/>
  <c r="F76" i="5" s="1"/>
  <c r="AD75" i="5"/>
  <c r="AE75" i="5" s="1"/>
  <c r="Y75" i="5"/>
  <c r="Z75" i="5" s="1"/>
  <c r="T75" i="5"/>
  <c r="U75" i="5" s="1"/>
  <c r="O75" i="5"/>
  <c r="P75" i="5" s="1"/>
  <c r="J75" i="5"/>
  <c r="K75" i="5" s="1"/>
  <c r="E75" i="5"/>
  <c r="F75" i="5" s="1"/>
  <c r="AD74" i="5"/>
  <c r="AE74" i="5" s="1"/>
  <c r="Y74" i="5"/>
  <c r="Z74" i="5" s="1"/>
  <c r="T74" i="5"/>
  <c r="U74" i="5" s="1"/>
  <c r="O74" i="5"/>
  <c r="P74" i="5" s="1"/>
  <c r="J74" i="5"/>
  <c r="K74" i="5" s="1"/>
  <c r="E74" i="5"/>
  <c r="F74" i="5" s="1"/>
  <c r="AD73" i="5"/>
  <c r="AE73" i="5" s="1"/>
  <c r="Y73" i="5"/>
  <c r="Z73" i="5" s="1"/>
  <c r="T73" i="5"/>
  <c r="U73" i="5" s="1"/>
  <c r="O73" i="5"/>
  <c r="P73" i="5" s="1"/>
  <c r="J73" i="5"/>
  <c r="K73" i="5" s="1"/>
  <c r="E73" i="5"/>
  <c r="F73" i="5" s="1"/>
  <c r="AD72" i="5"/>
  <c r="AE72" i="5" s="1"/>
  <c r="Y72" i="5"/>
  <c r="Z72" i="5" s="1"/>
  <c r="T72" i="5"/>
  <c r="U72" i="5" s="1"/>
  <c r="O72" i="5"/>
  <c r="P72" i="5" s="1"/>
  <c r="J72" i="5"/>
  <c r="K72" i="5" s="1"/>
  <c r="E72" i="5"/>
  <c r="F72" i="5" s="1"/>
  <c r="AD71" i="5"/>
  <c r="AE71" i="5" s="1"/>
  <c r="Y71" i="5"/>
  <c r="Z71" i="5" s="1"/>
  <c r="T71" i="5"/>
  <c r="U71" i="5" s="1"/>
  <c r="O71" i="5"/>
  <c r="P71" i="5" s="1"/>
  <c r="J71" i="5"/>
  <c r="K71" i="5" s="1"/>
  <c r="E71" i="5"/>
  <c r="F71" i="5" s="1"/>
  <c r="AD70" i="5"/>
  <c r="AE70" i="5" s="1"/>
  <c r="Y70" i="5"/>
  <c r="Z70" i="5" s="1"/>
  <c r="T70" i="5"/>
  <c r="U70" i="5" s="1"/>
  <c r="O70" i="5"/>
  <c r="P70" i="5" s="1"/>
  <c r="J70" i="5"/>
  <c r="K70" i="5" s="1"/>
  <c r="E70" i="5"/>
  <c r="F70" i="5" s="1"/>
  <c r="AD69" i="5"/>
  <c r="AE69" i="5" s="1"/>
  <c r="Y69" i="5"/>
  <c r="Z69" i="5" s="1"/>
  <c r="T69" i="5"/>
  <c r="U69" i="5" s="1"/>
  <c r="O69" i="5"/>
  <c r="P69" i="5" s="1"/>
  <c r="J69" i="5"/>
  <c r="K69" i="5" s="1"/>
  <c r="E69" i="5"/>
  <c r="F69" i="5" s="1"/>
  <c r="AD68" i="5"/>
  <c r="AE68" i="5" s="1"/>
  <c r="Y68" i="5"/>
  <c r="Z68" i="5" s="1"/>
  <c r="T68" i="5"/>
  <c r="U68" i="5" s="1"/>
  <c r="O68" i="5"/>
  <c r="P68" i="5" s="1"/>
  <c r="J68" i="5"/>
  <c r="K68" i="5" s="1"/>
  <c r="E68" i="5"/>
  <c r="F68" i="5" s="1"/>
  <c r="AD67" i="5"/>
  <c r="AE67" i="5" s="1"/>
  <c r="Y67" i="5"/>
  <c r="Z67" i="5" s="1"/>
  <c r="T67" i="5"/>
  <c r="U67" i="5" s="1"/>
  <c r="O67" i="5"/>
  <c r="P67" i="5" s="1"/>
  <c r="J67" i="5"/>
  <c r="K67" i="5" s="1"/>
  <c r="E67" i="5"/>
  <c r="F67" i="5" s="1"/>
  <c r="AD66" i="5"/>
  <c r="AE66" i="5" s="1"/>
  <c r="Y66" i="5"/>
  <c r="Z66" i="5" s="1"/>
  <c r="T66" i="5"/>
  <c r="U66" i="5" s="1"/>
  <c r="O66" i="5"/>
  <c r="P66" i="5" s="1"/>
  <c r="J66" i="5"/>
  <c r="K66" i="5" s="1"/>
  <c r="E66" i="5"/>
  <c r="F66" i="5" s="1"/>
  <c r="AD65" i="5"/>
  <c r="AE65" i="5" s="1"/>
  <c r="Y65" i="5"/>
  <c r="Z65" i="5" s="1"/>
  <c r="T65" i="5"/>
  <c r="U65" i="5" s="1"/>
  <c r="O65" i="5"/>
  <c r="P65" i="5" s="1"/>
  <c r="J65" i="5"/>
  <c r="K65" i="5" s="1"/>
  <c r="E65" i="5"/>
  <c r="F65" i="5" s="1"/>
  <c r="AD64" i="5"/>
  <c r="AE64" i="5" s="1"/>
  <c r="Y64" i="5"/>
  <c r="Z64" i="5" s="1"/>
  <c r="T64" i="5"/>
  <c r="U64" i="5" s="1"/>
  <c r="O64" i="5"/>
  <c r="P64" i="5" s="1"/>
  <c r="J64" i="5"/>
  <c r="K64" i="5" s="1"/>
  <c r="E64" i="5"/>
  <c r="F64" i="5" s="1"/>
  <c r="AD63" i="5"/>
  <c r="AE63" i="5" s="1"/>
  <c r="Y63" i="5"/>
  <c r="Z63" i="5" s="1"/>
  <c r="T63" i="5"/>
  <c r="U63" i="5" s="1"/>
  <c r="O63" i="5"/>
  <c r="P63" i="5" s="1"/>
  <c r="J63" i="5"/>
  <c r="K63" i="5" s="1"/>
  <c r="E63" i="5"/>
  <c r="F63" i="5" s="1"/>
  <c r="AD62" i="5"/>
  <c r="AE62" i="5" s="1"/>
  <c r="Y62" i="5"/>
  <c r="Z62" i="5" s="1"/>
  <c r="T62" i="5"/>
  <c r="U62" i="5" s="1"/>
  <c r="O62" i="5"/>
  <c r="P62" i="5" s="1"/>
  <c r="J62" i="5"/>
  <c r="K62" i="5" s="1"/>
  <c r="E62" i="5"/>
  <c r="F62" i="5" s="1"/>
  <c r="AD61" i="5"/>
  <c r="AE61" i="5" s="1"/>
  <c r="Y61" i="5"/>
  <c r="Z61" i="5" s="1"/>
  <c r="T61" i="5"/>
  <c r="U61" i="5" s="1"/>
  <c r="O61" i="5"/>
  <c r="P61" i="5" s="1"/>
  <c r="J61" i="5"/>
  <c r="K61" i="5" s="1"/>
  <c r="E61" i="5"/>
  <c r="F61" i="5" s="1"/>
  <c r="AD60" i="5"/>
  <c r="AE60" i="5" s="1"/>
  <c r="Y60" i="5"/>
  <c r="Z60" i="5" s="1"/>
  <c r="T60" i="5"/>
  <c r="U60" i="5" s="1"/>
  <c r="O60" i="5"/>
  <c r="P60" i="5" s="1"/>
  <c r="J60" i="5"/>
  <c r="K60" i="5" s="1"/>
  <c r="E60" i="5"/>
  <c r="F60" i="5" s="1"/>
  <c r="AD54" i="5"/>
  <c r="AE54" i="5" s="1"/>
  <c r="Y54" i="5"/>
  <c r="Z54" i="5" s="1"/>
  <c r="T54" i="5"/>
  <c r="U54" i="5" s="1"/>
  <c r="O54" i="5"/>
  <c r="P54" i="5" s="1"/>
  <c r="J54" i="5"/>
  <c r="K54" i="5" s="1"/>
  <c r="E54" i="5"/>
  <c r="F54" i="5" s="1"/>
  <c r="AD53" i="5"/>
  <c r="AE53" i="5" s="1"/>
  <c r="Y53" i="5"/>
  <c r="Z53" i="5" s="1"/>
  <c r="T53" i="5"/>
  <c r="U53" i="5" s="1"/>
  <c r="O53" i="5"/>
  <c r="P53" i="5" s="1"/>
  <c r="J53" i="5"/>
  <c r="K53" i="5" s="1"/>
  <c r="E53" i="5"/>
  <c r="F53" i="5" s="1"/>
  <c r="AD52" i="5"/>
  <c r="AE52" i="5" s="1"/>
  <c r="Y52" i="5"/>
  <c r="Z52" i="5" s="1"/>
  <c r="T52" i="5"/>
  <c r="U52" i="5" s="1"/>
  <c r="O52" i="5"/>
  <c r="P52" i="5" s="1"/>
  <c r="J52" i="5"/>
  <c r="K52" i="5" s="1"/>
  <c r="E52" i="5"/>
  <c r="F52" i="5" s="1"/>
  <c r="AD51" i="5"/>
  <c r="AE51" i="5" s="1"/>
  <c r="Y51" i="5"/>
  <c r="Z51" i="5" s="1"/>
  <c r="T51" i="5"/>
  <c r="U51" i="5" s="1"/>
  <c r="O51" i="5"/>
  <c r="P51" i="5" s="1"/>
  <c r="J51" i="5"/>
  <c r="K51" i="5" s="1"/>
  <c r="E51" i="5"/>
  <c r="F51" i="5" s="1"/>
  <c r="AD50" i="5"/>
  <c r="AE50" i="5" s="1"/>
  <c r="Y50" i="5"/>
  <c r="Z50" i="5" s="1"/>
  <c r="T50" i="5"/>
  <c r="U50" i="5" s="1"/>
  <c r="O50" i="5"/>
  <c r="P50" i="5" s="1"/>
  <c r="J50" i="5"/>
  <c r="K50" i="5" s="1"/>
  <c r="E50" i="5"/>
  <c r="F50" i="5" s="1"/>
  <c r="AD49" i="5"/>
  <c r="AE49" i="5" s="1"/>
  <c r="Y49" i="5"/>
  <c r="Z49" i="5" s="1"/>
  <c r="T49" i="5"/>
  <c r="U49" i="5" s="1"/>
  <c r="O49" i="5"/>
  <c r="P49" i="5" s="1"/>
  <c r="J49" i="5"/>
  <c r="K49" i="5" s="1"/>
  <c r="E49" i="5"/>
  <c r="F49" i="5" s="1"/>
  <c r="AD48" i="5"/>
  <c r="AE48" i="5" s="1"/>
  <c r="Y48" i="5"/>
  <c r="Z48" i="5" s="1"/>
  <c r="T48" i="5"/>
  <c r="U48" i="5" s="1"/>
  <c r="O48" i="5"/>
  <c r="P48" i="5" s="1"/>
  <c r="J48" i="5"/>
  <c r="K48" i="5" s="1"/>
  <c r="E48" i="5"/>
  <c r="F48" i="5" s="1"/>
  <c r="AD47" i="5"/>
  <c r="AE47" i="5" s="1"/>
  <c r="Y47" i="5"/>
  <c r="Z47" i="5" s="1"/>
  <c r="T47" i="5"/>
  <c r="U47" i="5" s="1"/>
  <c r="O47" i="5"/>
  <c r="P47" i="5" s="1"/>
  <c r="J47" i="5"/>
  <c r="K47" i="5" s="1"/>
  <c r="E47" i="5"/>
  <c r="F47" i="5" s="1"/>
  <c r="AD46" i="5"/>
  <c r="AE46" i="5" s="1"/>
  <c r="Y46" i="5"/>
  <c r="Z46" i="5" s="1"/>
  <c r="T46" i="5"/>
  <c r="U46" i="5" s="1"/>
  <c r="O46" i="5"/>
  <c r="P46" i="5" s="1"/>
  <c r="J46" i="5"/>
  <c r="K46" i="5" s="1"/>
  <c r="E46" i="5"/>
  <c r="F46" i="5" s="1"/>
  <c r="AD45" i="5"/>
  <c r="AE45" i="5" s="1"/>
  <c r="Y45" i="5"/>
  <c r="Z45" i="5" s="1"/>
  <c r="T45" i="5"/>
  <c r="U45" i="5" s="1"/>
  <c r="O45" i="5"/>
  <c r="P45" i="5" s="1"/>
  <c r="J45" i="5"/>
  <c r="K45" i="5" s="1"/>
  <c r="E45" i="5"/>
  <c r="F45" i="5" s="1"/>
  <c r="AD44" i="5"/>
  <c r="AE44" i="5" s="1"/>
  <c r="Y44" i="5"/>
  <c r="Z44" i="5" s="1"/>
  <c r="T44" i="5"/>
  <c r="U44" i="5" s="1"/>
  <c r="O44" i="5"/>
  <c r="P44" i="5" s="1"/>
  <c r="J44" i="5"/>
  <c r="K44" i="5" s="1"/>
  <c r="E44" i="5"/>
  <c r="F44" i="5" s="1"/>
  <c r="AD43" i="5"/>
  <c r="AE43" i="5" s="1"/>
  <c r="Y43" i="5"/>
  <c r="Z43" i="5" s="1"/>
  <c r="T43" i="5"/>
  <c r="U43" i="5" s="1"/>
  <c r="O43" i="5"/>
  <c r="P43" i="5" s="1"/>
  <c r="J43" i="5"/>
  <c r="K43" i="5" s="1"/>
  <c r="E43" i="5"/>
  <c r="F43" i="5" s="1"/>
  <c r="AD42" i="5"/>
  <c r="AE42" i="5" s="1"/>
  <c r="Y42" i="5"/>
  <c r="Z42" i="5" s="1"/>
  <c r="T42" i="5"/>
  <c r="U42" i="5" s="1"/>
  <c r="O42" i="5"/>
  <c r="P42" i="5" s="1"/>
  <c r="J42" i="5"/>
  <c r="K42" i="5" s="1"/>
  <c r="E42" i="5"/>
  <c r="F42" i="5" s="1"/>
  <c r="AD41" i="5"/>
  <c r="AE41" i="5" s="1"/>
  <c r="Y41" i="5"/>
  <c r="Z41" i="5" s="1"/>
  <c r="T41" i="5"/>
  <c r="U41" i="5" s="1"/>
  <c r="O41" i="5"/>
  <c r="P41" i="5" s="1"/>
  <c r="J41" i="5"/>
  <c r="K41" i="5" s="1"/>
  <c r="E41" i="5"/>
  <c r="F41" i="5" s="1"/>
  <c r="AD40" i="5"/>
  <c r="AE40" i="5" s="1"/>
  <c r="Y40" i="5"/>
  <c r="Z40" i="5" s="1"/>
  <c r="T40" i="5"/>
  <c r="U40" i="5" s="1"/>
  <c r="O40" i="5"/>
  <c r="P40" i="5" s="1"/>
  <c r="J40" i="5"/>
  <c r="K40" i="5" s="1"/>
  <c r="E40" i="5"/>
  <c r="F40" i="5" s="1"/>
  <c r="AD39" i="5"/>
  <c r="AE39" i="5" s="1"/>
  <c r="Y39" i="5"/>
  <c r="Z39" i="5" s="1"/>
  <c r="T39" i="5"/>
  <c r="U39" i="5" s="1"/>
  <c r="O39" i="5"/>
  <c r="P39" i="5" s="1"/>
  <c r="J39" i="5"/>
  <c r="K39" i="5" s="1"/>
  <c r="E39" i="5"/>
  <c r="F39" i="5" s="1"/>
  <c r="AD38" i="5"/>
  <c r="AE38" i="5" s="1"/>
  <c r="Y38" i="5"/>
  <c r="Z38" i="5" s="1"/>
  <c r="T38" i="5"/>
  <c r="U38" i="5" s="1"/>
  <c r="O38" i="5"/>
  <c r="P38" i="5" s="1"/>
  <c r="J38" i="5"/>
  <c r="K38" i="5" s="1"/>
  <c r="E38" i="5"/>
  <c r="F38" i="5" s="1"/>
  <c r="AD37" i="5"/>
  <c r="AE37" i="5" s="1"/>
  <c r="Y37" i="5"/>
  <c r="Z37" i="5" s="1"/>
  <c r="T37" i="5"/>
  <c r="U37" i="5" s="1"/>
  <c r="O37" i="5"/>
  <c r="P37" i="5" s="1"/>
  <c r="J37" i="5"/>
  <c r="K37" i="5" s="1"/>
  <c r="E37" i="5"/>
  <c r="F37" i="5" s="1"/>
  <c r="AD36" i="5"/>
  <c r="AE36" i="5" s="1"/>
  <c r="Y36" i="5"/>
  <c r="Z36" i="5" s="1"/>
  <c r="T36" i="5"/>
  <c r="U36" i="5" s="1"/>
  <c r="O36" i="5"/>
  <c r="P36" i="5" s="1"/>
  <c r="J36" i="5"/>
  <c r="K36" i="5" s="1"/>
  <c r="E36" i="5"/>
  <c r="F36" i="5" s="1"/>
  <c r="AD35" i="5"/>
  <c r="AE35" i="5" s="1"/>
  <c r="Y35" i="5"/>
  <c r="Z35" i="5" s="1"/>
  <c r="T35" i="5"/>
  <c r="U35" i="5" s="1"/>
  <c r="O35" i="5"/>
  <c r="P35" i="5" s="1"/>
  <c r="J35" i="5"/>
  <c r="K35" i="5" s="1"/>
  <c r="E35" i="5"/>
  <c r="F35" i="5" s="1"/>
  <c r="AD34" i="5"/>
  <c r="AE34" i="5" s="1"/>
  <c r="Y34" i="5"/>
  <c r="Z34" i="5" s="1"/>
  <c r="T34" i="5"/>
  <c r="U34" i="5" s="1"/>
  <c r="O34" i="5"/>
  <c r="P34" i="5" s="1"/>
  <c r="J34" i="5"/>
  <c r="K34" i="5" s="1"/>
  <c r="E34" i="5"/>
  <c r="F34" i="5" s="1"/>
  <c r="AD33" i="5"/>
  <c r="AE33" i="5" s="1"/>
  <c r="Y33" i="5"/>
  <c r="Z33" i="5" s="1"/>
  <c r="T33" i="5"/>
  <c r="U33" i="5" s="1"/>
  <c r="O33" i="5"/>
  <c r="P33" i="5" s="1"/>
  <c r="J33" i="5"/>
  <c r="K33" i="5" s="1"/>
  <c r="E33" i="5"/>
  <c r="F33" i="5" s="1"/>
  <c r="AD32" i="5"/>
  <c r="AE32" i="5" s="1"/>
  <c r="Y32" i="5"/>
  <c r="Z32" i="5" s="1"/>
  <c r="T32" i="5"/>
  <c r="O32" i="5"/>
  <c r="J32" i="5"/>
  <c r="J55" i="5" s="1"/>
  <c r="E32" i="5"/>
  <c r="E55" i="5" s="1"/>
  <c r="AD31" i="5"/>
  <c r="AE31" i="5" s="1"/>
  <c r="Y31" i="5"/>
  <c r="Z31" i="5" s="1"/>
  <c r="T31" i="5"/>
  <c r="U31" i="5" s="1"/>
  <c r="O31" i="5"/>
  <c r="P31" i="5" s="1"/>
  <c r="J31" i="5"/>
  <c r="K31" i="5" s="1"/>
  <c r="E31" i="5"/>
  <c r="F31" i="5" s="1"/>
  <c r="AD28" i="5"/>
  <c r="AE28" i="5" s="1"/>
  <c r="Y28" i="5"/>
  <c r="Z28" i="5" s="1"/>
  <c r="T28" i="5"/>
  <c r="U28" i="5" s="1"/>
  <c r="O28" i="5"/>
  <c r="P28" i="5" s="1"/>
  <c r="J28" i="5"/>
  <c r="K28" i="5" s="1"/>
  <c r="E28" i="5"/>
  <c r="F28" i="5" s="1"/>
  <c r="AD27" i="5"/>
  <c r="AE27" i="5" s="1"/>
  <c r="Y27" i="5"/>
  <c r="Z27" i="5" s="1"/>
  <c r="T27" i="5"/>
  <c r="U27" i="5" s="1"/>
  <c r="O27" i="5"/>
  <c r="P27" i="5" s="1"/>
  <c r="J27" i="5"/>
  <c r="K27" i="5" s="1"/>
  <c r="E27" i="5"/>
  <c r="F27" i="5" s="1"/>
  <c r="AD26" i="5"/>
  <c r="AE26" i="5" s="1"/>
  <c r="Y26" i="5"/>
  <c r="Z26" i="5" s="1"/>
  <c r="T26" i="5"/>
  <c r="U26" i="5" s="1"/>
  <c r="O26" i="5"/>
  <c r="P26" i="5" s="1"/>
  <c r="J26" i="5"/>
  <c r="K26" i="5" s="1"/>
  <c r="E26" i="5"/>
  <c r="F26" i="5" s="1"/>
  <c r="AD25" i="5"/>
  <c r="AE25" i="5" s="1"/>
  <c r="Y25" i="5"/>
  <c r="Z25" i="5" s="1"/>
  <c r="T25" i="5"/>
  <c r="U25" i="5" s="1"/>
  <c r="O25" i="5"/>
  <c r="P25" i="5" s="1"/>
  <c r="J25" i="5"/>
  <c r="K25" i="5" s="1"/>
  <c r="E25" i="5"/>
  <c r="F25" i="5" s="1"/>
  <c r="AE24" i="5"/>
  <c r="AD24" i="5"/>
  <c r="Y24" i="5"/>
  <c r="Z24" i="5" s="1"/>
  <c r="T24" i="5"/>
  <c r="U24" i="5" s="1"/>
  <c r="O24" i="5"/>
  <c r="P24" i="5" s="1"/>
  <c r="K24" i="5"/>
  <c r="J24" i="5"/>
  <c r="E24" i="5"/>
  <c r="F24" i="5" s="1"/>
  <c r="AD23" i="5"/>
  <c r="AE23" i="5" s="1"/>
  <c r="Y23" i="5"/>
  <c r="Z23" i="5" s="1"/>
  <c r="T23" i="5"/>
  <c r="U23" i="5" s="1"/>
  <c r="O23" i="5"/>
  <c r="P23" i="5" s="1"/>
  <c r="J23" i="5"/>
  <c r="K23" i="5" s="1"/>
  <c r="E23" i="5"/>
  <c r="F23" i="5" s="1"/>
  <c r="AD22" i="5"/>
  <c r="AE22" i="5" s="1"/>
  <c r="Y22" i="5"/>
  <c r="Z22" i="5" s="1"/>
  <c r="T22" i="5"/>
  <c r="U22" i="5" s="1"/>
  <c r="O22" i="5"/>
  <c r="P22" i="5" s="1"/>
  <c r="J22" i="5"/>
  <c r="K22" i="5" s="1"/>
  <c r="E22" i="5"/>
  <c r="F22" i="5" s="1"/>
  <c r="AD21" i="5"/>
  <c r="AE21" i="5" s="1"/>
  <c r="Y21" i="5"/>
  <c r="Z21" i="5" s="1"/>
  <c r="T21" i="5"/>
  <c r="U21" i="5" s="1"/>
  <c r="O21" i="5"/>
  <c r="P21" i="5" s="1"/>
  <c r="J21" i="5"/>
  <c r="K21" i="5" s="1"/>
  <c r="E21" i="5"/>
  <c r="F21" i="5" s="1"/>
  <c r="AD20" i="5"/>
  <c r="AE20" i="5" s="1"/>
  <c r="Y20" i="5"/>
  <c r="Z20" i="5" s="1"/>
  <c r="T20" i="5"/>
  <c r="U20" i="5" s="1"/>
  <c r="O20" i="5"/>
  <c r="P20" i="5" s="1"/>
  <c r="J20" i="5"/>
  <c r="K20" i="5" s="1"/>
  <c r="E20" i="5"/>
  <c r="F20" i="5" s="1"/>
  <c r="AD19" i="5"/>
  <c r="AE19" i="5" s="1"/>
  <c r="Y19" i="5"/>
  <c r="Z19" i="5" s="1"/>
  <c r="T19" i="5"/>
  <c r="U19" i="5" s="1"/>
  <c r="O19" i="5"/>
  <c r="P19" i="5" s="1"/>
  <c r="J19" i="5"/>
  <c r="K19" i="5" s="1"/>
  <c r="E19" i="5"/>
  <c r="F19" i="5" s="1"/>
  <c r="AE18" i="5"/>
  <c r="AD18" i="5"/>
  <c r="Y18" i="5"/>
  <c r="Z18" i="5" s="1"/>
  <c r="T18" i="5"/>
  <c r="U18" i="5" s="1"/>
  <c r="O18" i="5"/>
  <c r="P18" i="5" s="1"/>
  <c r="J18" i="5"/>
  <c r="K18" i="5" s="1"/>
  <c r="E18" i="5"/>
  <c r="F18" i="5" s="1"/>
  <c r="AD17" i="5"/>
  <c r="AE17" i="5" s="1"/>
  <c r="Y17" i="5"/>
  <c r="Z17" i="5" s="1"/>
  <c r="T17" i="5"/>
  <c r="U17" i="5" s="1"/>
  <c r="O17" i="5"/>
  <c r="P17" i="5" s="1"/>
  <c r="J17" i="5"/>
  <c r="K17" i="5" s="1"/>
  <c r="E17" i="5"/>
  <c r="F17" i="5" s="1"/>
  <c r="AD16" i="5"/>
  <c r="AE16" i="5" s="1"/>
  <c r="Y16" i="5"/>
  <c r="Z16" i="5" s="1"/>
  <c r="T16" i="5"/>
  <c r="U16" i="5" s="1"/>
  <c r="O16" i="5"/>
  <c r="P16" i="5" s="1"/>
  <c r="J16" i="5"/>
  <c r="K16" i="5" s="1"/>
  <c r="E16" i="5"/>
  <c r="F16" i="5" s="1"/>
  <c r="AD15" i="5"/>
  <c r="AE15" i="5" s="1"/>
  <c r="Y15" i="5"/>
  <c r="Z15" i="5" s="1"/>
  <c r="T15" i="5"/>
  <c r="U15" i="5" s="1"/>
  <c r="O15" i="5"/>
  <c r="P15" i="5" s="1"/>
  <c r="J15" i="5"/>
  <c r="K15" i="5" s="1"/>
  <c r="E15" i="5"/>
  <c r="F15" i="5" s="1"/>
  <c r="AD14" i="5"/>
  <c r="AE14" i="5" s="1"/>
  <c r="Y14" i="5"/>
  <c r="Z14" i="5" s="1"/>
  <c r="T14" i="5"/>
  <c r="U14" i="5" s="1"/>
  <c r="O14" i="5"/>
  <c r="P14" i="5" s="1"/>
  <c r="J14" i="5"/>
  <c r="K14" i="5" s="1"/>
  <c r="E14" i="5"/>
  <c r="F14" i="5" s="1"/>
  <c r="AD13" i="5"/>
  <c r="AE13" i="5" s="1"/>
  <c r="Y13" i="5"/>
  <c r="Z13" i="5" s="1"/>
  <c r="T13" i="5"/>
  <c r="U13" i="5" s="1"/>
  <c r="O13" i="5"/>
  <c r="P13" i="5" s="1"/>
  <c r="J13" i="5"/>
  <c r="K13" i="5" s="1"/>
  <c r="E13" i="5"/>
  <c r="F13" i="5" s="1"/>
  <c r="AD12" i="5"/>
  <c r="AE12" i="5" s="1"/>
  <c r="Y12" i="5"/>
  <c r="Z12" i="5" s="1"/>
  <c r="T12" i="5"/>
  <c r="U12" i="5" s="1"/>
  <c r="O12" i="5"/>
  <c r="P12" i="5" s="1"/>
  <c r="J12" i="5"/>
  <c r="K12" i="5" s="1"/>
  <c r="E12" i="5"/>
  <c r="F12" i="5" s="1"/>
  <c r="AD11" i="5"/>
  <c r="AE11" i="5" s="1"/>
  <c r="Y11" i="5"/>
  <c r="Z11" i="5" s="1"/>
  <c r="T11" i="5"/>
  <c r="U11" i="5" s="1"/>
  <c r="O11" i="5"/>
  <c r="P11" i="5" s="1"/>
  <c r="J11" i="5"/>
  <c r="K11" i="5" s="1"/>
  <c r="E11" i="5"/>
  <c r="F11" i="5" s="1"/>
  <c r="AD10" i="5"/>
  <c r="AE10" i="5" s="1"/>
  <c r="Y10" i="5"/>
  <c r="Z10" i="5" s="1"/>
  <c r="T10" i="5"/>
  <c r="U10" i="5" s="1"/>
  <c r="O10" i="5"/>
  <c r="P10" i="5" s="1"/>
  <c r="J10" i="5"/>
  <c r="K10" i="5" s="1"/>
  <c r="E10" i="5"/>
  <c r="F10" i="5" s="1"/>
  <c r="AD9" i="5"/>
  <c r="AE9" i="5" s="1"/>
  <c r="Y9" i="5"/>
  <c r="Z9" i="5" s="1"/>
  <c r="T9" i="5"/>
  <c r="U9" i="5" s="1"/>
  <c r="O9" i="5"/>
  <c r="P9" i="5" s="1"/>
  <c r="J9" i="5"/>
  <c r="K9" i="5" s="1"/>
  <c r="E9" i="5"/>
  <c r="F9" i="5" s="1"/>
  <c r="AD8" i="5"/>
  <c r="AE8" i="5" s="1"/>
  <c r="Y8" i="5"/>
  <c r="Z8" i="5" s="1"/>
  <c r="T8" i="5"/>
  <c r="U8" i="5" s="1"/>
  <c r="O8" i="5"/>
  <c r="P8" i="5" s="1"/>
  <c r="J8" i="5"/>
  <c r="K8" i="5" s="1"/>
  <c r="E8" i="5"/>
  <c r="F8" i="5" s="1"/>
  <c r="AD7" i="5"/>
  <c r="AE7" i="5" s="1"/>
  <c r="Y7" i="5"/>
  <c r="Z7" i="5" s="1"/>
  <c r="T7" i="5"/>
  <c r="U7" i="5" s="1"/>
  <c r="O7" i="5"/>
  <c r="P7" i="5" s="1"/>
  <c r="J7" i="5"/>
  <c r="K7" i="5" s="1"/>
  <c r="E7" i="5"/>
  <c r="F7" i="5" s="1"/>
  <c r="AD6" i="5"/>
  <c r="AE6" i="5" s="1"/>
  <c r="Y6" i="5"/>
  <c r="Z6" i="5" s="1"/>
  <c r="T6" i="5"/>
  <c r="U6" i="5" s="1"/>
  <c r="O6" i="5"/>
  <c r="P6" i="5" s="1"/>
  <c r="J6" i="5"/>
  <c r="K6" i="5" s="1"/>
  <c r="E6" i="5"/>
  <c r="F6" i="5" s="1"/>
  <c r="AD5" i="5"/>
  <c r="AE5" i="5" s="1"/>
  <c r="Y5" i="5"/>
  <c r="Z5" i="5" s="1"/>
  <c r="T5" i="5"/>
  <c r="U5" i="5" s="1"/>
  <c r="O5" i="5"/>
  <c r="P5" i="5" s="1"/>
  <c r="J5" i="5"/>
  <c r="K5" i="5" s="1"/>
  <c r="E5" i="5"/>
  <c r="F5" i="5" s="1"/>
  <c r="AU82" i="4"/>
  <c r="AU81" i="4"/>
  <c r="AI81" i="4"/>
  <c r="AE81" i="4"/>
  <c r="AA81" i="4"/>
  <c r="W81" i="4"/>
  <c r="S81" i="4"/>
  <c r="O81" i="4"/>
  <c r="K81" i="4"/>
  <c r="G81" i="4"/>
  <c r="AU80" i="4"/>
  <c r="AI80" i="4"/>
  <c r="AE80" i="4"/>
  <c r="AA80" i="4"/>
  <c r="W80" i="4"/>
  <c r="S80" i="4"/>
  <c r="O80" i="4"/>
  <c r="K80" i="4"/>
  <c r="G80" i="4"/>
  <c r="AU79" i="4"/>
  <c r="AI79" i="4"/>
  <c r="AE79" i="4"/>
  <c r="AA79" i="4"/>
  <c r="W79" i="4"/>
  <c r="S79" i="4"/>
  <c r="O79" i="4"/>
  <c r="K79" i="4"/>
  <c r="G79" i="4"/>
  <c r="AU78" i="4"/>
  <c r="AI78" i="4"/>
  <c r="AE78" i="4"/>
  <c r="AA78" i="4"/>
  <c r="W78" i="4"/>
  <c r="S78" i="4"/>
  <c r="O78" i="4"/>
  <c r="K78" i="4"/>
  <c r="G78" i="4"/>
  <c r="AU77" i="4"/>
  <c r="AI77" i="4"/>
  <c r="AE77" i="4"/>
  <c r="AA77" i="4"/>
  <c r="W77" i="4"/>
  <c r="S77" i="4"/>
  <c r="O77" i="4"/>
  <c r="K77" i="4"/>
  <c r="G77" i="4"/>
  <c r="AU76" i="4"/>
  <c r="AI76" i="4"/>
  <c r="AE76" i="4"/>
  <c r="AA76" i="4"/>
  <c r="W76" i="4"/>
  <c r="S76" i="4"/>
  <c r="O76" i="4"/>
  <c r="K76" i="4"/>
  <c r="G76" i="4"/>
  <c r="AU75" i="4"/>
  <c r="AI75" i="4"/>
  <c r="AE75" i="4"/>
  <c r="AA75" i="4"/>
  <c r="W75" i="4"/>
  <c r="S75" i="4"/>
  <c r="O75" i="4"/>
  <c r="K75" i="4"/>
  <c r="G75" i="4"/>
  <c r="AU74" i="4"/>
  <c r="AI74" i="4"/>
  <c r="AE74" i="4"/>
  <c r="AA74" i="4"/>
  <c r="W74" i="4"/>
  <c r="S74" i="4"/>
  <c r="O74" i="4"/>
  <c r="K74" i="4"/>
  <c r="G74" i="4"/>
  <c r="AU73" i="4"/>
  <c r="AI73" i="4"/>
  <c r="AE73" i="4"/>
  <c r="AA73" i="4"/>
  <c r="W73" i="4"/>
  <c r="S73" i="4"/>
  <c r="O73" i="4"/>
  <c r="K73" i="4"/>
  <c r="G73" i="4"/>
  <c r="AU72" i="4"/>
  <c r="AI72" i="4"/>
  <c r="AE72" i="4"/>
  <c r="AA72" i="4"/>
  <c r="W72" i="4"/>
  <c r="S72" i="4"/>
  <c r="O72" i="4"/>
  <c r="K72" i="4"/>
  <c r="G72" i="4"/>
  <c r="AU71" i="4"/>
  <c r="AI71" i="4"/>
  <c r="AE71" i="4"/>
  <c r="AA71" i="4"/>
  <c r="W71" i="4"/>
  <c r="S71" i="4"/>
  <c r="O71" i="4"/>
  <c r="K71" i="4"/>
  <c r="G71" i="4"/>
  <c r="AU70" i="4"/>
  <c r="AI70" i="4"/>
  <c r="AE70" i="4"/>
  <c r="AA70" i="4"/>
  <c r="W70" i="4"/>
  <c r="S70" i="4"/>
  <c r="O70" i="4"/>
  <c r="K70" i="4"/>
  <c r="G70" i="4"/>
  <c r="AU69" i="4"/>
  <c r="AI69" i="4"/>
  <c r="AE69" i="4"/>
  <c r="AA69" i="4"/>
  <c r="W69" i="4"/>
  <c r="S69" i="4"/>
  <c r="O69" i="4"/>
  <c r="K69" i="4"/>
  <c r="G69" i="4"/>
  <c r="AU68" i="4"/>
  <c r="AI68" i="4"/>
  <c r="AE68" i="4"/>
  <c r="AA68" i="4"/>
  <c r="W68" i="4"/>
  <c r="S68" i="4"/>
  <c r="O68" i="4"/>
  <c r="K68" i="4"/>
  <c r="G68" i="4"/>
  <c r="AU67" i="4"/>
  <c r="AI67" i="4"/>
  <c r="AE67" i="4"/>
  <c r="AA67" i="4"/>
  <c r="W67" i="4"/>
  <c r="S67" i="4"/>
  <c r="O67" i="4"/>
  <c r="K67" i="4"/>
  <c r="G67" i="4"/>
  <c r="AU66" i="4"/>
  <c r="AI66" i="4"/>
  <c r="AE66" i="4"/>
  <c r="AA66" i="4"/>
  <c r="W66" i="4"/>
  <c r="S66" i="4"/>
  <c r="O66" i="4"/>
  <c r="K66" i="4"/>
  <c r="G66" i="4"/>
  <c r="AU65" i="4"/>
  <c r="AI65" i="4"/>
  <c r="AE65" i="4"/>
  <c r="AA65" i="4"/>
  <c r="W65" i="4"/>
  <c r="S65" i="4"/>
  <c r="O65" i="4"/>
  <c r="K65" i="4"/>
  <c r="G65" i="4"/>
  <c r="AU64" i="4"/>
  <c r="AI64" i="4"/>
  <c r="AE64" i="4"/>
  <c r="AA64" i="4"/>
  <c r="W64" i="4"/>
  <c r="S64" i="4"/>
  <c r="O64" i="4"/>
  <c r="K64" i="4"/>
  <c r="G64" i="4"/>
  <c r="AU63" i="4"/>
  <c r="AI63" i="4"/>
  <c r="AE63" i="4"/>
  <c r="AA63" i="4"/>
  <c r="W63" i="4"/>
  <c r="S63" i="4"/>
  <c r="O63" i="4"/>
  <c r="K63" i="4"/>
  <c r="G63" i="4"/>
  <c r="AU62" i="4"/>
  <c r="AI62" i="4"/>
  <c r="AE62" i="4"/>
  <c r="AA62" i="4"/>
  <c r="W62" i="4"/>
  <c r="S62" i="4"/>
  <c r="O62" i="4"/>
  <c r="K62" i="4"/>
  <c r="G62" i="4"/>
  <c r="AU61" i="4"/>
  <c r="AI61" i="4"/>
  <c r="AE61" i="4"/>
  <c r="AA61" i="4"/>
  <c r="W61" i="4"/>
  <c r="S61" i="4"/>
  <c r="O61" i="4"/>
  <c r="K61" i="4"/>
  <c r="G61" i="4"/>
  <c r="AU60" i="4"/>
  <c r="AI60" i="4"/>
  <c r="AE60" i="4"/>
  <c r="AA60" i="4"/>
  <c r="W60" i="4"/>
  <c r="S60" i="4"/>
  <c r="O60" i="4"/>
  <c r="K60" i="4"/>
  <c r="G60" i="4"/>
  <c r="AU59" i="4"/>
  <c r="AI59" i="4"/>
  <c r="AE59" i="4"/>
  <c r="AA59" i="4"/>
  <c r="W59" i="4"/>
  <c r="S59" i="4"/>
  <c r="O59" i="4"/>
  <c r="K59" i="4"/>
  <c r="G59" i="4"/>
  <c r="AU55" i="4"/>
  <c r="AQ55" i="4"/>
  <c r="AM55" i="4"/>
  <c r="AI55" i="4"/>
  <c r="AE55" i="4"/>
  <c r="AA55" i="4"/>
  <c r="W55" i="4"/>
  <c r="S55" i="4"/>
  <c r="O55" i="4"/>
  <c r="K55" i="4"/>
  <c r="G55" i="4"/>
  <c r="AU54" i="4"/>
  <c r="AQ54" i="4"/>
  <c r="AM54" i="4"/>
  <c r="AI54" i="4"/>
  <c r="AE54" i="4"/>
  <c r="AA54" i="4"/>
  <c r="W54" i="4"/>
  <c r="S54" i="4"/>
  <c r="O54" i="4"/>
  <c r="K54" i="4"/>
  <c r="G54" i="4"/>
  <c r="AU53" i="4"/>
  <c r="AQ53" i="4"/>
  <c r="AM53" i="4"/>
  <c r="AI53" i="4"/>
  <c r="AE53" i="4"/>
  <c r="AA53" i="4"/>
  <c r="W53" i="4"/>
  <c r="S53" i="4"/>
  <c r="O53" i="4"/>
  <c r="K53" i="4"/>
  <c r="G53" i="4"/>
  <c r="AU52" i="4"/>
  <c r="AQ52" i="4"/>
  <c r="AM52" i="4"/>
  <c r="AI52" i="4"/>
  <c r="AE52" i="4"/>
  <c r="AA52" i="4"/>
  <c r="W52" i="4"/>
  <c r="S52" i="4"/>
  <c r="O52" i="4"/>
  <c r="K52" i="4"/>
  <c r="G52" i="4"/>
  <c r="AU51" i="4"/>
  <c r="AQ51" i="4"/>
  <c r="AM51" i="4"/>
  <c r="AI51" i="4"/>
  <c r="AE51" i="4"/>
  <c r="AA51" i="4"/>
  <c r="W51" i="4"/>
  <c r="S51" i="4"/>
  <c r="O51" i="4"/>
  <c r="K51" i="4"/>
  <c r="G51" i="4"/>
  <c r="AU50" i="4"/>
  <c r="AQ50" i="4"/>
  <c r="AM50" i="4"/>
  <c r="AI50" i="4"/>
  <c r="AE50" i="4"/>
  <c r="AA50" i="4"/>
  <c r="W50" i="4"/>
  <c r="S50" i="4"/>
  <c r="O50" i="4"/>
  <c r="K50" i="4"/>
  <c r="G50" i="4"/>
  <c r="AU49" i="4"/>
  <c r="AQ49" i="4"/>
  <c r="AM49" i="4"/>
  <c r="AI49" i="4"/>
  <c r="AE49" i="4"/>
  <c r="AA49" i="4"/>
  <c r="W49" i="4"/>
  <c r="S49" i="4"/>
  <c r="O49" i="4"/>
  <c r="K49" i="4"/>
  <c r="G49" i="4"/>
  <c r="AU48" i="4"/>
  <c r="AQ48" i="4"/>
  <c r="AM48" i="4"/>
  <c r="AI48" i="4"/>
  <c r="AE48" i="4"/>
  <c r="AA48" i="4"/>
  <c r="W48" i="4"/>
  <c r="S48" i="4"/>
  <c r="O48" i="4"/>
  <c r="K48" i="4"/>
  <c r="G48" i="4"/>
  <c r="AU47" i="4"/>
  <c r="AQ47" i="4"/>
  <c r="AM47" i="4"/>
  <c r="AI47" i="4"/>
  <c r="AE47" i="4"/>
  <c r="AA47" i="4"/>
  <c r="W47" i="4"/>
  <c r="S47" i="4"/>
  <c r="O47" i="4"/>
  <c r="K47" i="4"/>
  <c r="G47" i="4"/>
  <c r="AU46" i="4"/>
  <c r="AQ46" i="4"/>
  <c r="AM46" i="4"/>
  <c r="AI46" i="4"/>
  <c r="AE46" i="4"/>
  <c r="AA46" i="4"/>
  <c r="W46" i="4"/>
  <c r="S46" i="4"/>
  <c r="O46" i="4"/>
  <c r="K46" i="4"/>
  <c r="G46" i="4"/>
  <c r="AU45" i="4"/>
  <c r="AQ45" i="4"/>
  <c r="AM45" i="4"/>
  <c r="AI45" i="4"/>
  <c r="AE45" i="4"/>
  <c r="AA45" i="4"/>
  <c r="W45" i="4"/>
  <c r="S45" i="4"/>
  <c r="O45" i="4"/>
  <c r="K45" i="4"/>
  <c r="G45" i="4"/>
  <c r="AU44" i="4"/>
  <c r="AQ44" i="4"/>
  <c r="AM44" i="4"/>
  <c r="AI44" i="4"/>
  <c r="AE44" i="4"/>
  <c r="AA44" i="4"/>
  <c r="W44" i="4"/>
  <c r="S44" i="4"/>
  <c r="O44" i="4"/>
  <c r="K44" i="4"/>
  <c r="G44" i="4"/>
  <c r="AU43" i="4"/>
  <c r="AQ43" i="4"/>
  <c r="AM43" i="4"/>
  <c r="AI43" i="4"/>
  <c r="AE43" i="4"/>
  <c r="AA43" i="4"/>
  <c r="W43" i="4"/>
  <c r="S43" i="4"/>
  <c r="O43" i="4"/>
  <c r="K43" i="4"/>
  <c r="G43" i="4"/>
  <c r="AU42" i="4"/>
  <c r="AQ42" i="4"/>
  <c r="AM42" i="4"/>
  <c r="AI42" i="4"/>
  <c r="AE42" i="4"/>
  <c r="AA42" i="4"/>
  <c r="W42" i="4"/>
  <c r="S42" i="4"/>
  <c r="O42" i="4"/>
  <c r="K42" i="4"/>
  <c r="G42" i="4"/>
  <c r="AU41" i="4"/>
  <c r="AQ41" i="4"/>
  <c r="AM41" i="4"/>
  <c r="AI41" i="4"/>
  <c r="AE41" i="4"/>
  <c r="AA41" i="4"/>
  <c r="W41" i="4"/>
  <c r="S41" i="4"/>
  <c r="O41" i="4"/>
  <c r="K41" i="4"/>
  <c r="G41" i="4"/>
  <c r="AU40" i="4"/>
  <c r="AQ40" i="4"/>
  <c r="AM40" i="4"/>
  <c r="AI40" i="4"/>
  <c r="AE40" i="4"/>
  <c r="AA40" i="4"/>
  <c r="W40" i="4"/>
  <c r="S40" i="4"/>
  <c r="O40" i="4"/>
  <c r="K40" i="4"/>
  <c r="G40" i="4"/>
  <c r="AU39" i="4"/>
  <c r="AQ39" i="4"/>
  <c r="AM39" i="4"/>
  <c r="AI39" i="4"/>
  <c r="AE39" i="4"/>
  <c r="AA39" i="4"/>
  <c r="W39" i="4"/>
  <c r="S39" i="4"/>
  <c r="O39" i="4"/>
  <c r="K39" i="4"/>
  <c r="G39" i="4"/>
  <c r="AU38" i="4"/>
  <c r="AQ38" i="4"/>
  <c r="AM38" i="4"/>
  <c r="AI38" i="4"/>
  <c r="AE38" i="4"/>
  <c r="AA38" i="4"/>
  <c r="W38" i="4"/>
  <c r="S38" i="4"/>
  <c r="O38" i="4"/>
  <c r="K38" i="4"/>
  <c r="G38" i="4"/>
  <c r="AU37" i="4"/>
  <c r="AQ37" i="4"/>
  <c r="AM37" i="4"/>
  <c r="AI37" i="4"/>
  <c r="AE37" i="4"/>
  <c r="AA37" i="4"/>
  <c r="W37" i="4"/>
  <c r="S37" i="4"/>
  <c r="O37" i="4"/>
  <c r="K37" i="4"/>
  <c r="G37" i="4"/>
  <c r="AU36" i="4"/>
  <c r="AQ36" i="4"/>
  <c r="AM36" i="4"/>
  <c r="AI36" i="4"/>
  <c r="AE36" i="4"/>
  <c r="AA36" i="4"/>
  <c r="W36" i="4"/>
  <c r="S36" i="4"/>
  <c r="O36" i="4"/>
  <c r="K36" i="4"/>
  <c r="G36" i="4"/>
  <c r="AU35" i="4"/>
  <c r="AQ35" i="4"/>
  <c r="AM35" i="4"/>
  <c r="AI35" i="4"/>
  <c r="AE35" i="4"/>
  <c r="AA35" i="4"/>
  <c r="W35" i="4"/>
  <c r="S35" i="4"/>
  <c r="O35" i="4"/>
  <c r="K35" i="4"/>
  <c r="G35" i="4"/>
  <c r="AU34" i="4"/>
  <c r="AQ34" i="4"/>
  <c r="AM34" i="4"/>
  <c r="AI34" i="4"/>
  <c r="AE34" i="4"/>
  <c r="AA34" i="4"/>
  <c r="W34" i="4"/>
  <c r="S34" i="4"/>
  <c r="O34" i="4"/>
  <c r="K34" i="4"/>
  <c r="G34" i="4"/>
  <c r="AU33" i="4"/>
  <c r="AQ33" i="4"/>
  <c r="AM33" i="4"/>
  <c r="AI33" i="4"/>
  <c r="AE33" i="4"/>
  <c r="AA33" i="4"/>
  <c r="W33" i="4"/>
  <c r="S33" i="4"/>
  <c r="O33" i="4"/>
  <c r="K33" i="4"/>
  <c r="G33" i="4"/>
  <c r="AU32" i="4"/>
  <c r="AQ32" i="4"/>
  <c r="AM32" i="4"/>
  <c r="AI32" i="4"/>
  <c r="AE32" i="4"/>
  <c r="AA32" i="4"/>
  <c r="W32" i="4"/>
  <c r="S32" i="4"/>
  <c r="O32" i="4"/>
  <c r="K32" i="4"/>
  <c r="G32" i="4"/>
  <c r="AY27" i="4"/>
  <c r="AU27" i="4"/>
  <c r="AQ27" i="4"/>
  <c r="AM27" i="4"/>
  <c r="AI27" i="4"/>
  <c r="AE27" i="4"/>
  <c r="AA27" i="4"/>
  <c r="W27" i="4"/>
  <c r="S27" i="4"/>
  <c r="O27" i="4"/>
  <c r="K27" i="4"/>
  <c r="G27" i="4"/>
  <c r="AY26" i="4"/>
  <c r="AU26" i="4"/>
  <c r="AQ26" i="4"/>
  <c r="AM26" i="4"/>
  <c r="AI26" i="4"/>
  <c r="AE26" i="4"/>
  <c r="AA26" i="4"/>
  <c r="W26" i="4"/>
  <c r="S26" i="4"/>
  <c r="O26" i="4"/>
  <c r="K26" i="4"/>
  <c r="G26" i="4"/>
  <c r="AY25" i="4"/>
  <c r="AU25" i="4"/>
  <c r="AQ25" i="4"/>
  <c r="AM25" i="4"/>
  <c r="AI25" i="4"/>
  <c r="AE25" i="4"/>
  <c r="AA25" i="4"/>
  <c r="W25" i="4"/>
  <c r="S25" i="4"/>
  <c r="O25" i="4"/>
  <c r="K25" i="4"/>
  <c r="G25" i="4"/>
  <c r="AY24" i="4"/>
  <c r="AU24" i="4"/>
  <c r="AQ24" i="4"/>
  <c r="AM24" i="4"/>
  <c r="AI24" i="4"/>
  <c r="AE24" i="4"/>
  <c r="AA24" i="4"/>
  <c r="W24" i="4"/>
  <c r="S24" i="4"/>
  <c r="O24" i="4"/>
  <c r="K24" i="4"/>
  <c r="G24" i="4"/>
  <c r="AY23" i="4"/>
  <c r="AU23" i="4"/>
  <c r="AQ23" i="4"/>
  <c r="AM23" i="4"/>
  <c r="AI23" i="4"/>
  <c r="AE23" i="4"/>
  <c r="AA23" i="4"/>
  <c r="W23" i="4"/>
  <c r="S23" i="4"/>
  <c r="O23" i="4"/>
  <c r="K23" i="4"/>
  <c r="G23" i="4"/>
  <c r="AY22" i="4"/>
  <c r="AU22" i="4"/>
  <c r="AQ22" i="4"/>
  <c r="AM22" i="4"/>
  <c r="AI22" i="4"/>
  <c r="AE22" i="4"/>
  <c r="AA22" i="4"/>
  <c r="W22" i="4"/>
  <c r="S22" i="4"/>
  <c r="O22" i="4"/>
  <c r="K22" i="4"/>
  <c r="G22" i="4"/>
  <c r="AY21" i="4"/>
  <c r="AU21" i="4"/>
  <c r="AQ21" i="4"/>
  <c r="AM21" i="4"/>
  <c r="AI21" i="4"/>
  <c r="AE21" i="4"/>
  <c r="AA21" i="4"/>
  <c r="W21" i="4"/>
  <c r="S21" i="4"/>
  <c r="O21" i="4"/>
  <c r="K21" i="4"/>
  <c r="G21" i="4"/>
  <c r="AY20" i="4"/>
  <c r="AU20" i="4"/>
  <c r="AQ20" i="4"/>
  <c r="AM20" i="4"/>
  <c r="AI20" i="4"/>
  <c r="AE20" i="4"/>
  <c r="AA20" i="4"/>
  <c r="W20" i="4"/>
  <c r="S20" i="4"/>
  <c r="O20" i="4"/>
  <c r="K20" i="4"/>
  <c r="G20" i="4"/>
  <c r="AY19" i="4"/>
  <c r="AU19" i="4"/>
  <c r="AQ19" i="4"/>
  <c r="AM19" i="4"/>
  <c r="AI19" i="4"/>
  <c r="AE19" i="4"/>
  <c r="AA19" i="4"/>
  <c r="W19" i="4"/>
  <c r="S19" i="4"/>
  <c r="O19" i="4"/>
  <c r="K19" i="4"/>
  <c r="G19" i="4"/>
  <c r="AY18" i="4"/>
  <c r="AU18" i="4"/>
  <c r="AQ18" i="4"/>
  <c r="AM18" i="4"/>
  <c r="AI18" i="4"/>
  <c r="AE18" i="4"/>
  <c r="AA18" i="4"/>
  <c r="W18" i="4"/>
  <c r="S18" i="4"/>
  <c r="O18" i="4"/>
  <c r="K18" i="4"/>
  <c r="G18" i="4"/>
  <c r="AY17" i="4"/>
  <c r="AU17" i="4"/>
  <c r="AQ17" i="4"/>
  <c r="AM17" i="4"/>
  <c r="AI17" i="4"/>
  <c r="AE17" i="4"/>
  <c r="AA17" i="4"/>
  <c r="W17" i="4"/>
  <c r="S17" i="4"/>
  <c r="O17" i="4"/>
  <c r="K17" i="4"/>
  <c r="G17" i="4"/>
  <c r="AY16" i="4"/>
  <c r="AU16" i="4"/>
  <c r="AQ16" i="4"/>
  <c r="AM16" i="4"/>
  <c r="AI16" i="4"/>
  <c r="AE16" i="4"/>
  <c r="AA16" i="4"/>
  <c r="W16" i="4"/>
  <c r="S16" i="4"/>
  <c r="O16" i="4"/>
  <c r="K16" i="4"/>
  <c r="G16" i="4"/>
  <c r="AY15" i="4"/>
  <c r="AU15" i="4"/>
  <c r="AQ15" i="4"/>
  <c r="AM15" i="4"/>
  <c r="AI15" i="4"/>
  <c r="AE15" i="4"/>
  <c r="AA15" i="4"/>
  <c r="W15" i="4"/>
  <c r="S15" i="4"/>
  <c r="O15" i="4"/>
  <c r="K15" i="4"/>
  <c r="G15" i="4"/>
  <c r="AY14" i="4"/>
  <c r="AU14" i="4"/>
  <c r="AQ14" i="4"/>
  <c r="AM14" i="4"/>
  <c r="AI14" i="4"/>
  <c r="AE14" i="4"/>
  <c r="AA14" i="4"/>
  <c r="W14" i="4"/>
  <c r="S14" i="4"/>
  <c r="O14" i="4"/>
  <c r="K14" i="4"/>
  <c r="G14" i="4"/>
  <c r="AY13" i="4"/>
  <c r="AU13" i="4"/>
  <c r="AQ13" i="4"/>
  <c r="AM13" i="4"/>
  <c r="AI13" i="4"/>
  <c r="AE13" i="4"/>
  <c r="AA13" i="4"/>
  <c r="W13" i="4"/>
  <c r="S13" i="4"/>
  <c r="O13" i="4"/>
  <c r="K13" i="4"/>
  <c r="G13" i="4"/>
  <c r="AY12" i="4"/>
  <c r="AU12" i="4"/>
  <c r="AQ12" i="4"/>
  <c r="AM12" i="4"/>
  <c r="AI12" i="4"/>
  <c r="AE12" i="4"/>
  <c r="AA12" i="4"/>
  <c r="W12" i="4"/>
  <c r="S12" i="4"/>
  <c r="O12" i="4"/>
  <c r="K12" i="4"/>
  <c r="G12" i="4"/>
  <c r="AY11" i="4"/>
  <c r="AU11" i="4"/>
  <c r="AQ11" i="4"/>
  <c r="AM11" i="4"/>
  <c r="AI11" i="4"/>
  <c r="AE11" i="4"/>
  <c r="AA11" i="4"/>
  <c r="W11" i="4"/>
  <c r="S11" i="4"/>
  <c r="O11" i="4"/>
  <c r="K11" i="4"/>
  <c r="G11" i="4"/>
  <c r="AY10" i="4"/>
  <c r="AU10" i="4"/>
  <c r="AQ10" i="4"/>
  <c r="AM10" i="4"/>
  <c r="AI10" i="4"/>
  <c r="AE10" i="4"/>
  <c r="AA10" i="4"/>
  <c r="W10" i="4"/>
  <c r="S10" i="4"/>
  <c r="O10" i="4"/>
  <c r="K10" i="4"/>
  <c r="G10" i="4"/>
  <c r="AY9" i="4"/>
  <c r="AU9" i="4"/>
  <c r="AQ9" i="4"/>
  <c r="AM9" i="4"/>
  <c r="AI9" i="4"/>
  <c r="AE9" i="4"/>
  <c r="AA9" i="4"/>
  <c r="W9" i="4"/>
  <c r="S9" i="4"/>
  <c r="O9" i="4"/>
  <c r="K9" i="4"/>
  <c r="G9" i="4"/>
  <c r="AY8" i="4"/>
  <c r="AU8" i="4"/>
  <c r="AQ8" i="4"/>
  <c r="AM8" i="4"/>
  <c r="AI8" i="4"/>
  <c r="AE8" i="4"/>
  <c r="AA8" i="4"/>
  <c r="W8" i="4"/>
  <c r="S8" i="4"/>
  <c r="O8" i="4"/>
  <c r="K8" i="4"/>
  <c r="G8" i="4"/>
  <c r="AY7" i="4"/>
  <c r="AU7" i="4"/>
  <c r="AQ7" i="4"/>
  <c r="AM7" i="4"/>
  <c r="AI7" i="4"/>
  <c r="AE7" i="4"/>
  <c r="AA7" i="4"/>
  <c r="W7" i="4"/>
  <c r="S7" i="4"/>
  <c r="O7" i="4"/>
  <c r="K7" i="4"/>
  <c r="G7" i="4"/>
  <c r="AY6" i="4"/>
  <c r="AU6" i="4"/>
  <c r="AQ6" i="4"/>
  <c r="AM6" i="4"/>
  <c r="AI6" i="4"/>
  <c r="AE6" i="4"/>
  <c r="AA6" i="4"/>
  <c r="W6" i="4"/>
  <c r="S6" i="4"/>
  <c r="O6" i="4"/>
  <c r="K6" i="4"/>
  <c r="G6" i="4"/>
  <c r="AY5" i="4"/>
  <c r="AU5" i="4"/>
  <c r="AQ5" i="4"/>
  <c r="AM5" i="4"/>
  <c r="AI5" i="4"/>
  <c r="AE5" i="4"/>
  <c r="AA5" i="4"/>
  <c r="W5" i="4"/>
  <c r="S5" i="4"/>
  <c r="O5" i="4"/>
  <c r="K5" i="4"/>
  <c r="G5" i="4"/>
  <c r="AY4" i="4"/>
  <c r="AU4" i="4"/>
  <c r="AQ4" i="4"/>
  <c r="AM4" i="4"/>
  <c r="AI4" i="4"/>
  <c r="AE4" i="4"/>
  <c r="AA4" i="4"/>
  <c r="W4" i="4"/>
  <c r="S4" i="4"/>
  <c r="O4" i="4"/>
  <c r="K4" i="4"/>
  <c r="G4" i="4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O85" i="1"/>
  <c r="V85" i="1"/>
  <c r="X85" i="1" s="1"/>
  <c r="S85" i="1"/>
  <c r="N85" i="1"/>
  <c r="AO84" i="1"/>
  <c r="V84" i="1"/>
  <c r="X84" i="1" s="1"/>
  <c r="S84" i="1"/>
  <c r="N84" i="1"/>
  <c r="AO83" i="1"/>
  <c r="V83" i="1"/>
  <c r="X83" i="1" s="1"/>
  <c r="S83" i="1"/>
  <c r="N83" i="1"/>
  <c r="AO82" i="1"/>
  <c r="V82" i="1"/>
  <c r="X82" i="1" s="1"/>
  <c r="S82" i="1"/>
  <c r="N82" i="1"/>
  <c r="AO81" i="1"/>
  <c r="V81" i="1"/>
  <c r="X81" i="1" s="1"/>
  <c r="S81" i="1"/>
  <c r="N81" i="1"/>
  <c r="AO80" i="1"/>
  <c r="V80" i="1"/>
  <c r="X80" i="1" s="1"/>
  <c r="S80" i="1"/>
  <c r="N80" i="1"/>
  <c r="AO79" i="1"/>
  <c r="V79" i="1"/>
  <c r="X79" i="1" s="1"/>
  <c r="S79" i="1"/>
  <c r="N79" i="1"/>
  <c r="AO78" i="1"/>
  <c r="V78" i="1"/>
  <c r="X78" i="1" s="1"/>
  <c r="S78" i="1"/>
  <c r="N78" i="1"/>
  <c r="AO77" i="1"/>
  <c r="V77" i="1"/>
  <c r="X77" i="1" s="1"/>
  <c r="S77" i="1"/>
  <c r="N77" i="1"/>
  <c r="AO76" i="1"/>
  <c r="V76" i="1"/>
  <c r="X76" i="1" s="1"/>
  <c r="S76" i="1"/>
  <c r="N76" i="1"/>
  <c r="AO75" i="1"/>
  <c r="V75" i="1"/>
  <c r="X75" i="1" s="1"/>
  <c r="S75" i="1"/>
  <c r="N75" i="1"/>
  <c r="AO74" i="1"/>
  <c r="V74" i="1"/>
  <c r="X74" i="1" s="1"/>
  <c r="S74" i="1"/>
  <c r="N74" i="1"/>
  <c r="AO73" i="1"/>
  <c r="V73" i="1"/>
  <c r="X73" i="1" s="1"/>
  <c r="S73" i="1"/>
  <c r="N73" i="1"/>
  <c r="AO72" i="1"/>
  <c r="V72" i="1"/>
  <c r="X72" i="1" s="1"/>
  <c r="S72" i="1"/>
  <c r="N72" i="1"/>
  <c r="AO71" i="1"/>
  <c r="V71" i="1"/>
  <c r="X71" i="1" s="1"/>
  <c r="S71" i="1"/>
  <c r="N71" i="1"/>
  <c r="AO70" i="1"/>
  <c r="V70" i="1"/>
  <c r="X70" i="1" s="1"/>
  <c r="S70" i="1"/>
  <c r="N70" i="1"/>
  <c r="AO69" i="1"/>
  <c r="V69" i="1"/>
  <c r="X69" i="1" s="1"/>
  <c r="S69" i="1"/>
  <c r="N69" i="1"/>
  <c r="AO68" i="1"/>
  <c r="X68" i="1"/>
  <c r="V68" i="1"/>
  <c r="S68" i="1"/>
  <c r="N68" i="1"/>
  <c r="AO67" i="1"/>
  <c r="V67" i="1"/>
  <c r="X67" i="1" s="1"/>
  <c r="S67" i="1"/>
  <c r="N67" i="1"/>
  <c r="AO66" i="1"/>
  <c r="V66" i="1"/>
  <c r="X66" i="1" s="1"/>
  <c r="S66" i="1"/>
  <c r="N66" i="1"/>
  <c r="AO65" i="1"/>
  <c r="V65" i="1"/>
  <c r="X65" i="1" s="1"/>
  <c r="S65" i="1"/>
  <c r="N65" i="1"/>
  <c r="AO64" i="1"/>
  <c r="V64" i="1"/>
  <c r="X64" i="1" s="1"/>
  <c r="S64" i="1"/>
  <c r="N64" i="1"/>
  <c r="AO63" i="1"/>
  <c r="V63" i="1"/>
  <c r="X63" i="1" s="1"/>
  <c r="S63" i="1"/>
  <c r="N63" i="1"/>
  <c r="AR59" i="1"/>
  <c r="AO59" i="1"/>
  <c r="AC59" i="1"/>
  <c r="X59" i="1"/>
  <c r="S59" i="1"/>
  <c r="N59" i="1"/>
  <c r="AO58" i="1"/>
  <c r="AC58" i="1"/>
  <c r="X58" i="1"/>
  <c r="S58" i="1"/>
  <c r="N58" i="1"/>
  <c r="AO57" i="1"/>
  <c r="AC57" i="1"/>
  <c r="X57" i="1"/>
  <c r="S57" i="1"/>
  <c r="N57" i="1"/>
  <c r="AR56" i="1"/>
  <c r="AO56" i="1"/>
  <c r="AC56" i="1"/>
  <c r="X56" i="1"/>
  <c r="S56" i="1"/>
  <c r="N56" i="1"/>
  <c r="AO55" i="1"/>
  <c r="AC55" i="1"/>
  <c r="X55" i="1"/>
  <c r="S55" i="1"/>
  <c r="N55" i="1"/>
  <c r="AR54" i="1"/>
  <c r="AO54" i="1"/>
  <c r="AC54" i="1"/>
  <c r="X54" i="1"/>
  <c r="S54" i="1"/>
  <c r="N54" i="1"/>
  <c r="AO53" i="1"/>
  <c r="AC53" i="1"/>
  <c r="X53" i="1"/>
  <c r="S53" i="1"/>
  <c r="N53" i="1"/>
  <c r="AR52" i="1"/>
  <c r="AO52" i="1"/>
  <c r="AC52" i="1"/>
  <c r="X52" i="1"/>
  <c r="S52" i="1"/>
  <c r="N52" i="1"/>
  <c r="AO51" i="1"/>
  <c r="AC51" i="1"/>
  <c r="X51" i="1"/>
  <c r="AR50" i="1"/>
  <c r="AO50" i="1"/>
  <c r="AC50" i="1"/>
  <c r="X50" i="1"/>
  <c r="S50" i="1"/>
  <c r="N50" i="1"/>
  <c r="AO49" i="1"/>
  <c r="AC49" i="1"/>
  <c r="X49" i="1"/>
  <c r="S49" i="1"/>
  <c r="N49" i="1"/>
  <c r="AR48" i="1"/>
  <c r="AO48" i="1"/>
  <c r="AC48" i="1"/>
  <c r="X48" i="1"/>
  <c r="S48" i="1"/>
  <c r="N48" i="1"/>
  <c r="AR47" i="1"/>
  <c r="AO47" i="1"/>
  <c r="AC47" i="1"/>
  <c r="X47" i="1"/>
  <c r="S47" i="1"/>
  <c r="N47" i="1"/>
  <c r="AR46" i="1"/>
  <c r="AO46" i="1"/>
  <c r="AC46" i="1"/>
  <c r="X46" i="1"/>
  <c r="S46" i="1"/>
  <c r="N46" i="1"/>
  <c r="AR45" i="1"/>
  <c r="AO45" i="1"/>
  <c r="AC45" i="1"/>
  <c r="X45" i="1"/>
  <c r="S45" i="1"/>
  <c r="N45" i="1"/>
  <c r="AR44" i="1"/>
  <c r="AO44" i="1"/>
  <c r="AC44" i="1"/>
  <c r="X44" i="1"/>
  <c r="S44" i="1"/>
  <c r="N44" i="1"/>
  <c r="AR43" i="1"/>
  <c r="AO43" i="1"/>
  <c r="AC43" i="1"/>
  <c r="X43" i="1"/>
  <c r="S43" i="1"/>
  <c r="N43" i="1"/>
  <c r="AR42" i="1"/>
  <c r="AO42" i="1"/>
  <c r="AC42" i="1"/>
  <c r="X42" i="1"/>
  <c r="S42" i="1"/>
  <c r="N42" i="1"/>
  <c r="AR41" i="1"/>
  <c r="AO41" i="1"/>
  <c r="AC41" i="1"/>
  <c r="X41" i="1"/>
  <c r="S41" i="1"/>
  <c r="N41" i="1"/>
  <c r="AR40" i="1"/>
  <c r="AO40" i="1"/>
  <c r="AC40" i="1"/>
  <c r="X40" i="1"/>
  <c r="S40" i="1"/>
  <c r="N40" i="1"/>
  <c r="AR39" i="1"/>
  <c r="AO39" i="1"/>
  <c r="AC39" i="1"/>
  <c r="X39" i="1"/>
  <c r="S39" i="1"/>
  <c r="N39" i="1"/>
  <c r="AR38" i="1"/>
  <c r="AO38" i="1"/>
  <c r="AC38" i="1"/>
  <c r="X38" i="1"/>
  <c r="S38" i="1"/>
  <c r="N38" i="1"/>
  <c r="AR37" i="1"/>
  <c r="AO37" i="1"/>
  <c r="AC37" i="1"/>
  <c r="X37" i="1"/>
  <c r="S37" i="1"/>
  <c r="N37" i="1"/>
  <c r="AR36" i="1"/>
  <c r="AO36" i="1"/>
  <c r="AC36" i="1"/>
  <c r="X36" i="1"/>
  <c r="S36" i="1"/>
  <c r="N36" i="1"/>
  <c r="AL26" i="1"/>
  <c r="AD26" i="1"/>
  <c r="V26" i="1"/>
  <c r="U26" i="1"/>
  <c r="R26" i="1"/>
  <c r="AL25" i="1"/>
  <c r="AD25" i="1"/>
  <c r="U25" i="1"/>
  <c r="V25" i="1" s="1"/>
  <c r="R25" i="1"/>
  <c r="AL24" i="1"/>
  <c r="AD24" i="1"/>
  <c r="U24" i="1"/>
  <c r="V24" i="1" s="1"/>
  <c r="R24" i="1"/>
  <c r="AL23" i="1"/>
  <c r="AD23" i="1"/>
  <c r="U23" i="1"/>
  <c r="V23" i="1" s="1"/>
  <c r="R23" i="1"/>
  <c r="AL22" i="1"/>
  <c r="AD22" i="1"/>
  <c r="U22" i="1"/>
  <c r="V22" i="1" s="1"/>
  <c r="R22" i="1"/>
  <c r="AL21" i="1"/>
  <c r="AD21" i="1"/>
  <c r="U21" i="1"/>
  <c r="V21" i="1" s="1"/>
  <c r="R21" i="1"/>
  <c r="AL20" i="1"/>
  <c r="AD20" i="1"/>
  <c r="U20" i="1"/>
  <c r="V20" i="1" s="1"/>
  <c r="R20" i="1"/>
  <c r="AL19" i="1"/>
  <c r="AD19" i="1"/>
  <c r="U19" i="1"/>
  <c r="V19" i="1" s="1"/>
  <c r="R19" i="1"/>
  <c r="AL18" i="1"/>
  <c r="AD18" i="1"/>
  <c r="V18" i="1"/>
  <c r="U18" i="1"/>
  <c r="R18" i="1"/>
  <c r="AL17" i="1"/>
  <c r="AD17" i="1"/>
  <c r="U17" i="1"/>
  <c r="V17" i="1" s="1"/>
  <c r="R17" i="1"/>
  <c r="AL16" i="1"/>
  <c r="AD16" i="1"/>
  <c r="U16" i="1"/>
  <c r="V16" i="1" s="1"/>
  <c r="R16" i="1"/>
  <c r="AL15" i="1"/>
  <c r="AD15" i="1"/>
  <c r="U15" i="1"/>
  <c r="V15" i="1" s="1"/>
  <c r="R15" i="1"/>
  <c r="AL14" i="1"/>
  <c r="AD14" i="1"/>
  <c r="U14" i="1"/>
  <c r="V14" i="1" s="1"/>
  <c r="R14" i="1"/>
  <c r="AL13" i="1"/>
  <c r="AD13" i="1"/>
  <c r="U13" i="1"/>
  <c r="V13" i="1" s="1"/>
  <c r="R13" i="1"/>
  <c r="AL12" i="1"/>
  <c r="AD12" i="1"/>
  <c r="U12" i="1"/>
  <c r="V12" i="1" s="1"/>
  <c r="R12" i="1"/>
  <c r="AL11" i="1"/>
  <c r="AD11" i="1"/>
  <c r="U11" i="1"/>
  <c r="V11" i="1" s="1"/>
  <c r="R11" i="1"/>
  <c r="AL10" i="1"/>
  <c r="AD10" i="1"/>
  <c r="U10" i="1"/>
  <c r="V10" i="1" s="1"/>
  <c r="R10" i="1"/>
  <c r="AL9" i="1"/>
  <c r="AD9" i="1"/>
  <c r="U9" i="1"/>
  <c r="V9" i="1" s="1"/>
  <c r="R9" i="1"/>
  <c r="AL8" i="1"/>
  <c r="AD8" i="1"/>
  <c r="V8" i="1"/>
  <c r="U8" i="1"/>
  <c r="R8" i="1"/>
  <c r="AL7" i="1"/>
  <c r="AD7" i="1"/>
  <c r="U7" i="1"/>
  <c r="V7" i="1" s="1"/>
  <c r="R7" i="1"/>
  <c r="AL6" i="1"/>
  <c r="AD6" i="1"/>
  <c r="U6" i="1"/>
  <c r="V6" i="1" s="1"/>
  <c r="R6" i="1"/>
  <c r="AL5" i="1"/>
  <c r="AD5" i="1"/>
  <c r="U5" i="1"/>
  <c r="V5" i="1" s="1"/>
  <c r="R5" i="1"/>
  <c r="AL4" i="1"/>
  <c r="AD4" i="1"/>
  <c r="U4" i="1"/>
  <c r="V4" i="1" s="1"/>
  <c r="R4" i="1"/>
  <c r="AL3" i="1"/>
  <c r="AD3" i="1"/>
  <c r="U3" i="1"/>
  <c r="V3" i="1" s="1"/>
  <c r="R3" i="1"/>
  <c r="P32" i="5" l="1"/>
  <c r="O55" i="5"/>
  <c r="T55" i="5"/>
  <c r="U32" i="5"/>
  <c r="Y55" i="5"/>
  <c r="F32" i="5"/>
  <c r="AD55" i="5"/>
  <c r="K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ID#AAAATM1aheg
Izabelle    (2022-01-17 05:11:59)
1 = WT
2 = NZO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ID#AAAATM1ahec
Izabelle    (2022-01-17 05:11:59)
1 = Male
2 = Female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ID#AAAATM1ahek
Izabelle    (2022-01-17 05:11:59)
1 = Saline
2 = RTIOXA-47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VyHNNkeLQpYbbz7Cybpko0EvJQ=="/>
    </ext>
  </extLst>
</comments>
</file>

<file path=xl/sharedStrings.xml><?xml version="1.0" encoding="utf-8"?>
<sst xmlns="http://schemas.openxmlformats.org/spreadsheetml/2006/main" count="1796" uniqueCount="352">
  <si>
    <t>Genotype</t>
  </si>
  <si>
    <t>Gender</t>
  </si>
  <si>
    <t>Treatment</t>
  </si>
  <si>
    <t>BEFORE TREATMENT</t>
  </si>
  <si>
    <t>1 WEEK  TREATMENT</t>
  </si>
  <si>
    <t>2 WEEK  TREATMENT</t>
  </si>
  <si>
    <t>3 WEEK  TREATMENT</t>
  </si>
  <si>
    <t xml:space="preserve">4 WEEK  TREATMENT                        </t>
  </si>
  <si>
    <t xml:space="preserve">5 WEEK  TREATMENT                        </t>
  </si>
  <si>
    <t>AFTER TREATMENT</t>
  </si>
  <si>
    <t>Body                     weight                Feb 17</t>
  </si>
  <si>
    <r>
      <rPr>
        <i/>
        <sz val="11"/>
        <color theme="1"/>
        <rFont val="Calibri"/>
      </rPr>
      <t>Body                     weight                Feb 18</t>
    </r>
    <r>
      <rPr>
        <b/>
        <i/>
        <sz val="11"/>
        <color theme="1"/>
        <rFont val="Calibri"/>
      </rPr>
      <t>*</t>
    </r>
  </si>
  <si>
    <t>Body                     weight                Feb 25</t>
  </si>
  <si>
    <r>
      <rPr>
        <i/>
        <sz val="11"/>
        <color theme="1"/>
        <rFont val="Calibri"/>
      </rPr>
      <t xml:space="preserve">Body                     weight                Mar 04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</si>
  <si>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Fat Mass              Feb 25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</si>
  <si>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Feb 25 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</si>
  <si>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Feb 25   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</si>
  <si>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 Feb 25      </t>
    </r>
    <r>
      <rPr>
        <b/>
        <i/>
        <sz val="11"/>
        <color theme="1"/>
        <rFont val="Calibri"/>
      </rPr>
      <t>BASAL</t>
    </r>
  </si>
  <si>
    <t>Food                  Intake                   Feb 18-Feb 21</t>
  </si>
  <si>
    <r>
      <rPr>
        <i/>
        <sz val="11"/>
        <color theme="1"/>
        <rFont val="Calibri"/>
      </rPr>
      <t>Food                  Intake                   Feb 21-Feb 25</t>
    </r>
    <r>
      <rPr>
        <b/>
        <i/>
        <sz val="11"/>
        <color theme="1"/>
        <rFont val="Calibri"/>
      </rPr>
      <t>**</t>
    </r>
  </si>
  <si>
    <r>
      <rPr>
        <i/>
        <sz val="11"/>
        <color theme="1"/>
        <rFont val="Calibri"/>
      </rPr>
      <t xml:space="preserve">Food                  Intake                   Mar 04-Mar 07           </t>
    </r>
    <r>
      <rPr>
        <b/>
        <i/>
        <sz val="11"/>
        <color theme="1"/>
        <rFont val="Calibri"/>
      </rPr>
      <t xml:space="preserve"> BASAL</t>
    </r>
  </si>
  <si>
    <t>Food                  Intake                   Mar 07-Mar 10</t>
  </si>
  <si>
    <t>Food                  Intake                   Mar 10-Mar 14</t>
  </si>
  <si>
    <t>Average            Food Intake               1st week</t>
  </si>
  <si>
    <t>Body          weight                    Mar 11</t>
  </si>
  <si>
    <t>Food                  Intake                   Mar 14-Mar 17</t>
  </si>
  <si>
    <t>Food                  Intake                   Mar 17-Mar 21</t>
  </si>
  <si>
    <t>Average            Food Intake               2nd week</t>
  </si>
  <si>
    <t>Body          weight                    Mar 18</t>
  </si>
  <si>
    <t>Food                  Intake                   Mar 21-Mar 24</t>
  </si>
  <si>
    <t>Food                  Intake                   Mar 24-Mar 28***</t>
  </si>
  <si>
    <t>Average            Food Intake               3nd week</t>
  </si>
  <si>
    <t>Body          weight                    Mar 25</t>
  </si>
  <si>
    <t>Food                  Intake                   Mar 28-Mar 31</t>
  </si>
  <si>
    <t>Food                  Intake                   Mar 31-Apr 04</t>
  </si>
  <si>
    <t>Average            Food Intake               4th week</t>
  </si>
  <si>
    <t>Body          weight                    April 01</t>
  </si>
  <si>
    <t xml:space="preserve">   Food Intake*****              5th week</t>
  </si>
  <si>
    <t>Body          weight                    April 08</t>
  </si>
  <si>
    <r>
      <rPr>
        <i/>
        <sz val="11"/>
        <color rgb="FF000000"/>
        <rFont val="Calibri,Arial"/>
      </rPr>
      <t xml:space="preserve">Body Composition    Fat Mass              Apr 08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</si>
  <si>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rgb="FF000000"/>
        <rFont val="Calibri,Arial"/>
      </rPr>
      <t>Body Composition    Lean Mass               Apr 08</t>
    </r>
    <r>
      <rPr>
        <b/>
        <i/>
        <sz val="11"/>
        <color rgb="FF000000"/>
        <rFont val="Calibri,Arial"/>
      </rPr>
      <t xml:space="preserve">     FINAL</t>
    </r>
  </si>
  <si>
    <r>
      <rPr>
        <i/>
        <sz val="11"/>
        <color rgb="FF000000"/>
        <rFont val="Calibri,Arial"/>
      </rPr>
      <t xml:space="preserve">Body Composition      Free Water              Apr 08    </t>
    </r>
    <r>
      <rPr>
        <b/>
        <i/>
        <sz val="11"/>
        <color rgb="FF000000"/>
        <rFont val="Calibri,Arial"/>
      </rPr>
      <t xml:space="preserve"> FINAL</t>
    </r>
  </si>
  <si>
    <r>
      <rPr>
        <i/>
        <sz val="11"/>
        <color rgb="FF000000"/>
        <rFont val="Calibri,Arial"/>
      </rPr>
      <t xml:space="preserve">Body Composition    Total Water               Apr 08     </t>
    </r>
    <r>
      <rPr>
        <b/>
        <i/>
        <sz val="11"/>
        <color rgb="FF000000"/>
        <rFont val="Calibri,Arial"/>
      </rPr>
      <t>FINAL</t>
    </r>
  </si>
  <si>
    <t xml:space="preserve"> Weight                     gain (g)</t>
  </si>
  <si>
    <t>Fast Blood Glucose (mg/dL)</t>
  </si>
  <si>
    <r>
      <rPr>
        <i/>
        <sz val="11"/>
        <color theme="1"/>
        <rFont val="Calibri"/>
      </rPr>
      <t xml:space="preserve">Fast Blood Glucose   </t>
    </r>
    <r>
      <rPr>
        <b/>
        <i/>
        <sz val="11"/>
        <color theme="1"/>
        <rFont val="Calibri"/>
      </rPr>
      <t>GLUCOSE ASSAY</t>
    </r>
    <r>
      <rPr>
        <i/>
        <sz val="11"/>
        <color theme="1"/>
        <rFont val="Calibri"/>
      </rPr>
      <t xml:space="preserve"> (mg/dL)</t>
    </r>
  </si>
  <si>
    <t>WT</t>
  </si>
  <si>
    <t>MALE</t>
  </si>
  <si>
    <t>SALINE</t>
  </si>
  <si>
    <t>RTIOXA-47</t>
  </si>
  <si>
    <t>FEMALE</t>
  </si>
  <si>
    <t>NZO</t>
  </si>
  <si>
    <t>HI******</t>
  </si>
  <si>
    <t>HI</t>
  </si>
  <si>
    <t>* was used the Phsyiology Core scale</t>
  </si>
  <si>
    <t xml:space="preserve">**as the mice were in iCal, food intake was not recorded between Feb 25 to Mar 04 </t>
  </si>
  <si>
    <t>*** a lot of gnawed food in some cages</t>
  </si>
  <si>
    <t xml:space="preserve">*****as the mice were in iCal, food intake was not recorded between April 04 to Apriil 08 </t>
  </si>
  <si>
    <r>
      <rPr>
        <sz val="11"/>
        <color theme="1"/>
        <rFont val="Calibri"/>
      </rPr>
      <t>******</t>
    </r>
    <r>
      <rPr>
        <b/>
        <sz val="11"/>
        <color theme="1"/>
        <rFont val="Calibri"/>
      </rPr>
      <t>HI</t>
    </r>
    <r>
      <rPr>
        <sz val="11"/>
        <color theme="1"/>
        <rFont val="Calibri"/>
      </rPr>
      <t xml:space="preserve"> = values higher than 600 mg/dL (the glucometer is not capable of to read above this value)</t>
    </r>
  </si>
  <si>
    <t>MICE ID</t>
  </si>
  <si>
    <t>4 WEEK  TREATMENT</t>
  </si>
  <si>
    <t>5 WEEK  TREATMENT</t>
  </si>
  <si>
    <r>
      <rPr>
        <i/>
        <sz val="11"/>
        <color theme="1"/>
        <rFont val="Calibri"/>
      </rPr>
      <t xml:space="preserve">Body Composition    Fat Mass              April 15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</si>
  <si>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April 15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</si>
  <si>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April 15 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</si>
  <si>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April 15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</si>
  <si>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Mass    April 22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</si>
  <si>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Food Intake   (Apr 22-Apr 25)      </t>
    </r>
    <r>
      <rPr>
        <b/>
        <i/>
        <sz val="11"/>
        <color theme="1"/>
        <rFont val="Calibri"/>
      </rPr>
      <t xml:space="preserve">BASAL        </t>
    </r>
    <r>
      <rPr>
        <i/>
        <sz val="11"/>
        <color theme="1"/>
        <rFont val="Calibri"/>
      </rPr>
      <t xml:space="preserve">                 </t>
    </r>
  </si>
  <si>
    <t>Food                  Intake                         April 25-April29</t>
  </si>
  <si>
    <t>Food                  Intake                         April 29-May 02</t>
  </si>
  <si>
    <t>Body          weight                    April  29</t>
  </si>
  <si>
    <t>Food                  Intake                         May 2-May 6</t>
  </si>
  <si>
    <t>Food                  Intake                         May 6-May 9</t>
  </si>
  <si>
    <t>Body          weight                    May 06</t>
  </si>
  <si>
    <t>Food                  Intake                         May 9-May 13</t>
  </si>
  <si>
    <t>Food                  Intake                         May 13-May 16</t>
  </si>
  <si>
    <t>Average            Food Intake               3th week</t>
  </si>
  <si>
    <t>Body          weight                    May 13</t>
  </si>
  <si>
    <t>Food                  Intake                         May 16-May 20</t>
  </si>
  <si>
    <t>Food                  Intake                         May 20-May 23</t>
  </si>
  <si>
    <t>Body          weight                    May 20</t>
  </si>
  <si>
    <r>
      <rPr>
        <i/>
        <sz val="11"/>
        <color theme="1"/>
        <rFont val="Calibri"/>
      </rPr>
      <t xml:space="preserve">Food                  Intake                     </t>
    </r>
    <r>
      <rPr>
        <b/>
        <i/>
        <sz val="14"/>
        <color theme="1"/>
        <rFont val="Calibri"/>
      </rPr>
      <t xml:space="preserve"> </t>
    </r>
    <r>
      <rPr>
        <b/>
        <i/>
        <sz val="14"/>
        <color rgb="FFFF0000"/>
        <rFont val="Calibri"/>
      </rPr>
      <t>*</t>
    </r>
  </si>
  <si>
    <r>
      <rPr>
        <i/>
        <sz val="11"/>
        <color theme="1"/>
        <rFont val="Calibri"/>
      </rPr>
      <t>Food                  Intake                         May 27-</t>
    </r>
    <r>
      <rPr>
        <b/>
        <i/>
        <sz val="14"/>
        <color rgb="FFFF0000"/>
        <rFont val="Calibri"/>
      </rPr>
      <t xml:space="preserve"> *</t>
    </r>
  </si>
  <si>
    <t>Average            Food Intake               5th week</t>
  </si>
  <si>
    <t>Body          weight                    May 27</t>
  </si>
  <si>
    <r>
      <rPr>
        <i/>
        <sz val="11"/>
        <color rgb="FF000000"/>
        <rFont val="Calibri,Arial"/>
      </rPr>
      <t xml:space="preserve">Body Composition    Fat Mass              May 27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</si>
  <si>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rgb="FF000000"/>
        <rFont val="Calibri,Arial"/>
      </rPr>
      <t>Body Composition    Lean Mass               May 27</t>
    </r>
    <r>
      <rPr>
        <b/>
        <i/>
        <sz val="11"/>
        <color rgb="FF000000"/>
        <rFont val="Calibri,Arial"/>
      </rPr>
      <t xml:space="preserve">     FINAL</t>
    </r>
  </si>
  <si>
    <r>
      <rPr>
        <i/>
        <sz val="11"/>
        <color rgb="FF000000"/>
        <rFont val="Calibri,Arial"/>
      </rPr>
      <t xml:space="preserve">Body Composition      Free Water              May 27    </t>
    </r>
    <r>
      <rPr>
        <b/>
        <i/>
        <sz val="11"/>
        <color rgb="FF000000"/>
        <rFont val="Calibri,Arial"/>
      </rPr>
      <t xml:space="preserve"> FINAL</t>
    </r>
  </si>
  <si>
    <r>
      <rPr>
        <i/>
        <sz val="11"/>
        <color rgb="FF000000"/>
        <rFont val="Calibri,Arial"/>
      </rPr>
      <t xml:space="preserve">Body Composition    Total Water               May 27      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</si>
  <si>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theme="1"/>
        <rFont val="Calibri"/>
      </rPr>
      <t xml:space="preserve">Fast Blood Glucose   </t>
    </r>
    <r>
      <rPr>
        <b/>
        <i/>
        <sz val="11"/>
        <color theme="1"/>
        <rFont val="Calibri"/>
      </rPr>
      <t>GLUCOSE ASSAY</t>
    </r>
    <r>
      <rPr>
        <i/>
        <sz val="11"/>
        <color theme="1"/>
        <rFont val="Calibri"/>
      </rPr>
      <t xml:space="preserve"> (mg/dL)</t>
    </r>
  </si>
  <si>
    <t>Final Body Composition % Fat Mass</t>
  </si>
  <si>
    <t>132,2</t>
  </si>
  <si>
    <t>152,3</t>
  </si>
  <si>
    <t>132,3</t>
  </si>
  <si>
    <t>81,5</t>
  </si>
  <si>
    <t>154,9</t>
  </si>
  <si>
    <t>98,6</t>
  </si>
  <si>
    <t>59,9</t>
  </si>
  <si>
    <t>142,3</t>
  </si>
  <si>
    <t>126,3</t>
  </si>
  <si>
    <t>168,2</t>
  </si>
  <si>
    <t>869,5</t>
  </si>
  <si>
    <t>1396,6</t>
  </si>
  <si>
    <t>892,7</t>
  </si>
  <si>
    <t>877,4</t>
  </si>
  <si>
    <t>380,5</t>
  </si>
  <si>
    <t>298,3</t>
  </si>
  <si>
    <t>105,2</t>
  </si>
  <si>
    <t>117,3</t>
  </si>
  <si>
    <t>112,9</t>
  </si>
  <si>
    <t>116,7</t>
  </si>
  <si>
    <t>do not use</t>
  </si>
  <si>
    <t>Very stressful week for the animals, maybe is better not to use this data</t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</si>
  <si>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27-May 31</t>
    </r>
  </si>
  <si>
    <t>Mice ID</t>
  </si>
  <si>
    <r>
      <rPr>
        <i/>
        <sz val="11"/>
        <color theme="1"/>
        <rFont val="Calibri"/>
      </rPr>
      <t xml:space="preserve">Body Composition    Fat Mass              Oct. 21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</si>
  <si>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Oct. 21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</si>
  <si>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Oct. 21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</si>
  <si>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Oct. 21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</si>
  <si>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Mass    Oct. 28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</si>
  <si>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Food Intake   (Oct. 28-31)      </t>
    </r>
    <r>
      <rPr>
        <b/>
        <i/>
        <sz val="11"/>
        <color theme="1"/>
        <rFont val="Calibri"/>
      </rPr>
      <t xml:space="preserve">BASAL        </t>
    </r>
    <r>
      <rPr>
        <i/>
        <sz val="11"/>
        <color theme="1"/>
        <rFont val="Calibri"/>
      </rPr>
      <t xml:space="preserve">                 </t>
    </r>
  </si>
  <si>
    <t>Food                  Intake                         Oct. 31-Nov. 4</t>
  </si>
  <si>
    <t>Food                  Intake                         Nov. 4-7</t>
  </si>
  <si>
    <t>Body          weight                    November 4</t>
  </si>
  <si>
    <t>Food                  Intake                         Nov. 7-11</t>
  </si>
  <si>
    <t>Food                  Intake                         Nov. 11-14</t>
  </si>
  <si>
    <t>Body          weight                    Nov. 11</t>
  </si>
  <si>
    <t>Food                  Intake                         Nov. 14-18</t>
  </si>
  <si>
    <t>Food                  Intake                         Nov. 18-21</t>
  </si>
  <si>
    <t>Body          weight                    Nov. 18</t>
  </si>
  <si>
    <t>Food                  Intake                         Nov. 21-25</t>
  </si>
  <si>
    <t>Food                  Intake                         Nov. 25-28</t>
  </si>
  <si>
    <t>Body          weight                    Nov. 25</t>
  </si>
  <si>
    <t>Food                  Intake               Nov. 28-30</t>
  </si>
  <si>
    <r>
      <rPr>
        <i/>
        <sz val="11"/>
        <color rgb="FF000000"/>
        <rFont val="Calibri,Arial"/>
      </rPr>
      <t>Food                  Intake                       Final Recording  Dec. 1-2</t>
    </r>
    <r>
      <rPr>
        <b/>
        <i/>
        <sz val="14"/>
        <color rgb="FFFF0000"/>
        <rFont val="Calibri,Arial"/>
      </rPr>
      <t xml:space="preserve"> *</t>
    </r>
  </si>
  <si>
    <t>Body          weight                    Dec. 2</t>
  </si>
  <si>
    <r>
      <rPr>
        <i/>
        <sz val="11"/>
        <color theme="1"/>
        <rFont val="Calibri,Arial"/>
      </rPr>
      <t xml:space="preserve">Body Composition    Fat Mass              Dec. 2     </t>
    </r>
    <r>
      <rPr>
        <b/>
        <i/>
        <sz val="11"/>
        <color theme="1"/>
        <rFont val="Calibri,Arial"/>
      </rPr>
      <t>FINAL</t>
    </r>
  </si>
  <si>
    <r>
      <rPr>
        <i/>
        <sz val="11"/>
        <color theme="1"/>
        <rFont val="Calibri,Arial"/>
      </rPr>
      <t>Body Composition    Lean Mass               Dec. 2</t>
    </r>
    <r>
      <rPr>
        <b/>
        <i/>
        <sz val="11"/>
        <color theme="1"/>
        <rFont val="Calibri,Arial"/>
      </rPr>
      <t xml:space="preserve">     FINAL</t>
    </r>
  </si>
  <si>
    <r>
      <rPr>
        <i/>
        <sz val="11"/>
        <color theme="1"/>
        <rFont val="Calibri,Arial"/>
      </rPr>
      <t xml:space="preserve">Body Composition      Free Water              Dec. 2    </t>
    </r>
    <r>
      <rPr>
        <b/>
        <i/>
        <sz val="11"/>
        <color theme="1"/>
        <rFont val="Calibri,Arial"/>
      </rPr>
      <t xml:space="preserve"> FINAL</t>
    </r>
  </si>
  <si>
    <r>
      <rPr>
        <i/>
        <sz val="11"/>
        <color theme="1"/>
        <rFont val="Calibri,Arial"/>
      </rPr>
      <t xml:space="preserve">Body Composition    Total Water               Dec. 2           </t>
    </r>
    <r>
      <rPr>
        <b/>
        <i/>
        <sz val="11"/>
        <color theme="1"/>
        <rFont val="Calibri,Arial"/>
      </rPr>
      <t>FINAL</t>
    </r>
  </si>
  <si>
    <r>
      <rPr>
        <i/>
        <sz val="11"/>
        <color rgb="FF000000"/>
        <rFont val="Calibri,Arial"/>
      </rPr>
      <t xml:space="preserve">Fast Blood Glucose   </t>
    </r>
    <r>
      <rPr>
        <b/>
        <i/>
        <sz val="11"/>
        <color rgb="FF000000"/>
        <rFont val="Calibri,Arial"/>
      </rPr>
      <t>GLUCOSE ASSAY</t>
    </r>
    <r>
      <rPr>
        <i/>
        <sz val="11"/>
        <color rgb="FF000000"/>
        <rFont val="Calibri,Arial"/>
      </rPr>
      <t xml:space="preserve"> (mg/dL)</t>
    </r>
  </si>
  <si>
    <t>NZO Agonist F</t>
  </si>
  <si>
    <t>NZO Saline F</t>
  </si>
  <si>
    <t>NZO Agonist M</t>
  </si>
  <si>
    <t>NZO Saline M</t>
  </si>
  <si>
    <t>WT Agonist F</t>
  </si>
  <si>
    <t>WT Saline F</t>
  </si>
  <si>
    <t>WT Agonist M</t>
  </si>
  <si>
    <t>WT Saline M</t>
  </si>
  <si>
    <t>Lean Mass</t>
  </si>
  <si>
    <t>Fat Mass</t>
  </si>
  <si>
    <t>Total Water</t>
  </si>
  <si>
    <t>Free Water</t>
  </si>
  <si>
    <r>
      <rPr>
        <b/>
        <sz val="11"/>
        <color theme="1"/>
        <rFont val="Calibri"/>
      </rPr>
      <t xml:space="preserve">RNA (ng/ul)                </t>
    </r>
    <r>
      <rPr>
        <b/>
        <i/>
        <sz val="11"/>
        <color theme="1"/>
        <rFont val="Calibri"/>
      </rPr>
      <t xml:space="preserve"> Hypothalamus                  </t>
    </r>
    <r>
      <rPr>
        <sz val="11"/>
        <color theme="1"/>
        <rFont val="Calibri"/>
      </rPr>
      <t xml:space="preserve"> RNA Isolation: </t>
    </r>
    <r>
      <rPr>
        <i/>
        <sz val="11"/>
        <color theme="1"/>
        <rFont val="Calibri"/>
      </rPr>
      <t>May 17/22</t>
    </r>
  </si>
  <si>
    <t xml:space="preserve">                                     </t>
  </si>
  <si>
    <t>1 week of injection</t>
  </si>
  <si>
    <t>2 week of injection</t>
  </si>
  <si>
    <t>3 week</t>
  </si>
  <si>
    <t>4 week</t>
  </si>
  <si>
    <t>5 week</t>
  </si>
  <si>
    <t>MICE                             ID</t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</si>
  <si>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Feb 18)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</si>
  <si>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Feb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</si>
  <si>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</si>
  <si>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Feb 21)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</si>
  <si>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Feb 25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</si>
  <si>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</si>
  <si>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04)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</si>
  <si>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07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</si>
  <si>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</si>
  <si>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07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</si>
  <si>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</si>
  <si>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</si>
  <si>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</si>
  <si>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</si>
  <si>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</si>
  <si>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</si>
  <si>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</si>
  <si>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</si>
  <si>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</si>
  <si>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</si>
  <si>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</si>
  <si>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</si>
  <si>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</si>
  <si>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</si>
  <si>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</si>
  <si>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</si>
  <si>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</si>
  <si>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</si>
  <si>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</si>
  <si>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</si>
  <si>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</si>
  <si>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04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</si>
  <si>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</si>
  <si>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,Arial"/>
      </rPr>
      <t>Food intake offered (</t>
    </r>
    <r>
      <rPr>
        <b/>
        <sz val="11"/>
        <color theme="1"/>
        <rFont val="Calibri,Arial"/>
      </rPr>
      <t>April 08</t>
    </r>
    <r>
      <rPr>
        <sz val="11"/>
        <color theme="1"/>
        <rFont val="Calibri,Arial"/>
      </rPr>
      <t>)</t>
    </r>
  </si>
  <si>
    <r>
      <rPr>
        <sz val="11"/>
        <color theme="1"/>
        <rFont val="Calibri,Arial"/>
      </rPr>
      <t>Food intake left (April</t>
    </r>
    <r>
      <rPr>
        <b/>
        <sz val="11"/>
        <color theme="1"/>
        <rFont val="Calibri,Arial"/>
      </rPr>
      <t xml:space="preserve"> 10</t>
    </r>
    <r>
      <rPr>
        <sz val="11"/>
        <color theme="1"/>
        <rFont val="Calibri,Arial"/>
      </rPr>
      <t>)</t>
    </r>
  </si>
  <si>
    <r>
      <rPr>
        <sz val="11"/>
        <color theme="1"/>
        <rFont val="Calibri,Arial"/>
      </rPr>
      <t xml:space="preserve">Food intake day      </t>
    </r>
    <r>
      <rPr>
        <b/>
        <sz val="11"/>
        <color theme="1"/>
        <rFont val="Calibri,Arial"/>
      </rPr>
      <t>(÷ 2</t>
    </r>
    <r>
      <rPr>
        <sz val="11"/>
        <color theme="1"/>
        <rFont val="Calibri,Arial"/>
      </rPr>
      <t>)</t>
    </r>
  </si>
  <si>
    <t>3 week of injection</t>
  </si>
  <si>
    <t>4 week of injection</t>
  </si>
  <si>
    <t>5 week of injection</t>
  </si>
  <si>
    <t>Week of Euthanasia</t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</si>
  <si>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22)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</si>
  <si>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25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</si>
  <si>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</si>
  <si>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25)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</si>
  <si>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29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</si>
  <si>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</si>
  <si>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29)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</si>
  <si>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02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</si>
  <si>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</si>
  <si>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02)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</si>
  <si>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</si>
  <si>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</si>
  <si>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06)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</si>
  <si>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09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</si>
  <si>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</si>
  <si>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09)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</si>
  <si>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13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</si>
  <si>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</si>
  <si>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13)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</si>
  <si>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16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</si>
  <si>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</si>
  <si>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16)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</si>
  <si>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20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</si>
  <si>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</si>
  <si>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20)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</si>
  <si>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23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</si>
  <si>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</si>
  <si>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</si>
  <si>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</si>
  <si>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4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</si>
  <si>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27)</t>
    </r>
  </si>
  <si>
    <r>
      <rPr>
        <sz val="11"/>
        <color theme="1"/>
        <rFont val="Calibri"/>
      </rPr>
      <t>Food intake left</t>
    </r>
    <r>
      <rPr>
        <b/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</si>
  <si>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</si>
  <si>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30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</si>
  <si>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31*, June 1</t>
    </r>
    <r>
      <rPr>
        <sz val="11"/>
        <color theme="1"/>
        <rFont val="Calibri"/>
      </rPr>
      <t>)</t>
    </r>
  </si>
  <si>
    <t>Food intake/day</t>
  </si>
  <si>
    <t>266.3*</t>
  </si>
  <si>
    <t>289.6*</t>
  </si>
  <si>
    <t>242.3*</t>
  </si>
  <si>
    <t>230*</t>
  </si>
  <si>
    <t>306*</t>
  </si>
  <si>
    <t>291.6*</t>
  </si>
  <si>
    <t>275*</t>
  </si>
  <si>
    <t>281.6*</t>
  </si>
  <si>
    <t>259*</t>
  </si>
  <si>
    <t>284.6*</t>
  </si>
  <si>
    <t>273.8*</t>
  </si>
  <si>
    <t>292.9*</t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</si>
  <si>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25-May 27/ iCal week</t>
    </r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</si>
  <si>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27-May 31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</si>
  <si>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Oct. 28)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</si>
  <si>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Oct.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</si>
  <si>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</si>
  <si>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(Oct. 31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</si>
  <si>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</si>
  <si>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</si>
  <si>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4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</si>
  <si>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</si>
  <si>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</si>
  <si>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7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</si>
  <si>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</si>
  <si>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</si>
  <si>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</si>
  <si>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</si>
  <si>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</si>
  <si>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14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</si>
  <si>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</si>
  <si>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</si>
  <si>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18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</si>
  <si>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</si>
  <si>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21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</si>
  <si>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</si>
  <si>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</si>
  <si>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25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</si>
  <si>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</si>
  <si>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</si>
  <si>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offered 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</si>
  <si>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left </t>
    </r>
    <r>
      <rPr>
        <b/>
        <sz val="11"/>
        <color theme="1"/>
        <rFont val="Calibri"/>
      </rPr>
      <t>Nov. 30</t>
    </r>
    <r>
      <rPr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</si>
  <si>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4"/>
        <color theme="1"/>
        <rFont val="Calibri"/>
      </rPr>
      <t>)</t>
    </r>
  </si>
  <si>
    <r>
      <rPr>
        <sz val="11"/>
        <color theme="1"/>
        <rFont val="Calibri"/>
      </rPr>
      <t>Food intake offered (Dec. 2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</si>
  <si>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</t>
    </r>
    <r>
      <rPr>
        <b/>
        <sz val="11"/>
        <color theme="1"/>
        <rFont val="Calibri"/>
      </rPr>
      <t xml:space="preserve"> (Dec. 6,7)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</si>
  <si>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5, 6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</si>
  <si>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Dec. 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</si>
  <si>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(Dec 6 - WT</t>
    </r>
    <r>
      <rPr>
        <b/>
        <sz val="11"/>
        <color theme="1"/>
        <rFont val="Calibri"/>
      </rPr>
      <t>, 7 - NZO</t>
    </r>
    <r>
      <rPr>
        <sz val="11"/>
        <color theme="1"/>
        <rFont val="Calibri"/>
      </rPr>
      <t>)</t>
    </r>
  </si>
  <si>
    <t>NA</t>
  </si>
  <si>
    <t xml:space="preserve">     </t>
  </si>
  <si>
    <t>4 mg of RTIOXA-47 in 1 ml saline</t>
  </si>
  <si>
    <t>DOSE (for ip) - Saline &amp; RTIOXA-47</t>
  </si>
  <si>
    <t xml:space="preserve"> 40mg/kg</t>
  </si>
  <si>
    <t>1week</t>
  </si>
  <si>
    <t>2week</t>
  </si>
  <si>
    <t>3week</t>
  </si>
  <si>
    <t xml:space="preserve">3-4 last days of treatment </t>
  </si>
  <si>
    <t>BODY WEIGHT (g)</t>
  </si>
  <si>
    <t>FINAL DOSE (ml)</t>
  </si>
  <si>
    <t>FINAL DOSE (ul)</t>
  </si>
  <si>
    <t>1st cohort</t>
  </si>
  <si>
    <t>Group</t>
  </si>
  <si>
    <t>Start       date</t>
  </si>
  <si>
    <t>1wk</t>
  </si>
  <si>
    <t>2wk</t>
  </si>
  <si>
    <t>3wk</t>
  </si>
  <si>
    <t>4wk</t>
  </si>
  <si>
    <t>5wk</t>
  </si>
  <si>
    <t>Final       date</t>
  </si>
  <si>
    <t>Day 1</t>
  </si>
  <si>
    <t>Day 2</t>
  </si>
  <si>
    <t>Day 3</t>
  </si>
  <si>
    <t>Day 4</t>
  </si>
  <si>
    <t>Day 5</t>
  </si>
  <si>
    <t>Control</t>
  </si>
  <si>
    <t>X</t>
  </si>
  <si>
    <t>2nd cohort</t>
  </si>
  <si>
    <t xml:space="preserve">4-5 last days of treatment </t>
  </si>
  <si>
    <t>x</t>
  </si>
  <si>
    <t>3rd cohort</t>
  </si>
  <si>
    <t>Mouse ID</t>
  </si>
  <si>
    <t>Observation</t>
  </si>
  <si>
    <t>Mouse 15</t>
  </si>
  <si>
    <t>extremly skin/no fat pads/ extremely enlarged bladder and kidneys (there is a photo)/urine collected</t>
  </si>
  <si>
    <t xml:space="preserve">Mouse 17 </t>
  </si>
  <si>
    <t>urine collected</t>
  </si>
  <si>
    <t>Mice 3, 7, 19,22,23</t>
  </si>
  <si>
    <t>just a few of serum collected (little blood extracted in the decap)</t>
  </si>
  <si>
    <t>Urines samples</t>
  </si>
  <si>
    <t>same box of serum</t>
  </si>
  <si>
    <t>Change in body mass</t>
  </si>
  <si>
    <t>Mouse #</t>
  </si>
  <si>
    <t>Body          weight                    April 08 (Wk 5)</t>
  </si>
  <si>
    <t>change in body wt (Mar 4 to April 8)</t>
  </si>
  <si>
    <t>Body          weight                    May 27 (wk 5)</t>
  </si>
  <si>
    <t>change in body wt (April 22 to May 27)</t>
  </si>
  <si>
    <t>RTI</t>
  </si>
  <si>
    <t>Body          weight                    Dec. 2 (wk 5)</t>
  </si>
  <si>
    <t>change in body wt (Oct 28 to Dec 2)</t>
  </si>
  <si>
    <t>Change in fat mass</t>
  </si>
  <si>
    <t>fat          weight                    April 08 (Wk 5)</t>
  </si>
  <si>
    <t>fat          weight                    May 27 (wk 5)</t>
  </si>
  <si>
    <t>fat          weight                    Dec. 2 (wk 5)</t>
  </si>
  <si>
    <r>
      <t xml:space="preserve">fat                     weight               Feb 25    </t>
    </r>
    <r>
      <rPr>
        <b/>
        <i/>
        <sz val="11"/>
        <color theme="1"/>
        <rFont val="Calibri"/>
      </rPr>
      <t>BASAL</t>
    </r>
  </si>
  <si>
    <t>change in fat wt (Feb 25 to April 8)</t>
  </si>
  <si>
    <r>
      <t xml:space="preserve">fat Mass    April 15    </t>
    </r>
    <r>
      <rPr>
        <b/>
        <i/>
        <sz val="11"/>
        <color theme="1"/>
        <rFont val="Calibri"/>
      </rPr>
      <t>BASAL</t>
    </r>
  </si>
  <si>
    <t>change in fat wt (April 15 to May 27)</t>
  </si>
  <si>
    <r>
      <t xml:space="preserve">fat Mass    Oct. 21    </t>
    </r>
    <r>
      <rPr>
        <b/>
        <i/>
        <sz val="11"/>
        <color theme="1"/>
        <rFont val="Calibri"/>
      </rPr>
      <t>BASAL</t>
    </r>
  </si>
  <si>
    <t>change in fat wt (Oct 21 to Dec 2)</t>
  </si>
  <si>
    <t>change in % fat  (Feb 25 to April 8)</t>
  </si>
  <si>
    <t>%fat basal</t>
  </si>
  <si>
    <t>% fat final</t>
  </si>
  <si>
    <t>change in fat % (Feb 25 to April 8)</t>
  </si>
  <si>
    <t>change in fat % (April 15 to May 27)</t>
  </si>
  <si>
    <t>change in fat % (Oct 21 to Dec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</si>
</sst>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mmm\ dd"/>
    <numFmt numFmtId="166" formatCode="mmmm\ d"/>
    <numFmt numFmtId="167" formatCode="mmm\ d"/>
    <numFmt numFmtId="168" formatCode="mmm\ d/yyyy"/>
  </numFmts>
  <fonts count="4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i/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2"/>
      <color theme="1"/>
      <name val="Calibri"/>
    </font>
    <font>
      <sz val="11"/>
      <color rgb="FF000000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Docs-Calibri"/>
    </font>
    <font>
      <b/>
      <i/>
      <sz val="11"/>
      <color theme="1"/>
      <name val="Arial"/>
    </font>
    <font>
      <b/>
      <i/>
      <sz val="11"/>
      <color rgb="FFFF0000"/>
      <name val="Arial"/>
    </font>
    <font>
      <sz val="11"/>
      <color theme="1"/>
      <name val="Arial"/>
    </font>
    <font>
      <b/>
      <sz val="24"/>
      <color theme="1"/>
      <name val="Arial"/>
    </font>
    <font>
      <b/>
      <sz val="24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i/>
      <sz val="11"/>
      <color rgb="FFFF0000"/>
      <name val="Calibri"/>
    </font>
    <font>
      <b/>
      <i/>
      <sz val="11"/>
      <color rgb="FF000000"/>
      <name val="Calibri"/>
    </font>
    <font>
      <b/>
      <sz val="11"/>
      <color rgb="FFFF0000"/>
      <name val="Calibri"/>
      <scheme val="minor"/>
    </font>
    <font>
      <b/>
      <i/>
      <sz val="11"/>
      <color theme="1"/>
      <name val="Calibri"/>
      <scheme val="minor"/>
    </font>
    <font>
      <i/>
      <sz val="11"/>
      <color rgb="FF000000"/>
      <name val="Calibri,Arial"/>
    </font>
    <font>
      <b/>
      <i/>
      <sz val="11"/>
      <color rgb="FF000000"/>
      <name val="Calibri,Arial"/>
    </font>
    <font>
      <b/>
      <i/>
      <sz val="14"/>
      <color theme="1"/>
      <name val="Calibri"/>
    </font>
    <font>
      <b/>
      <i/>
      <sz val="14"/>
      <color rgb="FFFF0000"/>
      <name val="Calibri"/>
    </font>
    <font>
      <b/>
      <sz val="18"/>
      <color rgb="FFFF0000"/>
      <name val="Calibri"/>
    </font>
    <font>
      <b/>
      <i/>
      <sz val="14"/>
      <color rgb="FFFF0000"/>
      <name val="Calibri,Arial"/>
    </font>
    <font>
      <i/>
      <sz val="11"/>
      <color theme="1"/>
      <name val="Calibri,Arial"/>
    </font>
    <font>
      <b/>
      <i/>
      <sz val="11"/>
      <color theme="1"/>
      <name val="Calibri,Arial"/>
    </font>
    <font>
      <sz val="11"/>
      <color theme="1"/>
      <name val="Calibri,Arial"/>
    </font>
    <font>
      <b/>
      <sz val="11"/>
      <color theme="1"/>
      <name val="Calibri,Arial"/>
    </font>
    <font>
      <b/>
      <sz val="14"/>
      <color rgb="FFFF0000"/>
      <name val="Calibri"/>
    </font>
    <font>
      <sz val="14"/>
      <color theme="1"/>
      <name val="Calibri"/>
    </font>
  </fonts>
  <fills count="5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DDCE8"/>
        <bgColor rgb="FFFDDCE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91D63"/>
        <bgColor rgb="FFE91D6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5A6B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DDCE8"/>
        <bgColor rgb="FFB4A7D6"/>
      </patternFill>
    </fill>
    <fill>
      <patternFill patternType="solid">
        <fgColor rgb="FFFDDCE8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/>
    </xf>
    <xf numFmtId="2" fontId="3" fillId="9" borderId="6" xfId="0" applyNumberFormat="1" applyFont="1" applyFill="1" applyBorder="1" applyAlignment="1">
      <alignment horizontal="center" vertical="center" wrapText="1"/>
    </xf>
    <xf numFmtId="2" fontId="7" fillId="9" borderId="6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 vertical="center" wrapText="1"/>
    </xf>
    <xf numFmtId="2" fontId="8" fillId="9" borderId="6" xfId="0" applyNumberFormat="1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2" fontId="11" fillId="9" borderId="6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/>
    </xf>
    <xf numFmtId="2" fontId="3" fillId="11" borderId="6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2" fontId="11" fillId="11" borderId="6" xfId="0" applyNumberFormat="1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2" fontId="12" fillId="9" borderId="6" xfId="0" applyNumberFormat="1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/>
    </xf>
    <xf numFmtId="0" fontId="12" fillId="9" borderId="0" xfId="0" applyFont="1" applyFill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2" fontId="12" fillId="11" borderId="6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4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 vertical="center" wrapText="1"/>
    </xf>
    <xf numFmtId="2" fontId="7" fillId="4" borderId="6" xfId="0" applyNumberFormat="1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 vertical="center" wrapText="1"/>
    </xf>
    <xf numFmtId="2" fontId="16" fillId="4" borderId="6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right"/>
    </xf>
    <xf numFmtId="0" fontId="3" fillId="11" borderId="6" xfId="0" applyFont="1" applyFill="1" applyBorder="1" applyAlignment="1">
      <alignment horizontal="center"/>
    </xf>
    <xf numFmtId="2" fontId="7" fillId="11" borderId="6" xfId="0" applyNumberFormat="1" applyFont="1" applyFill="1" applyBorder="1" applyAlignment="1">
      <alignment horizontal="center"/>
    </xf>
    <xf numFmtId="2" fontId="3" fillId="18" borderId="6" xfId="0" applyNumberFormat="1" applyFont="1" applyFill="1" applyBorder="1" applyAlignment="1">
      <alignment horizontal="center" vertical="center" wrapText="1"/>
    </xf>
    <xf numFmtId="164" fontId="3" fillId="11" borderId="6" xfId="0" applyNumberFormat="1" applyFont="1" applyFill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right"/>
    </xf>
    <xf numFmtId="0" fontId="3" fillId="8" borderId="6" xfId="0" applyFont="1" applyFill="1" applyBorder="1" applyAlignment="1">
      <alignment horizontal="center"/>
    </xf>
    <xf numFmtId="2" fontId="3" fillId="8" borderId="6" xfId="0" applyNumberFormat="1" applyFon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/>
    </xf>
    <xf numFmtId="164" fontId="3" fillId="8" borderId="6" xfId="0" applyNumberFormat="1" applyFont="1" applyFill="1" applyBorder="1" applyAlignment="1">
      <alignment horizontal="center" vertical="center" wrapText="1"/>
    </xf>
    <xf numFmtId="2" fontId="16" fillId="8" borderId="6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0" fontId="17" fillId="25" borderId="4" xfId="0" applyFont="1" applyFill="1" applyBorder="1" applyAlignment="1">
      <alignment horizontal="center"/>
    </xf>
    <xf numFmtId="0" fontId="17" fillId="26" borderId="6" xfId="0" applyFont="1" applyFill="1" applyBorder="1" applyAlignment="1">
      <alignment horizontal="center"/>
    </xf>
    <xf numFmtId="0" fontId="17" fillId="27" borderId="6" xfId="0" applyFont="1" applyFill="1" applyBorder="1" applyAlignment="1">
      <alignment horizontal="center"/>
    </xf>
    <xf numFmtId="0" fontId="17" fillId="28" borderId="9" xfId="0" applyFont="1" applyFill="1" applyBorder="1" applyAlignment="1">
      <alignment horizontal="center"/>
    </xf>
    <xf numFmtId="0" fontId="17" fillId="28" borderId="0" xfId="0" applyFont="1" applyFill="1" applyAlignment="1">
      <alignment horizontal="center"/>
    </xf>
    <xf numFmtId="0" fontId="18" fillId="0" borderId="7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7" fillId="0" borderId="7" xfId="0" applyFont="1" applyBorder="1"/>
    <xf numFmtId="0" fontId="7" fillId="0" borderId="10" xfId="0" applyFont="1" applyBorder="1"/>
    <xf numFmtId="0" fontId="7" fillId="0" borderId="15" xfId="0" applyFont="1" applyBorder="1"/>
    <xf numFmtId="0" fontId="17" fillId="25" borderId="16" xfId="0" applyFont="1" applyFill="1" applyBorder="1" applyAlignment="1">
      <alignment horizontal="center"/>
    </xf>
    <xf numFmtId="0" fontId="17" fillId="26" borderId="17" xfId="0" applyFont="1" applyFill="1" applyBorder="1" applyAlignment="1">
      <alignment horizontal="center"/>
    </xf>
    <xf numFmtId="0" fontId="17" fillId="27" borderId="17" xfId="0" applyFont="1" applyFill="1" applyBorder="1" applyAlignment="1">
      <alignment horizontal="center"/>
    </xf>
    <xf numFmtId="0" fontId="17" fillId="28" borderId="17" xfId="0" applyFont="1" applyFill="1" applyBorder="1" applyAlignment="1">
      <alignment horizontal="center"/>
    </xf>
    <xf numFmtId="0" fontId="17" fillId="25" borderId="17" xfId="0" applyFont="1" applyFill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6" xfId="0" applyFont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20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9" borderId="6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1" fillId="18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8" borderId="5" xfId="0" applyFont="1" applyFill="1" applyBorder="1" applyAlignment="1">
      <alignment horizontal="center" wrapText="1"/>
    </xf>
    <xf numFmtId="0" fontId="16" fillId="0" borderId="6" xfId="0" applyFont="1" applyBorder="1" applyAlignment="1">
      <alignment horizontal="center"/>
    </xf>
    <xf numFmtId="0" fontId="7" fillId="33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/>
    <xf numFmtId="0" fontId="27" fillId="11" borderId="0" xfId="0" applyFont="1" applyFill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0" xfId="0" applyFont="1"/>
    <xf numFmtId="0" fontId="22" fillId="18" borderId="6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/>
    </xf>
    <xf numFmtId="0" fontId="28" fillId="9" borderId="6" xfId="0" applyFont="1" applyFill="1" applyBorder="1" applyAlignment="1">
      <alignment horizontal="center"/>
    </xf>
    <xf numFmtId="0" fontId="24" fillId="9" borderId="0" xfId="0" applyFont="1" applyFill="1"/>
    <xf numFmtId="0" fontId="28" fillId="9" borderId="6" xfId="0" applyFont="1" applyFill="1" applyBorder="1" applyAlignment="1">
      <alignment horizontal="center" vertical="center" wrapText="1"/>
    </xf>
    <xf numFmtId="0" fontId="24" fillId="15" borderId="6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/>
    </xf>
    <xf numFmtId="1" fontId="24" fillId="0" borderId="6" xfId="0" applyNumberFormat="1" applyFont="1" applyBorder="1" applyAlignment="1">
      <alignment horizontal="center"/>
    </xf>
    <xf numFmtId="164" fontId="24" fillId="9" borderId="6" xfId="0" applyNumberFormat="1" applyFont="1" applyFill="1" applyBorder="1" applyAlignment="1">
      <alignment horizontal="center"/>
    </xf>
    <xf numFmtId="1" fontId="24" fillId="9" borderId="6" xfId="0" applyNumberFormat="1" applyFont="1" applyFill="1" applyBorder="1" applyAlignment="1">
      <alignment horizontal="center"/>
    </xf>
    <xf numFmtId="0" fontId="29" fillId="9" borderId="6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4" fillId="17" borderId="0" xfId="0" applyFont="1" applyFill="1"/>
    <xf numFmtId="0" fontId="28" fillId="17" borderId="6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/>
    </xf>
    <xf numFmtId="0" fontId="28" fillId="18" borderId="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37" borderId="6" xfId="0" applyFont="1" applyFill="1" applyBorder="1" applyAlignment="1">
      <alignment horizontal="center"/>
    </xf>
    <xf numFmtId="0" fontId="4" fillId="38" borderId="6" xfId="0" applyFont="1" applyFill="1" applyBorder="1" applyAlignment="1">
      <alignment horizontal="center"/>
    </xf>
    <xf numFmtId="0" fontId="4" fillId="39" borderId="6" xfId="0" applyFont="1" applyFill="1" applyBorder="1" applyAlignment="1">
      <alignment horizontal="center"/>
    </xf>
    <xf numFmtId="0" fontId="4" fillId="40" borderId="6" xfId="0" applyFont="1" applyFill="1" applyBorder="1" applyAlignment="1">
      <alignment horizontal="center"/>
    </xf>
    <xf numFmtId="0" fontId="4" fillId="41" borderId="6" xfId="0" applyFont="1" applyFill="1" applyBorder="1" applyAlignment="1">
      <alignment horizontal="center"/>
    </xf>
    <xf numFmtId="0" fontId="4" fillId="42" borderId="6" xfId="0" applyFont="1" applyFill="1" applyBorder="1" applyAlignment="1">
      <alignment horizontal="center"/>
    </xf>
    <xf numFmtId="0" fontId="4" fillId="0" borderId="0" xfId="0" applyFont="1"/>
    <xf numFmtId="0" fontId="1" fillId="43" borderId="6" xfId="0" applyFont="1" applyFill="1" applyBorder="1" applyAlignment="1">
      <alignment horizontal="center"/>
    </xf>
    <xf numFmtId="165" fontId="1" fillId="43" borderId="6" xfId="0" applyNumberFormat="1" applyFont="1" applyFill="1" applyBorder="1" applyAlignment="1">
      <alignment horizontal="center"/>
    </xf>
    <xf numFmtId="0" fontId="3" fillId="43" borderId="6" xfId="0" applyFont="1" applyFill="1" applyBorder="1" applyAlignment="1">
      <alignment horizontal="center"/>
    </xf>
    <xf numFmtId="166" fontId="3" fillId="43" borderId="6" xfId="0" applyNumberFormat="1" applyFont="1" applyFill="1" applyBorder="1" applyAlignment="1">
      <alignment horizontal="center"/>
    </xf>
    <xf numFmtId="0" fontId="1" fillId="44" borderId="6" xfId="0" applyFont="1" applyFill="1" applyBorder="1" applyAlignment="1">
      <alignment horizontal="center"/>
    </xf>
    <xf numFmtId="167" fontId="1" fillId="44" borderId="6" xfId="0" applyNumberFormat="1" applyFont="1" applyFill="1" applyBorder="1" applyAlignment="1">
      <alignment horizontal="center"/>
    </xf>
    <xf numFmtId="0" fontId="3" fillId="44" borderId="6" xfId="0" applyFont="1" applyFill="1" applyBorder="1" applyAlignment="1">
      <alignment horizontal="center"/>
    </xf>
    <xf numFmtId="0" fontId="3" fillId="43" borderId="4" xfId="0" applyFont="1" applyFill="1" applyBorder="1" applyAlignment="1">
      <alignment horizontal="center"/>
    </xf>
    <xf numFmtId="166" fontId="3" fillId="44" borderId="6" xfId="0" applyNumberFormat="1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168" fontId="7" fillId="0" borderId="6" xfId="0" applyNumberFormat="1" applyFont="1" applyBorder="1" applyAlignment="1">
      <alignment horizontal="center"/>
    </xf>
    <xf numFmtId="168" fontId="7" fillId="0" borderId="6" xfId="0" applyNumberFormat="1" applyFont="1" applyBorder="1"/>
    <xf numFmtId="0" fontId="32" fillId="0" borderId="6" xfId="0" applyFont="1" applyBorder="1" applyAlignment="1">
      <alignment vertical="center"/>
    </xf>
    <xf numFmtId="0" fontId="33" fillId="0" borderId="6" xfId="0" applyFont="1" applyBorder="1" applyAlignment="1">
      <alignment vertical="center" wrapText="1"/>
    </xf>
    <xf numFmtId="0" fontId="19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0" fillId="0" borderId="0" xfId="0" applyAlignment="1">
      <alignment wrapText="1"/>
    </xf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0" borderId="0" xfId="0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48" borderId="0" xfId="0" applyFont="1" applyFill="1" applyAlignment="1">
      <alignment horizontal="center" vertical="center" wrapText="1"/>
    </xf>
    <xf numFmtId="0" fontId="9" fillId="45" borderId="0" xfId="0" applyFont="1" applyFill="1" applyAlignment="1">
      <alignment horizontal="center"/>
    </xf>
    <xf numFmtId="0" fontId="9" fillId="47" borderId="0" xfId="0" applyFont="1" applyFill="1" applyAlignment="1">
      <alignment horizontal="center"/>
    </xf>
    <xf numFmtId="0" fontId="0" fillId="49" borderId="0" xfId="0" applyFill="1" applyAlignment="1">
      <alignment wrapText="1"/>
    </xf>
    <xf numFmtId="0" fontId="5" fillId="48" borderId="6" xfId="0" applyFont="1" applyFill="1" applyBorder="1" applyAlignment="1">
      <alignment horizontal="center" vertical="center" wrapText="1"/>
    </xf>
    <xf numFmtId="0" fontId="9" fillId="46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7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7" fillId="21" borderId="3" xfId="0" applyFont="1" applyFill="1" applyBorder="1" applyAlignment="1">
      <alignment horizontal="center"/>
    </xf>
    <xf numFmtId="0" fontId="2" fillId="0" borderId="8" xfId="0" applyFont="1" applyBorder="1"/>
    <xf numFmtId="0" fontId="17" fillId="22" borderId="3" xfId="0" applyFont="1" applyFill="1" applyBorder="1" applyAlignment="1">
      <alignment horizontal="center"/>
    </xf>
    <xf numFmtId="0" fontId="17" fillId="23" borderId="3" xfId="0" applyFont="1" applyFill="1" applyBorder="1" applyAlignment="1">
      <alignment horizontal="center"/>
    </xf>
    <xf numFmtId="0" fontId="17" fillId="24" borderId="3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2" fillId="0" borderId="15" xfId="0" applyFont="1" applyBorder="1"/>
    <xf numFmtId="0" fontId="17" fillId="15" borderId="15" xfId="0" applyFont="1" applyFill="1" applyBorder="1" applyAlignment="1">
      <alignment horizontal="center"/>
    </xf>
    <xf numFmtId="0" fontId="17" fillId="22" borderId="15" xfId="0" applyFont="1" applyFill="1" applyBorder="1" applyAlignment="1">
      <alignment horizontal="center"/>
    </xf>
    <xf numFmtId="0" fontId="17" fillId="23" borderId="15" xfId="0" applyFont="1" applyFill="1" applyBorder="1" applyAlignment="1">
      <alignment horizontal="center"/>
    </xf>
    <xf numFmtId="0" fontId="17" fillId="19" borderId="2" xfId="0" applyFont="1" applyFill="1" applyBorder="1" applyAlignment="1">
      <alignment horizontal="center"/>
    </xf>
    <xf numFmtId="0" fontId="17" fillId="15" borderId="3" xfId="0" applyFont="1" applyFill="1" applyBorder="1" applyAlignment="1">
      <alignment horizontal="center"/>
    </xf>
    <xf numFmtId="0" fontId="17" fillId="20" borderId="3" xfId="0" applyFont="1" applyFill="1" applyBorder="1" applyAlignment="1">
      <alignment horizontal="center"/>
    </xf>
    <xf numFmtId="0" fontId="7" fillId="2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2" fillId="0" borderId="19" xfId="0" applyFont="1" applyBorder="1"/>
    <xf numFmtId="0" fontId="1" fillId="10" borderId="0" xfId="0" applyFont="1" applyFill="1" applyAlignment="1">
      <alignment horizontal="center" vertical="center" wrapText="1"/>
    </xf>
    <xf numFmtId="0" fontId="0" fillId="0" borderId="0" xfId="0"/>
    <xf numFmtId="0" fontId="19" fillId="4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19" fillId="30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9" fillId="10" borderId="0" xfId="0" applyFont="1" applyFill="1" applyAlignment="1">
      <alignment horizontal="center" vertical="center" wrapText="1"/>
    </xf>
    <xf numFmtId="0" fontId="19" fillId="32" borderId="0" xfId="0" applyFont="1" applyFill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1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7" fillId="35" borderId="2" xfId="0" applyFont="1" applyFill="1" applyBorder="1" applyAlignment="1">
      <alignment horizontal="center"/>
    </xf>
    <xf numFmtId="0" fontId="27" fillId="36" borderId="2" xfId="0" applyFont="1" applyFill="1" applyBorder="1" applyAlignment="1">
      <alignment horizontal="center"/>
    </xf>
    <xf numFmtId="0" fontId="27" fillId="19" borderId="2" xfId="0" applyFont="1" applyFill="1" applyBorder="1" applyAlignment="1">
      <alignment horizontal="center"/>
    </xf>
    <xf numFmtId="0" fontId="2" fillId="19" borderId="3" xfId="0" applyFont="1" applyFill="1" applyBorder="1"/>
    <xf numFmtId="0" fontId="2" fillId="19" borderId="4" xfId="0" applyFont="1" applyFill="1" applyBorder="1"/>
    <xf numFmtId="0" fontId="27" fillId="10" borderId="2" xfId="0" applyFont="1" applyFill="1" applyBorder="1" applyAlignment="1">
      <alignment horizontal="center"/>
    </xf>
    <xf numFmtId="0" fontId="27" fillId="32" borderId="2" xfId="0" applyFont="1" applyFill="1" applyBorder="1" applyAlignment="1">
      <alignment horizontal="center"/>
    </xf>
    <xf numFmtId="0" fontId="27" fillId="34" borderId="2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8" borderId="2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1" fillId="41" borderId="2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 vertical="center" wrapText="1"/>
    </xf>
    <xf numFmtId="0" fontId="1" fillId="39" borderId="2" xfId="0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9" fillId="4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  <color rgb="FFFDDCE8"/>
      <color rgb="FFD5A6BD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9"/>
  <sheetViews>
    <sheetView tabSelected="1" zoomScale="70" zoomScaleNormal="70" workbookViewId="0">
      <pane xSplit="3" topLeftCell="AD1" activePane="topRight" state="frozen"/>
      <selection pane="topRight" activeCell="AO35" sqref="AO35"/>
    </sheetView>
  </sheetViews>
  <sheetFormatPr baseColWidth="10" defaultColWidth="14.5" defaultRowHeight="15" customHeight="1" outlineLevelRow="1"/>
  <cols>
    <col min="1" max="1" width="16" customWidth="1"/>
    <col min="2" max="2" width="13.5" customWidth="1"/>
    <col min="3" max="3" width="17.33203125" customWidth="1"/>
    <col min="4" max="4" width="13.6640625" customWidth="1"/>
    <col min="5" max="9" width="14" customWidth="1"/>
    <col min="10" max="10" width="14.83203125" customWidth="1"/>
    <col min="11" max="11" width="13.6640625" customWidth="1"/>
    <col min="12" max="12" width="14.5" customWidth="1"/>
    <col min="13" max="13" width="15.83203125" customWidth="1"/>
    <col min="14" max="14" width="13.6640625" customWidth="1"/>
    <col min="15" max="15" width="15.1640625" customWidth="1"/>
    <col min="16" max="16" width="13.6640625" customWidth="1"/>
    <col min="17" max="17" width="14" customWidth="1"/>
    <col min="18" max="19" width="13.6640625" customWidth="1"/>
    <col min="20" max="20" width="14.83203125" customWidth="1"/>
    <col min="21" max="22" width="13.6640625" customWidth="1"/>
    <col min="23" max="23" width="15.5" customWidth="1"/>
    <col min="24" max="26" width="13.6640625" customWidth="1"/>
    <col min="27" max="27" width="14.6640625" customWidth="1"/>
    <col min="28" max="28" width="15.33203125" customWidth="1"/>
    <col min="29" max="31" width="13.6640625" customWidth="1"/>
    <col min="32" max="32" width="15.1640625" customWidth="1"/>
    <col min="33" max="39" width="13.6640625" customWidth="1"/>
    <col min="40" max="40" width="15.5" customWidth="1"/>
    <col min="41" max="41" width="11.83203125" customWidth="1"/>
    <col min="42" max="42" width="10.5" customWidth="1"/>
    <col min="43" max="43" width="11.83203125" customWidth="1"/>
    <col min="44" max="44" width="12" customWidth="1"/>
    <col min="45" max="45" width="14" customWidth="1"/>
  </cols>
  <sheetData>
    <row r="1" spans="1:45" ht="45" customHeight="1">
      <c r="A1" s="234"/>
      <c r="B1" s="234" t="s">
        <v>0</v>
      </c>
      <c r="C1" s="234" t="s">
        <v>1</v>
      </c>
      <c r="D1" s="234" t="s">
        <v>2</v>
      </c>
      <c r="E1" s="236" t="s">
        <v>3</v>
      </c>
      <c r="F1" s="229"/>
      <c r="G1" s="229"/>
      <c r="H1" s="229"/>
      <c r="I1" s="229"/>
      <c r="J1" s="229"/>
      <c r="K1" s="229"/>
      <c r="L1" s="229"/>
      <c r="M1" s="229"/>
      <c r="N1" s="229"/>
      <c r="O1" s="230"/>
      <c r="P1" s="237" t="s">
        <v>4</v>
      </c>
      <c r="Q1" s="229"/>
      <c r="R1" s="229"/>
      <c r="S1" s="230"/>
      <c r="T1" s="232" t="s">
        <v>5</v>
      </c>
      <c r="U1" s="229"/>
      <c r="V1" s="229"/>
      <c r="W1" s="230"/>
      <c r="X1" s="228" t="s">
        <v>6</v>
      </c>
      <c r="Y1" s="229"/>
      <c r="Z1" s="229"/>
      <c r="AA1" s="230"/>
      <c r="AB1" s="231" t="s">
        <v>7</v>
      </c>
      <c r="AC1" s="229"/>
      <c r="AD1" s="229"/>
      <c r="AE1" s="230"/>
      <c r="AF1" s="232" t="s">
        <v>8</v>
      </c>
      <c r="AG1" s="230"/>
      <c r="AH1" s="233" t="s">
        <v>9</v>
      </c>
      <c r="AI1" s="229"/>
      <c r="AJ1" s="229"/>
      <c r="AK1" s="229"/>
      <c r="AL1" s="229"/>
      <c r="AM1" s="229"/>
      <c r="AN1" s="230"/>
      <c r="AO1" s="1"/>
      <c r="AP1" s="1"/>
      <c r="AQ1" s="1"/>
      <c r="AR1" s="1"/>
      <c r="AS1" s="1"/>
    </row>
    <row r="2" spans="1:45" ht="80">
      <c r="A2" s="235"/>
      <c r="B2" s="235"/>
      <c r="C2" s="235"/>
      <c r="D2" s="235"/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4" t="s">
        <v>23</v>
      </c>
      <c r="S2" s="4" t="s">
        <v>24</v>
      </c>
      <c r="T2" s="5" t="s">
        <v>25</v>
      </c>
      <c r="U2" s="5" t="s">
        <v>26</v>
      </c>
      <c r="V2" s="6" t="s">
        <v>27</v>
      </c>
      <c r="W2" s="6" t="s">
        <v>28</v>
      </c>
      <c r="X2" s="7" t="s">
        <v>29</v>
      </c>
      <c r="Y2" s="7" t="s">
        <v>30</v>
      </c>
      <c r="Z2" s="8" t="s">
        <v>31</v>
      </c>
      <c r="AA2" s="8" t="s">
        <v>32</v>
      </c>
      <c r="AB2" s="9" t="s">
        <v>33</v>
      </c>
      <c r="AC2" s="9" t="s">
        <v>34</v>
      </c>
      <c r="AD2" s="10" t="s">
        <v>35</v>
      </c>
      <c r="AE2" s="10" t="s">
        <v>36</v>
      </c>
      <c r="AF2" s="6" t="s">
        <v>37</v>
      </c>
      <c r="AG2" s="6" t="s">
        <v>38</v>
      </c>
      <c r="AH2" s="11" t="s">
        <v>39</v>
      </c>
      <c r="AI2" s="12" t="s">
        <v>40</v>
      </c>
      <c r="AJ2" s="12" t="s">
        <v>41</v>
      </c>
      <c r="AK2" s="12" t="s">
        <v>42</v>
      </c>
      <c r="AL2" s="13" t="s">
        <v>43</v>
      </c>
      <c r="AM2" s="14" t="s">
        <v>44</v>
      </c>
      <c r="AN2" s="14" t="s">
        <v>45</v>
      </c>
      <c r="AO2" s="1"/>
      <c r="AP2" s="1"/>
      <c r="AQ2" s="1"/>
      <c r="AR2" s="1"/>
      <c r="AS2" s="1"/>
    </row>
    <row r="3" spans="1:45" ht="16">
      <c r="A3" s="15">
        <v>1</v>
      </c>
      <c r="B3" s="15" t="s">
        <v>46</v>
      </c>
      <c r="C3" s="15" t="s">
        <v>47</v>
      </c>
      <c r="D3" s="15" t="s">
        <v>48</v>
      </c>
      <c r="E3" s="15">
        <v>31.2</v>
      </c>
      <c r="F3" s="16">
        <v>32</v>
      </c>
      <c r="G3" s="16">
        <v>32.4</v>
      </c>
      <c r="H3" s="16">
        <v>32.299999999999997</v>
      </c>
      <c r="I3" s="16">
        <v>1.74</v>
      </c>
      <c r="J3" s="16">
        <v>30.09</v>
      </c>
      <c r="K3" s="16">
        <v>7.0000000000000007E-2</v>
      </c>
      <c r="L3" s="16">
        <v>21.12</v>
      </c>
      <c r="M3" s="17">
        <v>5.1599999999999966</v>
      </c>
      <c r="N3" s="18">
        <v>8.4099999999999966</v>
      </c>
      <c r="O3" s="17">
        <v>5.1066666666666647</v>
      </c>
      <c r="P3" s="19">
        <v>3.953333333333338</v>
      </c>
      <c r="Q3" s="17">
        <v>4.8275000000000006</v>
      </c>
      <c r="R3" s="17">
        <f t="shared" ref="R3:R26" si="0">AVERAGE(P3:Q3)</f>
        <v>4.3904166666666695</v>
      </c>
      <c r="S3" s="15">
        <v>32.1</v>
      </c>
      <c r="T3" s="17">
        <v>4.486666666666669</v>
      </c>
      <c r="U3" s="18">
        <f t="shared" ref="U3:U26" si="1">(S3-T3)/4</f>
        <v>6.9033333333333333</v>
      </c>
      <c r="V3" s="17">
        <f t="shared" ref="V3:V26" si="2">AVERAGE(T3:U3)</f>
        <v>5.6950000000000012</v>
      </c>
      <c r="W3" s="15">
        <v>32.4</v>
      </c>
      <c r="X3" s="17">
        <v>4.4666666666666686</v>
      </c>
      <c r="Y3" s="20">
        <v>15.802499999999995</v>
      </c>
      <c r="Z3" s="17">
        <v>4.4666666666666686</v>
      </c>
      <c r="AA3" s="15">
        <v>33</v>
      </c>
      <c r="AB3" s="17">
        <v>10.529999999999992</v>
      </c>
      <c r="AC3" s="17">
        <v>6.8775000000000048</v>
      </c>
      <c r="AD3" s="17">
        <f t="shared" ref="AD3:AD26" si="3">AVERAGE(AB3:AC3)</f>
        <v>8.7037499999999994</v>
      </c>
      <c r="AE3" s="15">
        <v>34.1</v>
      </c>
      <c r="AF3" s="15">
        <v>2.835000000000008</v>
      </c>
      <c r="AG3" s="15">
        <v>34.6</v>
      </c>
      <c r="AH3" s="21">
        <v>5.64</v>
      </c>
      <c r="AI3" s="21">
        <v>28.9</v>
      </c>
      <c r="AJ3" s="21">
        <v>0.14000000000000001</v>
      </c>
      <c r="AK3" s="21">
        <v>20.95</v>
      </c>
      <c r="AL3" s="15">
        <f t="shared" ref="AL3:AL26" si="4">AG3-H3</f>
        <v>2.3000000000000043</v>
      </c>
      <c r="AM3" s="15">
        <v>137</v>
      </c>
      <c r="AN3" s="15">
        <v>197</v>
      </c>
      <c r="AO3" s="1"/>
      <c r="AP3" s="1"/>
      <c r="AQ3" s="1"/>
      <c r="AR3" s="1"/>
      <c r="AS3" s="1"/>
    </row>
    <row r="4" spans="1:45" ht="16">
      <c r="A4" s="22">
        <v>2</v>
      </c>
      <c r="B4" s="22" t="s">
        <v>46</v>
      </c>
      <c r="C4" s="22" t="s">
        <v>47</v>
      </c>
      <c r="D4" s="22" t="s">
        <v>49</v>
      </c>
      <c r="E4" s="22">
        <v>30.5</v>
      </c>
      <c r="F4" s="23">
        <v>31.6</v>
      </c>
      <c r="G4" s="23">
        <v>31.5</v>
      </c>
      <c r="H4" s="23">
        <v>30.7</v>
      </c>
      <c r="I4" s="23">
        <v>1.3</v>
      </c>
      <c r="J4" s="23">
        <v>29.04</v>
      </c>
      <c r="K4" s="23">
        <v>0.24</v>
      </c>
      <c r="L4" s="23">
        <v>21.58</v>
      </c>
      <c r="M4" s="24">
        <v>6.1133333333333253</v>
      </c>
      <c r="N4" s="25">
        <v>6.644999999999996</v>
      </c>
      <c r="O4" s="24">
        <v>5.1000000000000041</v>
      </c>
      <c r="P4" s="26">
        <v>3.4633333333333289</v>
      </c>
      <c r="Q4" s="24">
        <v>4.0650000000000048</v>
      </c>
      <c r="R4" s="24">
        <f t="shared" si="0"/>
        <v>3.7641666666666671</v>
      </c>
      <c r="S4" s="22">
        <v>29.7</v>
      </c>
      <c r="T4" s="24">
        <v>4.2033333333333287</v>
      </c>
      <c r="U4" s="25">
        <f t="shared" si="1"/>
        <v>6.3741666666666674</v>
      </c>
      <c r="V4" s="24">
        <f t="shared" si="2"/>
        <v>5.2887499999999985</v>
      </c>
      <c r="W4" s="22">
        <v>30.3</v>
      </c>
      <c r="X4" s="24">
        <v>4.1399999999999961</v>
      </c>
      <c r="Y4" s="27">
        <v>6.3575000000000017</v>
      </c>
      <c r="Z4" s="24">
        <v>4.1399999999999961</v>
      </c>
      <c r="AA4" s="22">
        <v>31.6</v>
      </c>
      <c r="AB4" s="24">
        <v>4.7566666666666606</v>
      </c>
      <c r="AC4" s="24">
        <v>4.2575000000000074</v>
      </c>
      <c r="AD4" s="24">
        <f t="shared" si="3"/>
        <v>4.507083333333334</v>
      </c>
      <c r="AE4" s="22">
        <v>31.7</v>
      </c>
      <c r="AF4" s="22">
        <v>3.0149999999999864</v>
      </c>
      <c r="AG4" s="22">
        <v>31.6</v>
      </c>
      <c r="AH4" s="28">
        <v>3.27</v>
      </c>
      <c r="AI4" s="28">
        <v>28.26</v>
      </c>
      <c r="AJ4" s="28">
        <v>0.17</v>
      </c>
      <c r="AK4" s="28">
        <v>20.16</v>
      </c>
      <c r="AL4" s="22">
        <f t="shared" si="4"/>
        <v>0.90000000000000213</v>
      </c>
      <c r="AM4" s="22">
        <v>147</v>
      </c>
      <c r="AN4" s="22">
        <v>227</v>
      </c>
      <c r="AO4" s="29"/>
      <c r="AP4" s="29"/>
      <c r="AQ4" s="29"/>
      <c r="AR4" s="29"/>
      <c r="AS4" s="29"/>
    </row>
    <row r="5" spans="1:45" ht="16">
      <c r="A5" s="15">
        <v>3</v>
      </c>
      <c r="B5" s="15" t="s">
        <v>46</v>
      </c>
      <c r="C5" s="15" t="s">
        <v>47</v>
      </c>
      <c r="D5" s="15" t="s">
        <v>48</v>
      </c>
      <c r="E5" s="15">
        <v>33.1</v>
      </c>
      <c r="F5" s="16">
        <v>33.700000000000003</v>
      </c>
      <c r="G5" s="16">
        <v>33.700000000000003</v>
      </c>
      <c r="H5" s="16">
        <v>33</v>
      </c>
      <c r="I5" s="16">
        <v>2.84</v>
      </c>
      <c r="J5" s="16">
        <v>30.06</v>
      </c>
      <c r="K5" s="16">
        <v>0.11</v>
      </c>
      <c r="L5" s="16">
        <v>21.68</v>
      </c>
      <c r="M5" s="17">
        <v>6.6366666666666561</v>
      </c>
      <c r="N5" s="18">
        <v>5.32</v>
      </c>
      <c r="O5" s="17">
        <v>5.4599999999999982</v>
      </c>
      <c r="P5" s="19">
        <v>4.7366666666666601</v>
      </c>
      <c r="Q5" s="17">
        <v>5.7974999999999994</v>
      </c>
      <c r="R5" s="17">
        <f t="shared" si="0"/>
        <v>5.2670833333333302</v>
      </c>
      <c r="S5" s="15">
        <v>35.1</v>
      </c>
      <c r="T5" s="17">
        <v>6.503333333333349</v>
      </c>
      <c r="U5" s="18">
        <f t="shared" si="1"/>
        <v>7.1491666666666633</v>
      </c>
      <c r="V5" s="17">
        <f t="shared" si="2"/>
        <v>6.8262500000000061</v>
      </c>
      <c r="W5" s="15">
        <v>35.4</v>
      </c>
      <c r="X5" s="17">
        <v>5.3500000000000041</v>
      </c>
      <c r="Y5" s="20">
        <v>8.0875000000000057</v>
      </c>
      <c r="Z5" s="17">
        <v>5.3500000000000041</v>
      </c>
      <c r="AA5" s="15">
        <v>36.6</v>
      </c>
      <c r="AB5" s="17">
        <v>4.9566666666666679</v>
      </c>
      <c r="AC5" s="17">
        <v>5.0099999999999909</v>
      </c>
      <c r="AD5" s="17">
        <f t="shared" si="3"/>
        <v>4.983333333333329</v>
      </c>
      <c r="AE5" s="15">
        <v>37.4</v>
      </c>
      <c r="AF5" s="15">
        <v>4.0200000000000102</v>
      </c>
      <c r="AG5" s="15">
        <v>37.200000000000003</v>
      </c>
      <c r="AH5" s="21">
        <v>6.79</v>
      </c>
      <c r="AI5" s="21">
        <v>30.11</v>
      </c>
      <c r="AJ5" s="21">
        <v>0.2</v>
      </c>
      <c r="AK5" s="21">
        <v>21.25</v>
      </c>
      <c r="AL5" s="15">
        <f t="shared" si="4"/>
        <v>4.2000000000000028</v>
      </c>
      <c r="AM5" s="15">
        <v>133</v>
      </c>
      <c r="AN5" s="15">
        <v>173</v>
      </c>
      <c r="AO5" s="1"/>
      <c r="AP5" s="1"/>
      <c r="AQ5" s="1"/>
      <c r="AR5" s="1"/>
      <c r="AS5" s="1"/>
    </row>
    <row r="6" spans="1:45" ht="16">
      <c r="A6" s="22">
        <v>4</v>
      </c>
      <c r="B6" s="22" t="s">
        <v>46</v>
      </c>
      <c r="C6" s="22" t="s">
        <v>47</v>
      </c>
      <c r="D6" s="22" t="s">
        <v>49</v>
      </c>
      <c r="E6" s="22">
        <v>30.9</v>
      </c>
      <c r="F6" s="23">
        <v>31.9</v>
      </c>
      <c r="G6" s="23">
        <v>33.299999999999997</v>
      </c>
      <c r="H6" s="23">
        <v>31.5</v>
      </c>
      <c r="I6" s="23">
        <v>1.34</v>
      </c>
      <c r="J6" s="23">
        <v>30.52</v>
      </c>
      <c r="K6" s="23">
        <v>0.27</v>
      </c>
      <c r="L6" s="23">
        <v>23.09</v>
      </c>
      <c r="M6" s="24">
        <v>6.0466666666666624</v>
      </c>
      <c r="N6" s="25">
        <v>4.9325000000000045</v>
      </c>
      <c r="O6" s="24">
        <v>5.6600000000000064</v>
      </c>
      <c r="P6" s="26">
        <v>3.4966666666666697</v>
      </c>
      <c r="Q6" s="24">
        <v>4.8100000000000023</v>
      </c>
      <c r="R6" s="24">
        <f t="shared" si="0"/>
        <v>4.153333333333336</v>
      </c>
      <c r="S6" s="22">
        <v>31.6</v>
      </c>
      <c r="T6" s="24">
        <v>4.7566666666666606</v>
      </c>
      <c r="U6" s="25">
        <f t="shared" si="1"/>
        <v>6.7108333333333352</v>
      </c>
      <c r="V6" s="24">
        <f t="shared" si="2"/>
        <v>5.7337499999999979</v>
      </c>
      <c r="W6" s="22">
        <v>32.700000000000003</v>
      </c>
      <c r="X6" s="24">
        <v>4.3366666666666633</v>
      </c>
      <c r="Y6" s="27">
        <v>6.4025000000000034</v>
      </c>
      <c r="Z6" s="24">
        <v>4.3366666666666633</v>
      </c>
      <c r="AA6" s="22">
        <v>32.4</v>
      </c>
      <c r="AB6" s="24">
        <v>4.8133333333333326</v>
      </c>
      <c r="AC6" s="24">
        <v>4.2100000000000009</v>
      </c>
      <c r="AD6" s="24">
        <f t="shared" si="3"/>
        <v>4.5116666666666667</v>
      </c>
      <c r="AE6" s="22">
        <v>33.4</v>
      </c>
      <c r="AF6" s="22">
        <v>4.7849999999999966</v>
      </c>
      <c r="AG6" s="22">
        <v>33.4</v>
      </c>
      <c r="AH6" s="28">
        <v>3.61</v>
      </c>
      <c r="AI6" s="28">
        <v>28.83</v>
      </c>
      <c r="AJ6" s="28">
        <v>0.31</v>
      </c>
      <c r="AK6" s="28">
        <v>21.28</v>
      </c>
      <c r="AL6" s="22">
        <f t="shared" si="4"/>
        <v>1.8999999999999986</v>
      </c>
      <c r="AM6" s="22">
        <v>173</v>
      </c>
      <c r="AN6" s="22">
        <v>214</v>
      </c>
      <c r="AO6" s="29"/>
      <c r="AP6" s="29"/>
      <c r="AQ6" s="29"/>
      <c r="AR6" s="29"/>
      <c r="AS6" s="29"/>
    </row>
    <row r="7" spans="1:45" ht="16">
      <c r="A7" s="15">
        <v>5</v>
      </c>
      <c r="B7" s="15" t="s">
        <v>46</v>
      </c>
      <c r="C7" s="15" t="s">
        <v>47</v>
      </c>
      <c r="D7" s="15" t="s">
        <v>48</v>
      </c>
      <c r="E7" s="15">
        <v>31</v>
      </c>
      <c r="F7" s="16">
        <v>31.2</v>
      </c>
      <c r="G7" s="16">
        <v>30.4</v>
      </c>
      <c r="H7" s="16">
        <v>30.3</v>
      </c>
      <c r="I7" s="16">
        <v>0.69</v>
      </c>
      <c r="J7" s="16">
        <v>28.47</v>
      </c>
      <c r="K7" s="16">
        <v>0.08</v>
      </c>
      <c r="L7" s="16">
        <v>20.72</v>
      </c>
      <c r="M7" s="17">
        <v>5.3466666666666738</v>
      </c>
      <c r="N7" s="18">
        <v>4.769999999999996</v>
      </c>
      <c r="O7" s="17">
        <v>4.4800000000000182</v>
      </c>
      <c r="P7" s="19">
        <v>4.3899999999999864</v>
      </c>
      <c r="Q7" s="17">
        <v>4.6375000000000028</v>
      </c>
      <c r="R7" s="17">
        <f t="shared" si="0"/>
        <v>4.5137499999999946</v>
      </c>
      <c r="S7" s="15">
        <v>30.2</v>
      </c>
      <c r="T7" s="17">
        <v>4.2900000000000018</v>
      </c>
      <c r="U7" s="18">
        <f t="shared" si="1"/>
        <v>6.4774999999999991</v>
      </c>
      <c r="V7" s="17">
        <f t="shared" si="2"/>
        <v>5.3837500000000009</v>
      </c>
      <c r="W7" s="15">
        <v>30.8</v>
      </c>
      <c r="X7" s="17">
        <v>3.4799999999999991</v>
      </c>
      <c r="Y7" s="20">
        <v>6.6025000000000063</v>
      </c>
      <c r="Z7" s="17">
        <v>3.4799999999999991</v>
      </c>
      <c r="AA7" s="15">
        <v>31.8</v>
      </c>
      <c r="AB7" s="17">
        <v>4.7633333333333399</v>
      </c>
      <c r="AC7" s="17">
        <v>4.3799999999999955</v>
      </c>
      <c r="AD7" s="17">
        <f t="shared" si="3"/>
        <v>4.5716666666666672</v>
      </c>
      <c r="AE7" s="15">
        <v>33</v>
      </c>
      <c r="AF7" s="15">
        <v>3.0849999999999937</v>
      </c>
      <c r="AG7" s="15">
        <v>33.1</v>
      </c>
      <c r="AH7" s="21">
        <v>4.55</v>
      </c>
      <c r="AI7" s="21">
        <v>28.87</v>
      </c>
      <c r="AJ7" s="21">
        <v>0.13</v>
      </c>
      <c r="AK7" s="21">
        <v>20.16</v>
      </c>
      <c r="AL7" s="15">
        <f t="shared" si="4"/>
        <v>2.8000000000000007</v>
      </c>
      <c r="AM7" s="15">
        <v>162</v>
      </c>
      <c r="AN7" s="15">
        <v>208</v>
      </c>
      <c r="AO7" s="1"/>
      <c r="AP7" s="1"/>
      <c r="AQ7" s="1"/>
      <c r="AR7" s="1"/>
      <c r="AS7" s="1"/>
    </row>
    <row r="8" spans="1:45" ht="16">
      <c r="A8" s="22">
        <v>6</v>
      </c>
      <c r="B8" s="22" t="s">
        <v>46</v>
      </c>
      <c r="C8" s="22" t="s">
        <v>47</v>
      </c>
      <c r="D8" s="22" t="s">
        <v>49</v>
      </c>
      <c r="E8" s="22">
        <v>31.3</v>
      </c>
      <c r="F8" s="23">
        <v>32.4</v>
      </c>
      <c r="G8" s="23">
        <v>31.3</v>
      </c>
      <c r="H8" s="23">
        <v>30</v>
      </c>
      <c r="I8" s="23">
        <v>1.05</v>
      </c>
      <c r="J8" s="23">
        <v>28.97</v>
      </c>
      <c r="K8" s="23">
        <v>0.1</v>
      </c>
      <c r="L8" s="23">
        <v>20.91</v>
      </c>
      <c r="M8" s="24">
        <v>5.75</v>
      </c>
      <c r="N8" s="25">
        <v>6.740000000000002</v>
      </c>
      <c r="O8" s="24">
        <v>8.8233333333333235</v>
      </c>
      <c r="P8" s="26">
        <v>7.1200000000000045</v>
      </c>
      <c r="Q8" s="24">
        <v>3.6975000000000051</v>
      </c>
      <c r="R8" s="24">
        <f t="shared" si="0"/>
        <v>5.4087500000000048</v>
      </c>
      <c r="S8" s="22">
        <v>29</v>
      </c>
      <c r="T8" s="24">
        <v>4.1766666666666667</v>
      </c>
      <c r="U8" s="25">
        <f t="shared" si="1"/>
        <v>6.2058333333333335</v>
      </c>
      <c r="V8" s="24">
        <f t="shared" si="2"/>
        <v>5.1912500000000001</v>
      </c>
      <c r="W8" s="22">
        <v>28.9</v>
      </c>
      <c r="X8" s="24">
        <v>3.2399999999999998</v>
      </c>
      <c r="Y8" s="27">
        <v>16.920000000000002</v>
      </c>
      <c r="Z8" s="24">
        <v>3.2399999999999998</v>
      </c>
      <c r="AA8" s="22">
        <v>29.6</v>
      </c>
      <c r="AB8" s="24">
        <v>6.6233333333333348</v>
      </c>
      <c r="AC8" s="24">
        <v>3.5699999999999932</v>
      </c>
      <c r="AD8" s="24">
        <f t="shared" si="3"/>
        <v>5.096666666666664</v>
      </c>
      <c r="AE8" s="22">
        <v>30.5</v>
      </c>
      <c r="AF8" s="22">
        <v>2.9700000000000131</v>
      </c>
      <c r="AG8" s="22">
        <v>30.4</v>
      </c>
      <c r="AH8" s="28">
        <v>2.5</v>
      </c>
      <c r="AI8" s="28">
        <v>27.84</v>
      </c>
      <c r="AJ8" s="28">
        <v>0.11</v>
      </c>
      <c r="AK8" s="28">
        <v>19.64</v>
      </c>
      <c r="AL8" s="22">
        <f t="shared" si="4"/>
        <v>0.39999999999999858</v>
      </c>
      <c r="AM8" s="22">
        <v>148</v>
      </c>
      <c r="AN8" s="22">
        <v>205</v>
      </c>
      <c r="AO8" s="29"/>
      <c r="AP8" s="29"/>
      <c r="AQ8" s="29"/>
      <c r="AR8" s="29"/>
      <c r="AS8" s="29"/>
    </row>
    <row r="9" spans="1:45" ht="16">
      <c r="A9" s="15">
        <v>7</v>
      </c>
      <c r="B9" s="15" t="s">
        <v>46</v>
      </c>
      <c r="C9" s="15" t="s">
        <v>50</v>
      </c>
      <c r="D9" s="15" t="s">
        <v>48</v>
      </c>
      <c r="E9" s="15">
        <v>18.899999999999999</v>
      </c>
      <c r="F9" s="16">
        <v>19.7</v>
      </c>
      <c r="G9" s="16">
        <v>20.7</v>
      </c>
      <c r="H9" s="16">
        <v>20.8</v>
      </c>
      <c r="I9" s="16">
        <v>1.19</v>
      </c>
      <c r="J9" s="16">
        <v>19.100000000000001</v>
      </c>
      <c r="K9" s="16">
        <v>0.06</v>
      </c>
      <c r="L9" s="16">
        <v>14.5</v>
      </c>
      <c r="M9" s="17">
        <v>6.3833333333333258</v>
      </c>
      <c r="N9" s="18">
        <v>13.992500000000007</v>
      </c>
      <c r="O9" s="17">
        <v>7.6800000000000068</v>
      </c>
      <c r="P9" s="19">
        <v>6.7933333333333223</v>
      </c>
      <c r="Q9" s="17">
        <v>7.8049999999999997</v>
      </c>
      <c r="R9" s="17">
        <f t="shared" si="0"/>
        <v>7.299166666666661</v>
      </c>
      <c r="S9" s="15">
        <v>20.6</v>
      </c>
      <c r="T9" s="17">
        <v>7.1833333333333371</v>
      </c>
      <c r="U9" s="18">
        <f t="shared" si="1"/>
        <v>3.3541666666666661</v>
      </c>
      <c r="V9" s="17">
        <f t="shared" si="2"/>
        <v>5.2687500000000016</v>
      </c>
      <c r="W9" s="15">
        <v>21.3</v>
      </c>
      <c r="X9" s="17">
        <v>7.4266666666666667</v>
      </c>
      <c r="Y9" s="20">
        <v>21.244999999999997</v>
      </c>
      <c r="Z9" s="17">
        <v>7.4266666666666667</v>
      </c>
      <c r="AA9" s="15">
        <v>21.7</v>
      </c>
      <c r="AB9" s="17">
        <v>12.959999999999999</v>
      </c>
      <c r="AC9" s="17">
        <v>7.4074999999999989</v>
      </c>
      <c r="AD9" s="17">
        <f t="shared" si="3"/>
        <v>10.18375</v>
      </c>
      <c r="AE9" s="15">
        <v>22.1</v>
      </c>
      <c r="AF9" s="15">
        <v>9.4900000000000091</v>
      </c>
      <c r="AG9" s="15">
        <v>21.7</v>
      </c>
      <c r="AH9" s="21">
        <v>1.45</v>
      </c>
      <c r="AI9" s="21">
        <v>20.03</v>
      </c>
      <c r="AJ9" s="21">
        <v>7.0000000000000007E-2</v>
      </c>
      <c r="AK9" s="21">
        <v>14.24</v>
      </c>
      <c r="AL9" s="15">
        <f t="shared" si="4"/>
        <v>0.89999999999999858</v>
      </c>
      <c r="AM9" s="15">
        <v>103</v>
      </c>
      <c r="AN9" s="15">
        <v>116</v>
      </c>
      <c r="AO9" s="1"/>
      <c r="AP9" s="1"/>
      <c r="AQ9" s="1"/>
      <c r="AR9" s="1"/>
      <c r="AS9" s="1"/>
    </row>
    <row r="10" spans="1:45" ht="16">
      <c r="A10" s="22">
        <v>8</v>
      </c>
      <c r="B10" s="22" t="s">
        <v>46</v>
      </c>
      <c r="C10" s="22" t="s">
        <v>50</v>
      </c>
      <c r="D10" s="22" t="s">
        <v>49</v>
      </c>
      <c r="E10" s="22">
        <v>21.4</v>
      </c>
      <c r="F10" s="23">
        <v>21.3</v>
      </c>
      <c r="G10" s="23">
        <v>22.1</v>
      </c>
      <c r="H10" s="23">
        <v>21.7</v>
      </c>
      <c r="I10" s="23">
        <v>0.9</v>
      </c>
      <c r="J10" s="23">
        <v>20.56</v>
      </c>
      <c r="K10" s="23">
        <v>0.08</v>
      </c>
      <c r="L10" s="23">
        <v>15.01</v>
      </c>
      <c r="M10" s="24">
        <v>4.7533333333333303</v>
      </c>
      <c r="N10" s="25">
        <v>4.0624999999999929</v>
      </c>
      <c r="O10" s="24">
        <v>4.5666666666666629</v>
      </c>
      <c r="P10" s="26">
        <v>3.296666666666662</v>
      </c>
      <c r="Q10" s="24">
        <v>3.8825000000000074</v>
      </c>
      <c r="R10" s="24">
        <f t="shared" si="0"/>
        <v>3.5895833333333345</v>
      </c>
      <c r="S10" s="22">
        <v>21.7</v>
      </c>
      <c r="T10" s="24">
        <v>4.0499999999999927</v>
      </c>
      <c r="U10" s="25">
        <f t="shared" si="1"/>
        <v>4.4125000000000014</v>
      </c>
      <c r="V10" s="24">
        <f t="shared" si="2"/>
        <v>4.2312499999999975</v>
      </c>
      <c r="W10" s="22">
        <v>22.6</v>
      </c>
      <c r="X10" s="24">
        <v>3.6733333333333462</v>
      </c>
      <c r="Y10" s="27">
        <v>5.4275000000000091</v>
      </c>
      <c r="Z10" s="24">
        <v>3.6733333333333462</v>
      </c>
      <c r="AA10" s="22">
        <v>22.6</v>
      </c>
      <c r="AB10" s="24">
        <v>4.3566666666666647</v>
      </c>
      <c r="AC10" s="24">
        <v>3.9675000000000011</v>
      </c>
      <c r="AD10" s="24">
        <f t="shared" si="3"/>
        <v>4.1620833333333334</v>
      </c>
      <c r="AE10" s="22">
        <v>23.3</v>
      </c>
      <c r="AF10" s="22">
        <v>3.1700000000000017</v>
      </c>
      <c r="AG10" s="22">
        <v>23.6</v>
      </c>
      <c r="AH10" s="28">
        <v>1.2</v>
      </c>
      <c r="AI10" s="28">
        <v>21.64</v>
      </c>
      <c r="AJ10" s="28">
        <v>7.0000000000000007E-2</v>
      </c>
      <c r="AK10" s="28">
        <v>16.489999999999998</v>
      </c>
      <c r="AL10" s="22">
        <f t="shared" si="4"/>
        <v>1.9000000000000021</v>
      </c>
      <c r="AM10" s="22">
        <v>113</v>
      </c>
      <c r="AN10" s="22">
        <v>188</v>
      </c>
      <c r="AO10" s="29"/>
      <c r="AP10" s="29"/>
      <c r="AQ10" s="29"/>
      <c r="AR10" s="29"/>
      <c r="AS10" s="29"/>
    </row>
    <row r="11" spans="1:45" ht="16">
      <c r="A11" s="15">
        <v>9</v>
      </c>
      <c r="B11" s="15" t="s">
        <v>46</v>
      </c>
      <c r="C11" s="15" t="s">
        <v>50</v>
      </c>
      <c r="D11" s="15" t="s">
        <v>48</v>
      </c>
      <c r="E11" s="15">
        <v>19.899999999999999</v>
      </c>
      <c r="F11" s="16">
        <v>20.3</v>
      </c>
      <c r="G11" s="16">
        <v>21.2</v>
      </c>
      <c r="H11" s="16">
        <v>20.8</v>
      </c>
      <c r="I11" s="16">
        <v>0.84</v>
      </c>
      <c r="J11" s="16">
        <v>19.32</v>
      </c>
      <c r="K11" s="16">
        <v>7.0000000000000007E-2</v>
      </c>
      <c r="L11" s="16">
        <v>14.76</v>
      </c>
      <c r="M11" s="17">
        <v>6.0899999999999936</v>
      </c>
      <c r="N11" s="18">
        <v>6.0700000000000074</v>
      </c>
      <c r="O11" s="17">
        <v>6.2333333333333298</v>
      </c>
      <c r="P11" s="19">
        <v>4.1433333333333353</v>
      </c>
      <c r="Q11" s="17">
        <v>4.332499999999996</v>
      </c>
      <c r="R11" s="17">
        <f t="shared" si="0"/>
        <v>4.2379166666666652</v>
      </c>
      <c r="S11" s="15">
        <v>21.9</v>
      </c>
      <c r="T11" s="17">
        <v>4.2399999999999993</v>
      </c>
      <c r="U11" s="18">
        <f t="shared" si="1"/>
        <v>4.415</v>
      </c>
      <c r="V11" s="17">
        <f t="shared" si="2"/>
        <v>4.3274999999999997</v>
      </c>
      <c r="W11" s="15">
        <v>23.2</v>
      </c>
      <c r="X11" s="17">
        <v>3.4799999999999991</v>
      </c>
      <c r="Y11" s="20">
        <v>5.18</v>
      </c>
      <c r="Z11" s="17">
        <v>3.4799999999999991</v>
      </c>
      <c r="AA11" s="15">
        <v>22.9</v>
      </c>
      <c r="AB11" s="17">
        <v>5.1733333333333364</v>
      </c>
      <c r="AC11" s="17">
        <v>4.7800000000000011</v>
      </c>
      <c r="AD11" s="17">
        <f t="shared" si="3"/>
        <v>4.9766666666666683</v>
      </c>
      <c r="AE11" s="15">
        <v>22.2</v>
      </c>
      <c r="AF11" s="15">
        <v>2.4449999999999932</v>
      </c>
      <c r="AG11" s="15">
        <v>22.6</v>
      </c>
      <c r="AH11" s="21">
        <v>1.48</v>
      </c>
      <c r="AI11" s="21">
        <v>20.64</v>
      </c>
      <c r="AJ11" s="21">
        <v>0.1</v>
      </c>
      <c r="AK11" s="21">
        <v>15.35</v>
      </c>
      <c r="AL11" s="15">
        <f t="shared" si="4"/>
        <v>1.8000000000000007</v>
      </c>
      <c r="AM11" s="15">
        <v>83</v>
      </c>
      <c r="AN11" s="15">
        <v>94</v>
      </c>
      <c r="AO11" s="1"/>
      <c r="AP11" s="1"/>
      <c r="AQ11" s="1"/>
      <c r="AR11" s="1"/>
      <c r="AS11" s="1"/>
    </row>
    <row r="12" spans="1:45" ht="16">
      <c r="A12" s="22">
        <v>10</v>
      </c>
      <c r="B12" s="22" t="s">
        <v>46</v>
      </c>
      <c r="C12" s="22" t="s">
        <v>50</v>
      </c>
      <c r="D12" s="22" t="s">
        <v>49</v>
      </c>
      <c r="E12" s="22">
        <v>19</v>
      </c>
      <c r="F12" s="23">
        <v>19.5</v>
      </c>
      <c r="G12" s="23">
        <v>20.9</v>
      </c>
      <c r="H12" s="23">
        <v>21.4</v>
      </c>
      <c r="I12" s="23">
        <v>1.22</v>
      </c>
      <c r="J12" s="23">
        <v>19.010000000000002</v>
      </c>
      <c r="K12" s="23">
        <v>7.0000000000000007E-2</v>
      </c>
      <c r="L12" s="23">
        <v>13.86</v>
      </c>
      <c r="M12" s="24">
        <v>6.8400000000000132</v>
      </c>
      <c r="N12" s="25">
        <v>6.9899999999999949</v>
      </c>
      <c r="O12" s="24">
        <v>5.3933333333333353</v>
      </c>
      <c r="P12" s="26">
        <v>3.2599999999999909</v>
      </c>
      <c r="Q12" s="24">
        <v>6.2049999999999983</v>
      </c>
      <c r="R12" s="24">
        <f t="shared" si="0"/>
        <v>4.7324999999999946</v>
      </c>
      <c r="S12" s="22">
        <v>21.5</v>
      </c>
      <c r="T12" s="24">
        <v>4.963333333333348</v>
      </c>
      <c r="U12" s="25">
        <f t="shared" si="1"/>
        <v>4.1341666666666628</v>
      </c>
      <c r="V12" s="24">
        <f t="shared" si="2"/>
        <v>4.5487500000000054</v>
      </c>
      <c r="W12" s="22">
        <v>21.7</v>
      </c>
      <c r="X12" s="24">
        <v>4.6333333333333355</v>
      </c>
      <c r="Y12" s="27">
        <v>10.922499999999999</v>
      </c>
      <c r="Z12" s="24">
        <v>4.6333333333333355</v>
      </c>
      <c r="AA12" s="22">
        <v>21.9</v>
      </c>
      <c r="AB12" s="24">
        <v>6.1499999999999959</v>
      </c>
      <c r="AC12" s="24">
        <v>5.8875000000000028</v>
      </c>
      <c r="AD12" s="24">
        <f t="shared" si="3"/>
        <v>6.0187499999999989</v>
      </c>
      <c r="AE12" s="22">
        <v>22.9</v>
      </c>
      <c r="AF12" s="22">
        <v>2.9649999999999892</v>
      </c>
      <c r="AG12" s="22">
        <v>22.8</v>
      </c>
      <c r="AH12" s="28">
        <v>1.83</v>
      </c>
      <c r="AI12" s="28">
        <v>20.100000000000001</v>
      </c>
      <c r="AJ12" s="28">
        <v>0.1</v>
      </c>
      <c r="AK12" s="28">
        <v>14.76</v>
      </c>
      <c r="AL12" s="22">
        <f t="shared" si="4"/>
        <v>1.4000000000000021</v>
      </c>
      <c r="AM12" s="22">
        <v>120</v>
      </c>
      <c r="AN12" s="22">
        <v>179</v>
      </c>
      <c r="AO12" s="29"/>
      <c r="AP12" s="29"/>
      <c r="AQ12" s="29"/>
      <c r="AR12" s="29"/>
      <c r="AS12" s="29"/>
    </row>
    <row r="13" spans="1:45" ht="16">
      <c r="A13" s="15">
        <v>11</v>
      </c>
      <c r="B13" s="15" t="s">
        <v>46</v>
      </c>
      <c r="C13" s="15" t="s">
        <v>50</v>
      </c>
      <c r="D13" s="15" t="s">
        <v>48</v>
      </c>
      <c r="E13" s="15">
        <v>21.1</v>
      </c>
      <c r="F13" s="16">
        <v>21.6</v>
      </c>
      <c r="G13" s="16">
        <v>22.4</v>
      </c>
      <c r="H13" s="16">
        <v>22</v>
      </c>
      <c r="I13" s="16">
        <v>1.1299999999999999</v>
      </c>
      <c r="J13" s="16">
        <v>20.23</v>
      </c>
      <c r="K13" s="16">
        <v>0.06</v>
      </c>
      <c r="L13" s="16">
        <v>14.44</v>
      </c>
      <c r="M13" s="17">
        <v>9.6533333333333271</v>
      </c>
      <c r="N13" s="18">
        <v>9.0925000000000011</v>
      </c>
      <c r="O13" s="17">
        <v>10.00333333333333</v>
      </c>
      <c r="P13" s="19">
        <v>8.6000000000000032</v>
      </c>
      <c r="Q13" s="17">
        <v>9.539999999999992</v>
      </c>
      <c r="R13" s="17">
        <f t="shared" si="0"/>
        <v>9.0699999999999967</v>
      </c>
      <c r="S13" s="15">
        <v>22.2</v>
      </c>
      <c r="T13" s="17">
        <v>11.453333333333338</v>
      </c>
      <c r="U13" s="18">
        <f t="shared" si="1"/>
        <v>2.6866666666666652</v>
      </c>
      <c r="V13" s="17">
        <f t="shared" si="2"/>
        <v>7.0700000000000021</v>
      </c>
      <c r="W13" s="15">
        <v>22.2</v>
      </c>
      <c r="X13" s="17">
        <v>3.0999999999999943</v>
      </c>
      <c r="Y13" s="20">
        <v>3.3600000000000065</v>
      </c>
      <c r="Z13" s="17">
        <v>3.0999999999999943</v>
      </c>
      <c r="AA13" s="15">
        <v>22.2</v>
      </c>
      <c r="AB13" s="17">
        <v>3.4699999999999989</v>
      </c>
      <c r="AC13" s="17">
        <v>3.4824999999999946</v>
      </c>
      <c r="AD13" s="17">
        <f t="shared" si="3"/>
        <v>3.4762499999999967</v>
      </c>
      <c r="AE13" s="15">
        <v>22.9</v>
      </c>
      <c r="AF13" s="15">
        <v>10.724999999999994</v>
      </c>
      <c r="AG13" s="15">
        <v>23.2</v>
      </c>
      <c r="AH13" s="21">
        <v>1.8</v>
      </c>
      <c r="AI13" s="21">
        <v>20.5</v>
      </c>
      <c r="AJ13" s="21">
        <v>7.0000000000000007E-2</v>
      </c>
      <c r="AK13" s="21">
        <v>15.14</v>
      </c>
      <c r="AL13" s="15">
        <f t="shared" si="4"/>
        <v>1.1999999999999993</v>
      </c>
      <c r="AM13" s="15">
        <v>135</v>
      </c>
      <c r="AN13" s="15">
        <v>215</v>
      </c>
      <c r="AO13" s="1"/>
      <c r="AP13" s="1"/>
      <c r="AQ13" s="1"/>
      <c r="AR13" s="1"/>
      <c r="AS13" s="1"/>
    </row>
    <row r="14" spans="1:45" ht="16">
      <c r="A14" s="22">
        <v>12</v>
      </c>
      <c r="B14" s="22" t="s">
        <v>46</v>
      </c>
      <c r="C14" s="22" t="s">
        <v>50</v>
      </c>
      <c r="D14" s="22" t="s">
        <v>49</v>
      </c>
      <c r="E14" s="22">
        <v>21.7</v>
      </c>
      <c r="F14" s="23">
        <v>22.2</v>
      </c>
      <c r="G14" s="23">
        <v>22.6</v>
      </c>
      <c r="H14" s="23">
        <v>23</v>
      </c>
      <c r="I14" s="23">
        <v>1.47</v>
      </c>
      <c r="J14" s="23">
        <v>20.56</v>
      </c>
      <c r="K14" s="23">
        <v>0.06</v>
      </c>
      <c r="L14" s="23">
        <v>16.53</v>
      </c>
      <c r="M14" s="24">
        <v>11.423333333333327</v>
      </c>
      <c r="N14" s="25">
        <v>7.0549999999999997</v>
      </c>
      <c r="O14" s="24">
        <v>5.1699999999999973</v>
      </c>
      <c r="P14" s="26">
        <v>4.8766666666666652</v>
      </c>
      <c r="Q14" s="24">
        <v>4.5474999999999994</v>
      </c>
      <c r="R14" s="24">
        <f t="shared" si="0"/>
        <v>4.7120833333333323</v>
      </c>
      <c r="S14" s="22">
        <v>23.3</v>
      </c>
      <c r="T14" s="24">
        <v>3.9066666666666663</v>
      </c>
      <c r="U14" s="25">
        <f t="shared" si="1"/>
        <v>4.8483333333333336</v>
      </c>
      <c r="V14" s="24">
        <f t="shared" si="2"/>
        <v>4.3774999999999995</v>
      </c>
      <c r="W14" s="22">
        <v>24.6</v>
      </c>
      <c r="X14" s="24">
        <v>4.5800000000000027</v>
      </c>
      <c r="Y14" s="27">
        <v>11.072500000000005</v>
      </c>
      <c r="Z14" s="24">
        <v>4.5800000000000027</v>
      </c>
      <c r="AA14" s="22">
        <v>24.5</v>
      </c>
      <c r="AB14" s="24">
        <v>6.7099999999999982</v>
      </c>
      <c r="AC14" s="24">
        <v>5.5324999999999989</v>
      </c>
      <c r="AD14" s="24">
        <f t="shared" si="3"/>
        <v>6.1212499999999981</v>
      </c>
      <c r="AE14" s="22">
        <v>25.9</v>
      </c>
      <c r="AF14" s="22">
        <v>3.2149999999999892</v>
      </c>
      <c r="AG14" s="22">
        <v>25.8</v>
      </c>
      <c r="AH14" s="28">
        <v>3.48</v>
      </c>
      <c r="AI14" s="28">
        <v>21.91</v>
      </c>
      <c r="AJ14" s="28">
        <v>7.0000000000000007E-2</v>
      </c>
      <c r="AK14" s="28">
        <v>15.82</v>
      </c>
      <c r="AL14" s="22">
        <f t="shared" si="4"/>
        <v>2.8000000000000007</v>
      </c>
      <c r="AM14" s="22">
        <v>140</v>
      </c>
      <c r="AN14" s="22">
        <v>158</v>
      </c>
      <c r="AO14" s="29"/>
      <c r="AP14" s="29"/>
      <c r="AQ14" s="29"/>
      <c r="AR14" s="29"/>
      <c r="AS14" s="29"/>
    </row>
    <row r="15" spans="1:45" ht="16">
      <c r="A15" s="15">
        <v>13</v>
      </c>
      <c r="B15" s="15" t="s">
        <v>51</v>
      </c>
      <c r="C15" s="15" t="s">
        <v>47</v>
      </c>
      <c r="D15" s="15" t="s">
        <v>48</v>
      </c>
      <c r="E15" s="15">
        <v>52.7</v>
      </c>
      <c r="F15" s="16">
        <v>53.1</v>
      </c>
      <c r="G15" s="16">
        <v>55.2</v>
      </c>
      <c r="H15" s="16">
        <v>52.3</v>
      </c>
      <c r="I15" s="16">
        <v>19.420000000000002</v>
      </c>
      <c r="J15" s="16">
        <v>33.700000000000003</v>
      </c>
      <c r="K15" s="16">
        <v>0.49</v>
      </c>
      <c r="L15" s="16">
        <v>23.53</v>
      </c>
      <c r="M15" s="17">
        <v>6.6199999999999859</v>
      </c>
      <c r="N15" s="18">
        <v>6.7450000000000045</v>
      </c>
      <c r="O15" s="17">
        <v>6.6333333333333258</v>
      </c>
      <c r="P15" s="19">
        <v>7.0233333333333308</v>
      </c>
      <c r="Q15" s="17">
        <v>6.6075000000000017</v>
      </c>
      <c r="R15" s="17">
        <f t="shared" si="0"/>
        <v>6.8154166666666658</v>
      </c>
      <c r="S15" s="15">
        <v>51.6</v>
      </c>
      <c r="T15" s="17">
        <v>6.6133333333333342</v>
      </c>
      <c r="U15" s="18">
        <f t="shared" si="1"/>
        <v>11.246666666666666</v>
      </c>
      <c r="V15" s="17">
        <f t="shared" si="2"/>
        <v>8.93</v>
      </c>
      <c r="W15" s="15">
        <v>50.6</v>
      </c>
      <c r="X15" s="17">
        <v>7.6633333333333367</v>
      </c>
      <c r="Y15" s="20">
        <v>8.6174999999999997</v>
      </c>
      <c r="Z15" s="17">
        <v>7.6633333333333367</v>
      </c>
      <c r="AA15" s="15">
        <v>49.7</v>
      </c>
      <c r="AB15" s="17">
        <v>7.7166666666666686</v>
      </c>
      <c r="AC15" s="17">
        <v>9.0449999999999946</v>
      </c>
      <c r="AD15" s="17">
        <f t="shared" si="3"/>
        <v>8.3808333333333316</v>
      </c>
      <c r="AE15" s="15">
        <v>47.6</v>
      </c>
      <c r="AF15" s="15">
        <v>7.6299999999999955</v>
      </c>
      <c r="AG15" s="15">
        <v>45.7</v>
      </c>
      <c r="AH15" s="21">
        <v>10.8</v>
      </c>
      <c r="AI15" s="21">
        <v>34.28</v>
      </c>
      <c r="AJ15" s="21">
        <v>1.3</v>
      </c>
      <c r="AK15" s="21">
        <v>24.73</v>
      </c>
      <c r="AL15" s="15">
        <f t="shared" si="4"/>
        <v>-6.5999999999999943</v>
      </c>
      <c r="AM15" s="15" t="s">
        <v>52</v>
      </c>
      <c r="AN15" s="15">
        <v>844</v>
      </c>
      <c r="AO15" s="1"/>
      <c r="AP15" s="1"/>
      <c r="AQ15" s="1"/>
      <c r="AR15" s="1"/>
      <c r="AS15" s="1"/>
    </row>
    <row r="16" spans="1:45" ht="16">
      <c r="A16" s="22">
        <v>14</v>
      </c>
      <c r="B16" s="22" t="s">
        <v>51</v>
      </c>
      <c r="C16" s="22" t="s">
        <v>47</v>
      </c>
      <c r="D16" s="22" t="s">
        <v>49</v>
      </c>
      <c r="E16" s="22">
        <v>53.3</v>
      </c>
      <c r="F16" s="23">
        <v>50</v>
      </c>
      <c r="G16" s="23">
        <v>55</v>
      </c>
      <c r="H16" s="23">
        <v>54.1</v>
      </c>
      <c r="I16" s="23">
        <v>16.43</v>
      </c>
      <c r="J16" s="23">
        <v>37.6</v>
      </c>
      <c r="K16" s="23">
        <v>0.28000000000000003</v>
      </c>
      <c r="L16" s="23">
        <v>26.07</v>
      </c>
      <c r="M16" s="24">
        <v>6.553333333333323</v>
      </c>
      <c r="N16" s="25">
        <v>6.9050000000000011</v>
      </c>
      <c r="O16" s="24">
        <v>7.303333333333323</v>
      </c>
      <c r="P16" s="26">
        <v>4.7333333333333485</v>
      </c>
      <c r="Q16" s="24">
        <v>5.4749999999999943</v>
      </c>
      <c r="R16" s="24">
        <f t="shared" si="0"/>
        <v>5.1041666666666714</v>
      </c>
      <c r="S16" s="22">
        <v>53.7</v>
      </c>
      <c r="T16" s="24">
        <v>4.5999999999999943</v>
      </c>
      <c r="U16" s="25">
        <f t="shared" si="1"/>
        <v>12.275000000000002</v>
      </c>
      <c r="V16" s="24">
        <f t="shared" si="2"/>
        <v>8.4374999999999982</v>
      </c>
      <c r="W16" s="22">
        <v>52.4</v>
      </c>
      <c r="X16" s="24">
        <v>6.6933333333333378</v>
      </c>
      <c r="Y16" s="27">
        <v>7.2775000000000034</v>
      </c>
      <c r="Z16" s="24">
        <v>6.6933333333333378</v>
      </c>
      <c r="AA16" s="22">
        <v>51.9</v>
      </c>
      <c r="AB16" s="24">
        <v>9.5499999999999918</v>
      </c>
      <c r="AC16" s="24">
        <v>8.2175000000000082</v>
      </c>
      <c r="AD16" s="24">
        <f t="shared" si="3"/>
        <v>8.8837499999999991</v>
      </c>
      <c r="AE16" s="22">
        <v>50.5</v>
      </c>
      <c r="AF16" s="22">
        <v>6.3900000000000148</v>
      </c>
      <c r="AG16" s="22">
        <v>47.6</v>
      </c>
      <c r="AH16" s="28">
        <v>9.49</v>
      </c>
      <c r="AI16" s="28">
        <v>36.93</v>
      </c>
      <c r="AJ16" s="28">
        <v>0.63</v>
      </c>
      <c r="AK16" s="28">
        <v>26.26</v>
      </c>
      <c r="AL16" s="22">
        <f t="shared" si="4"/>
        <v>-6.5</v>
      </c>
      <c r="AM16" s="22" t="s">
        <v>53</v>
      </c>
      <c r="AN16" s="22">
        <v>866</v>
      </c>
      <c r="AO16" s="29"/>
      <c r="AP16" s="29"/>
      <c r="AQ16" s="29"/>
      <c r="AR16" s="29"/>
      <c r="AS16" s="29"/>
    </row>
    <row r="17" spans="1:45" ht="16">
      <c r="A17" s="15">
        <v>15</v>
      </c>
      <c r="B17" s="15" t="s">
        <v>51</v>
      </c>
      <c r="C17" s="15" t="s">
        <v>47</v>
      </c>
      <c r="D17" s="15" t="s">
        <v>48</v>
      </c>
      <c r="E17" s="15">
        <v>47.8</v>
      </c>
      <c r="F17" s="16">
        <v>49.7</v>
      </c>
      <c r="G17" s="16">
        <v>48.1</v>
      </c>
      <c r="H17" s="16">
        <v>44.2</v>
      </c>
      <c r="I17" s="16">
        <v>11.09</v>
      </c>
      <c r="J17" s="16">
        <v>33.85</v>
      </c>
      <c r="K17" s="16">
        <v>1.06</v>
      </c>
      <c r="L17" s="16">
        <v>25.75</v>
      </c>
      <c r="M17" s="17">
        <v>7.1633333333333367</v>
      </c>
      <c r="N17" s="18">
        <v>8.3299999999999912</v>
      </c>
      <c r="O17" s="17">
        <v>9.193333333333328</v>
      </c>
      <c r="P17" s="19">
        <v>10.080000000000013</v>
      </c>
      <c r="Q17" s="17">
        <v>10.302499999999995</v>
      </c>
      <c r="R17" s="17">
        <f t="shared" si="0"/>
        <v>10.191250000000004</v>
      </c>
      <c r="S17" s="15">
        <v>41.2</v>
      </c>
      <c r="T17" s="17">
        <v>8.6066666666666745</v>
      </c>
      <c r="U17" s="18">
        <f t="shared" si="1"/>
        <v>8.1483333333333317</v>
      </c>
      <c r="V17" s="17">
        <f t="shared" si="2"/>
        <v>8.3775000000000031</v>
      </c>
      <c r="W17" s="15">
        <v>40.6</v>
      </c>
      <c r="X17" s="17">
        <v>11.929999999999998</v>
      </c>
      <c r="Y17" s="20">
        <v>18.057500000000005</v>
      </c>
      <c r="Z17" s="17">
        <v>11.929999999999998</v>
      </c>
      <c r="AA17" s="15">
        <v>40.200000000000003</v>
      </c>
      <c r="AB17" s="17">
        <v>20.360000000000003</v>
      </c>
      <c r="AC17" s="17">
        <v>17.454999999999998</v>
      </c>
      <c r="AD17" s="17">
        <f t="shared" si="3"/>
        <v>18.907499999999999</v>
      </c>
      <c r="AE17" s="15">
        <v>41.3</v>
      </c>
      <c r="AF17" s="15">
        <v>13.125</v>
      </c>
      <c r="AG17" s="15">
        <v>41.4</v>
      </c>
      <c r="AH17" s="30">
        <v>-0.18</v>
      </c>
      <c r="AI17" s="21">
        <v>33.32</v>
      </c>
      <c r="AJ17" s="21">
        <v>3.57</v>
      </c>
      <c r="AK17" s="21">
        <v>27.31</v>
      </c>
      <c r="AL17" s="15">
        <f t="shared" si="4"/>
        <v>-2.8000000000000043</v>
      </c>
      <c r="AM17" s="15">
        <v>464</v>
      </c>
      <c r="AN17" s="15">
        <v>536</v>
      </c>
      <c r="AO17" s="1"/>
      <c r="AP17" s="1"/>
      <c r="AQ17" s="1"/>
      <c r="AR17" s="1"/>
      <c r="AS17" s="1"/>
    </row>
    <row r="18" spans="1:45" ht="16">
      <c r="A18" s="22">
        <v>16</v>
      </c>
      <c r="B18" s="22" t="s">
        <v>51</v>
      </c>
      <c r="C18" s="22" t="s">
        <v>47</v>
      </c>
      <c r="D18" s="22" t="s">
        <v>49</v>
      </c>
      <c r="E18" s="22">
        <v>46.5</v>
      </c>
      <c r="F18" s="23">
        <v>48.7</v>
      </c>
      <c r="G18" s="23">
        <v>50.3</v>
      </c>
      <c r="H18" s="23">
        <v>50</v>
      </c>
      <c r="I18" s="23">
        <v>14.1</v>
      </c>
      <c r="J18" s="23">
        <v>34.89</v>
      </c>
      <c r="K18" s="23">
        <v>0.2</v>
      </c>
      <c r="L18" s="23">
        <v>24.33</v>
      </c>
      <c r="M18" s="24">
        <v>5.0033333333333303</v>
      </c>
      <c r="N18" s="25">
        <v>5.6875</v>
      </c>
      <c r="O18" s="24">
        <v>5.6633333333333367</v>
      </c>
      <c r="P18" s="26">
        <v>4.5266666666666611</v>
      </c>
      <c r="Q18" s="24">
        <v>5.1175000000000068</v>
      </c>
      <c r="R18" s="24">
        <f t="shared" si="0"/>
        <v>4.8220833333333335</v>
      </c>
      <c r="S18" s="22">
        <v>50.9</v>
      </c>
      <c r="T18" s="24">
        <v>5.0699999999999932</v>
      </c>
      <c r="U18" s="25">
        <f t="shared" si="1"/>
        <v>11.457500000000001</v>
      </c>
      <c r="V18" s="24">
        <f t="shared" si="2"/>
        <v>8.2637499999999982</v>
      </c>
      <c r="W18" s="22">
        <v>51.5</v>
      </c>
      <c r="X18" s="24">
        <v>5.4400000000000075</v>
      </c>
      <c r="Y18" s="27">
        <v>6.207499999999996</v>
      </c>
      <c r="Z18" s="24">
        <v>5.4400000000000075</v>
      </c>
      <c r="AA18" s="22">
        <v>52.3</v>
      </c>
      <c r="AB18" s="24">
        <v>5.7066666666666679</v>
      </c>
      <c r="AC18" s="24">
        <v>5.9074999999999989</v>
      </c>
      <c r="AD18" s="24">
        <f t="shared" si="3"/>
        <v>5.8070833333333329</v>
      </c>
      <c r="AE18" s="22">
        <v>53.8</v>
      </c>
      <c r="AF18" s="22">
        <v>6.3449999999999989</v>
      </c>
      <c r="AG18" s="22">
        <v>53.9</v>
      </c>
      <c r="AH18" s="28">
        <v>16.079999999999998</v>
      </c>
      <c r="AI18" s="28">
        <v>34.94</v>
      </c>
      <c r="AJ18" s="28">
        <v>0.31</v>
      </c>
      <c r="AK18" s="28">
        <v>24.46</v>
      </c>
      <c r="AL18" s="22">
        <f t="shared" si="4"/>
        <v>3.8999999999999986</v>
      </c>
      <c r="AM18" s="22">
        <v>109</v>
      </c>
      <c r="AN18" s="22">
        <v>144</v>
      </c>
      <c r="AO18" s="29"/>
      <c r="AP18" s="29"/>
      <c r="AQ18" s="29"/>
      <c r="AR18" s="29"/>
      <c r="AS18" s="29"/>
    </row>
    <row r="19" spans="1:45" ht="16">
      <c r="A19" s="15">
        <v>17</v>
      </c>
      <c r="B19" s="15" t="s">
        <v>51</v>
      </c>
      <c r="C19" s="15" t="s">
        <v>47</v>
      </c>
      <c r="D19" s="15" t="s">
        <v>48</v>
      </c>
      <c r="E19" s="15">
        <v>52.1</v>
      </c>
      <c r="F19" s="16">
        <v>53.8</v>
      </c>
      <c r="G19" s="16">
        <v>55.2</v>
      </c>
      <c r="H19" s="16">
        <v>52.2</v>
      </c>
      <c r="I19" s="16">
        <v>17.78</v>
      </c>
      <c r="J19" s="16">
        <v>35.9</v>
      </c>
      <c r="K19" s="16">
        <v>0.35</v>
      </c>
      <c r="L19" s="16">
        <v>25.82</v>
      </c>
      <c r="M19" s="17">
        <v>7.0800000000000027</v>
      </c>
      <c r="N19" s="18">
        <v>7.5849999999999937</v>
      </c>
      <c r="O19" s="17">
        <v>5.8533333333333246</v>
      </c>
      <c r="P19" s="19">
        <v>6.0400000000000018</v>
      </c>
      <c r="Q19" s="17">
        <v>6.5399999999999991</v>
      </c>
      <c r="R19" s="17">
        <f t="shared" si="0"/>
        <v>6.2900000000000009</v>
      </c>
      <c r="S19" s="15">
        <v>48.8</v>
      </c>
      <c r="T19" s="17">
        <v>8.0700000000000021</v>
      </c>
      <c r="U19" s="18">
        <f t="shared" si="1"/>
        <v>10.182499999999999</v>
      </c>
      <c r="V19" s="17">
        <f t="shared" si="2"/>
        <v>9.1262500000000006</v>
      </c>
      <c r="W19" s="15">
        <v>45.5</v>
      </c>
      <c r="X19" s="17">
        <v>8.3966666666666665</v>
      </c>
      <c r="Y19" s="20">
        <v>10.700000000000003</v>
      </c>
      <c r="Z19" s="17">
        <v>8.3966666666666665</v>
      </c>
      <c r="AA19" s="15">
        <v>44.7</v>
      </c>
      <c r="AB19" s="17">
        <v>11.21666666666666</v>
      </c>
      <c r="AC19" s="17">
        <v>12.200000000000003</v>
      </c>
      <c r="AD19" s="17">
        <f t="shared" si="3"/>
        <v>11.708333333333332</v>
      </c>
      <c r="AE19" s="15">
        <v>43.2</v>
      </c>
      <c r="AF19" s="15">
        <v>14.030000000000001</v>
      </c>
      <c r="AG19" s="15">
        <v>43.6</v>
      </c>
      <c r="AH19" s="21">
        <v>4.05</v>
      </c>
      <c r="AI19" s="21">
        <v>34.58</v>
      </c>
      <c r="AJ19" s="21">
        <v>1.3</v>
      </c>
      <c r="AK19" s="21">
        <v>25.76</v>
      </c>
      <c r="AL19" s="15">
        <f t="shared" si="4"/>
        <v>-8.6000000000000014</v>
      </c>
      <c r="AM19" s="15" t="s">
        <v>53</v>
      </c>
      <c r="AN19" s="15">
        <v>834</v>
      </c>
      <c r="AO19" s="1"/>
      <c r="AP19" s="1"/>
      <c r="AQ19" s="1"/>
      <c r="AR19" s="1"/>
      <c r="AS19" s="1"/>
    </row>
    <row r="20" spans="1:45" ht="16">
      <c r="A20" s="22">
        <v>18</v>
      </c>
      <c r="B20" s="22" t="s">
        <v>51</v>
      </c>
      <c r="C20" s="22" t="s">
        <v>47</v>
      </c>
      <c r="D20" s="22" t="s">
        <v>49</v>
      </c>
      <c r="E20" s="22">
        <v>52.3</v>
      </c>
      <c r="F20" s="23">
        <v>54.9</v>
      </c>
      <c r="G20" s="23">
        <v>56.9</v>
      </c>
      <c r="H20" s="23">
        <v>52.9</v>
      </c>
      <c r="I20" s="23">
        <v>16.21</v>
      </c>
      <c r="J20" s="23">
        <v>38.56</v>
      </c>
      <c r="K20" s="23">
        <v>0.35</v>
      </c>
      <c r="L20" s="23">
        <v>26.79</v>
      </c>
      <c r="M20" s="24">
        <v>6.5566666666666533</v>
      </c>
      <c r="N20" s="25">
        <v>6.8400000000000034</v>
      </c>
      <c r="O20" s="24">
        <v>6.5366666666666715</v>
      </c>
      <c r="P20" s="26">
        <v>5.5033333333333303</v>
      </c>
      <c r="Q20" s="31">
        <v>1.4924999999999899</v>
      </c>
      <c r="R20" s="24">
        <f t="shared" si="0"/>
        <v>3.4979166666666601</v>
      </c>
      <c r="S20" s="22">
        <v>50.8</v>
      </c>
      <c r="T20" s="24">
        <v>5.2966666666666811</v>
      </c>
      <c r="U20" s="25">
        <f t="shared" si="1"/>
        <v>11.375833333333329</v>
      </c>
      <c r="V20" s="24">
        <f t="shared" si="2"/>
        <v>8.336250000000005</v>
      </c>
      <c r="W20" s="22">
        <v>46.5</v>
      </c>
      <c r="X20" s="24">
        <v>9.6566666666666574</v>
      </c>
      <c r="Y20" s="27">
        <v>9.1624999999999943</v>
      </c>
      <c r="Z20" s="24">
        <v>9.6566666666666574</v>
      </c>
      <c r="AA20" s="22">
        <v>47.1</v>
      </c>
      <c r="AB20" s="24">
        <v>9.7900000000000009</v>
      </c>
      <c r="AC20" s="24">
        <v>10.300000000000004</v>
      </c>
      <c r="AD20" s="24">
        <f t="shared" si="3"/>
        <v>10.045000000000002</v>
      </c>
      <c r="AE20" s="22">
        <v>46</v>
      </c>
      <c r="AF20" s="22">
        <v>9.710000000000008</v>
      </c>
      <c r="AG20" s="22">
        <v>44.7</v>
      </c>
      <c r="AH20" s="28">
        <v>3.07</v>
      </c>
      <c r="AI20" s="28">
        <v>37.18</v>
      </c>
      <c r="AJ20" s="28">
        <v>1.67</v>
      </c>
      <c r="AK20" s="28">
        <v>28.47</v>
      </c>
      <c r="AL20" s="22">
        <f t="shared" si="4"/>
        <v>-8.1999999999999957</v>
      </c>
      <c r="AM20" s="22">
        <v>560</v>
      </c>
      <c r="AN20" s="22">
        <v>737</v>
      </c>
      <c r="AO20" s="29"/>
      <c r="AP20" s="29"/>
      <c r="AQ20" s="29"/>
      <c r="AR20" s="29"/>
      <c r="AS20" s="29"/>
    </row>
    <row r="21" spans="1:45" ht="15.75" customHeight="1">
      <c r="A21" s="15">
        <v>19</v>
      </c>
      <c r="B21" s="15" t="s">
        <v>51</v>
      </c>
      <c r="C21" s="15" t="s">
        <v>50</v>
      </c>
      <c r="D21" s="15" t="s">
        <v>48</v>
      </c>
      <c r="E21" s="15">
        <v>43.2</v>
      </c>
      <c r="F21" s="16">
        <v>43.5</v>
      </c>
      <c r="G21" s="16">
        <v>42.9</v>
      </c>
      <c r="H21" s="16">
        <v>42.6</v>
      </c>
      <c r="I21" s="16">
        <v>15.43</v>
      </c>
      <c r="J21" s="16">
        <v>26.33</v>
      </c>
      <c r="K21" s="16">
        <v>0.14000000000000001</v>
      </c>
      <c r="L21" s="32">
        <v>18.37</v>
      </c>
      <c r="M21" s="17">
        <v>4.2433333333333394</v>
      </c>
      <c r="N21" s="18">
        <v>5.0499999999999972</v>
      </c>
      <c r="O21" s="17">
        <v>5.0699999999999932</v>
      </c>
      <c r="P21" s="19">
        <v>4.416666666666667</v>
      </c>
      <c r="Q21" s="17">
        <v>5.2750000000000057</v>
      </c>
      <c r="R21" s="17">
        <f t="shared" si="0"/>
        <v>4.8458333333333368</v>
      </c>
      <c r="S21" s="15">
        <v>43.5</v>
      </c>
      <c r="T21" s="17">
        <v>4.9799999999999995</v>
      </c>
      <c r="U21" s="18">
        <f t="shared" si="1"/>
        <v>9.6300000000000008</v>
      </c>
      <c r="V21" s="17">
        <f t="shared" si="2"/>
        <v>7.3049999999999997</v>
      </c>
      <c r="W21" s="15">
        <v>45</v>
      </c>
      <c r="X21" s="17">
        <v>4.5433333333333321</v>
      </c>
      <c r="Y21" s="20">
        <v>6.2949999999999875</v>
      </c>
      <c r="Z21" s="17">
        <v>4.5433333333333321</v>
      </c>
      <c r="AA21" s="15">
        <v>46</v>
      </c>
      <c r="AB21" s="17">
        <v>5.0066666666666793</v>
      </c>
      <c r="AC21" s="17">
        <v>4.7724999999999937</v>
      </c>
      <c r="AD21" s="17">
        <f t="shared" si="3"/>
        <v>4.8895833333333361</v>
      </c>
      <c r="AE21" s="15">
        <v>46.5</v>
      </c>
      <c r="AF21" s="15">
        <v>4.8550000000000182</v>
      </c>
      <c r="AG21" s="15">
        <v>46.6</v>
      </c>
      <c r="AH21" s="21">
        <v>18.37</v>
      </c>
      <c r="AI21" s="21">
        <v>25.88</v>
      </c>
      <c r="AJ21" s="21">
        <v>0.12</v>
      </c>
      <c r="AK21" s="21">
        <v>17.91</v>
      </c>
      <c r="AL21" s="15">
        <f t="shared" si="4"/>
        <v>4</v>
      </c>
      <c r="AM21" s="15">
        <v>121</v>
      </c>
      <c r="AN21" s="15">
        <v>156</v>
      </c>
      <c r="AO21" s="1"/>
      <c r="AP21" s="1"/>
      <c r="AQ21" s="1"/>
      <c r="AR21" s="1"/>
      <c r="AS21" s="1"/>
    </row>
    <row r="22" spans="1:45" ht="15.75" customHeight="1">
      <c r="A22" s="22">
        <v>20</v>
      </c>
      <c r="B22" s="22" t="s">
        <v>51</v>
      </c>
      <c r="C22" s="22" t="s">
        <v>50</v>
      </c>
      <c r="D22" s="22" t="s">
        <v>49</v>
      </c>
      <c r="E22" s="22">
        <v>45.3</v>
      </c>
      <c r="F22" s="23">
        <v>46</v>
      </c>
      <c r="G22" s="23">
        <v>46.3</v>
      </c>
      <c r="H22" s="23">
        <v>46.1</v>
      </c>
      <c r="I22" s="23">
        <v>17.440000000000001</v>
      </c>
      <c r="J22" s="23">
        <v>27.78</v>
      </c>
      <c r="K22" s="23">
        <v>0.27</v>
      </c>
      <c r="L22" s="23">
        <v>19.38</v>
      </c>
      <c r="M22" s="24">
        <v>5.109999999999995</v>
      </c>
      <c r="N22" s="25">
        <v>5.7724999999999937</v>
      </c>
      <c r="O22" s="24">
        <v>5.3633333333333439</v>
      </c>
      <c r="P22" s="26">
        <v>3.9266666666666574</v>
      </c>
      <c r="Q22" s="24">
        <v>4.3500000000000085</v>
      </c>
      <c r="R22" s="24">
        <f t="shared" si="0"/>
        <v>4.1383333333333328</v>
      </c>
      <c r="S22" s="22">
        <v>45.1</v>
      </c>
      <c r="T22" s="24">
        <v>4.5699999999999932</v>
      </c>
      <c r="U22" s="25">
        <f t="shared" si="1"/>
        <v>10.132500000000002</v>
      </c>
      <c r="V22" s="24">
        <f t="shared" si="2"/>
        <v>7.3512499999999976</v>
      </c>
      <c r="W22" s="22">
        <v>44.2</v>
      </c>
      <c r="X22" s="24">
        <v>4.6766666666666667</v>
      </c>
      <c r="Y22" s="27">
        <v>5.1850000000000023</v>
      </c>
      <c r="Z22" s="24">
        <v>4.6766666666666667</v>
      </c>
      <c r="AA22" s="22">
        <v>44.7</v>
      </c>
      <c r="AB22" s="24">
        <v>4.8099999999999836</v>
      </c>
      <c r="AC22" s="24">
        <v>5.355000000000004</v>
      </c>
      <c r="AD22" s="24">
        <f t="shared" si="3"/>
        <v>5.0824999999999942</v>
      </c>
      <c r="AE22" s="22">
        <v>44.1</v>
      </c>
      <c r="AF22" s="22">
        <v>5.1099999999999852</v>
      </c>
      <c r="AG22" s="22">
        <v>46.8</v>
      </c>
      <c r="AH22" s="28">
        <v>17.98</v>
      </c>
      <c r="AI22" s="28">
        <v>28.14</v>
      </c>
      <c r="AJ22" s="28">
        <v>0.24</v>
      </c>
      <c r="AK22" s="28">
        <v>18.7</v>
      </c>
      <c r="AL22" s="22">
        <f t="shared" si="4"/>
        <v>0.69999999999999574</v>
      </c>
      <c r="AM22" s="22">
        <v>112</v>
      </c>
      <c r="AN22" s="22">
        <v>124</v>
      </c>
      <c r="AO22" s="29"/>
      <c r="AP22" s="29"/>
      <c r="AQ22" s="29"/>
      <c r="AR22" s="29"/>
      <c r="AS22" s="29"/>
    </row>
    <row r="23" spans="1:45" ht="15.75" customHeight="1">
      <c r="A23" s="15">
        <v>21</v>
      </c>
      <c r="B23" s="15" t="s">
        <v>51</v>
      </c>
      <c r="C23" s="15" t="s">
        <v>50</v>
      </c>
      <c r="D23" s="15" t="s">
        <v>48</v>
      </c>
      <c r="E23" s="15">
        <v>44</v>
      </c>
      <c r="F23" s="16">
        <v>45</v>
      </c>
      <c r="G23" s="16">
        <v>44.4</v>
      </c>
      <c r="H23" s="16">
        <v>45.9</v>
      </c>
      <c r="I23" s="16">
        <v>17.829999999999998</v>
      </c>
      <c r="J23" s="16">
        <v>26.34</v>
      </c>
      <c r="K23" s="16">
        <v>0.16</v>
      </c>
      <c r="L23" s="16">
        <v>18.350000000000001</v>
      </c>
      <c r="M23" s="17">
        <v>5.4033333333333262</v>
      </c>
      <c r="N23" s="18">
        <v>5.3500000000000085</v>
      </c>
      <c r="O23" s="17">
        <v>4.9566666666666679</v>
      </c>
      <c r="P23" s="19">
        <v>5.2433333333333394</v>
      </c>
      <c r="Q23" s="17">
        <v>5.2599999999999909</v>
      </c>
      <c r="R23" s="17">
        <f t="shared" si="0"/>
        <v>5.2516666666666652</v>
      </c>
      <c r="S23" s="15">
        <v>47.3</v>
      </c>
      <c r="T23" s="17">
        <v>5.3200000000000118</v>
      </c>
      <c r="U23" s="18">
        <f t="shared" si="1"/>
        <v>10.494999999999996</v>
      </c>
      <c r="V23" s="17">
        <f t="shared" si="2"/>
        <v>7.9075000000000042</v>
      </c>
      <c r="W23" s="15">
        <v>48.3</v>
      </c>
      <c r="X23" s="17">
        <v>5.2166666666666686</v>
      </c>
      <c r="Y23" s="20">
        <v>6.9724999999999966</v>
      </c>
      <c r="Z23" s="17">
        <v>5.2166666666666686</v>
      </c>
      <c r="AA23" s="15">
        <v>49.5</v>
      </c>
      <c r="AB23" s="17">
        <v>5.3933333333333451</v>
      </c>
      <c r="AC23" s="17">
        <v>5.7999999999999972</v>
      </c>
      <c r="AD23" s="17">
        <f t="shared" si="3"/>
        <v>5.5966666666666711</v>
      </c>
      <c r="AE23" s="15">
        <v>51.7</v>
      </c>
      <c r="AF23" s="15">
        <v>5.460000000000008</v>
      </c>
      <c r="AG23" s="15">
        <v>52.5</v>
      </c>
      <c r="AH23" s="21">
        <v>23.41</v>
      </c>
      <c r="AI23" s="21">
        <v>28.12</v>
      </c>
      <c r="AJ23" s="21">
        <v>0.26</v>
      </c>
      <c r="AK23" s="21">
        <v>19.079999999999998</v>
      </c>
      <c r="AL23" s="15">
        <f t="shared" si="4"/>
        <v>6.6000000000000014</v>
      </c>
      <c r="AM23" s="15">
        <v>129</v>
      </c>
      <c r="AN23" s="15">
        <v>177</v>
      </c>
      <c r="AO23" s="1"/>
      <c r="AP23" s="1"/>
      <c r="AQ23" s="1"/>
      <c r="AR23" s="1"/>
      <c r="AS23" s="1"/>
    </row>
    <row r="24" spans="1:45" ht="15.75" customHeight="1">
      <c r="A24" s="22">
        <v>22</v>
      </c>
      <c r="B24" s="22" t="s">
        <v>51</v>
      </c>
      <c r="C24" s="22" t="s">
        <v>50</v>
      </c>
      <c r="D24" s="22" t="s">
        <v>49</v>
      </c>
      <c r="E24" s="22">
        <v>41.6</v>
      </c>
      <c r="F24" s="23">
        <v>39</v>
      </c>
      <c r="G24" s="23">
        <v>39.6</v>
      </c>
      <c r="H24" s="23">
        <v>39.5</v>
      </c>
      <c r="I24" s="23">
        <v>10.95</v>
      </c>
      <c r="J24" s="23">
        <v>27.15</v>
      </c>
      <c r="K24" s="23">
        <v>0.12</v>
      </c>
      <c r="L24" s="23">
        <v>19.48</v>
      </c>
      <c r="M24" s="24">
        <v>2.9666666666666779</v>
      </c>
      <c r="N24" s="25">
        <v>3.2874999999999943</v>
      </c>
      <c r="O24" s="24">
        <v>5.0233333333333308</v>
      </c>
      <c r="P24" s="26">
        <v>5.3666666666666742</v>
      </c>
      <c r="Q24" s="24">
        <v>4.1599999999999966</v>
      </c>
      <c r="R24" s="24">
        <f t="shared" si="0"/>
        <v>4.7633333333333354</v>
      </c>
      <c r="S24" s="22">
        <v>40.9</v>
      </c>
      <c r="T24" s="24">
        <v>4.6399999999999961</v>
      </c>
      <c r="U24" s="25">
        <f t="shared" si="1"/>
        <v>9.0650000000000013</v>
      </c>
      <c r="V24" s="24">
        <f t="shared" si="2"/>
        <v>6.8524999999999991</v>
      </c>
      <c r="W24" s="22">
        <v>39.6</v>
      </c>
      <c r="X24" s="24">
        <v>4.486666666666669</v>
      </c>
      <c r="Y24" s="27">
        <v>3.6975000000000051</v>
      </c>
      <c r="Z24" s="24">
        <v>4.486666666666669</v>
      </c>
      <c r="AA24" s="22">
        <v>40.9</v>
      </c>
      <c r="AB24" s="24">
        <v>4.9866666666666601</v>
      </c>
      <c r="AC24" s="24">
        <v>5.0049999999999955</v>
      </c>
      <c r="AD24" s="24">
        <f t="shared" si="3"/>
        <v>4.9958333333333282</v>
      </c>
      <c r="AE24" s="22">
        <v>41.5</v>
      </c>
      <c r="AF24" s="22">
        <v>5.125</v>
      </c>
      <c r="AG24" s="22">
        <v>43.2</v>
      </c>
      <c r="AH24" s="28">
        <v>15.53</v>
      </c>
      <c r="AI24" s="28">
        <v>25.75</v>
      </c>
      <c r="AJ24" s="28">
        <v>0.28000000000000003</v>
      </c>
      <c r="AK24" s="28">
        <v>19.09</v>
      </c>
      <c r="AL24" s="22">
        <f t="shared" si="4"/>
        <v>3.7000000000000028</v>
      </c>
      <c r="AM24" s="22">
        <v>92</v>
      </c>
      <c r="AN24" s="22">
        <v>92</v>
      </c>
      <c r="AO24" s="29"/>
      <c r="AP24" s="29"/>
      <c r="AQ24" s="29"/>
      <c r="AR24" s="29"/>
      <c r="AS24" s="29"/>
    </row>
    <row r="25" spans="1:45" ht="15.75" customHeight="1">
      <c r="A25" s="15">
        <v>23</v>
      </c>
      <c r="B25" s="15" t="s">
        <v>51</v>
      </c>
      <c r="C25" s="15" t="s">
        <v>50</v>
      </c>
      <c r="D25" s="15" t="s">
        <v>48</v>
      </c>
      <c r="E25" s="15">
        <v>47.1</v>
      </c>
      <c r="F25" s="16">
        <v>44.4</v>
      </c>
      <c r="G25" s="16">
        <v>45.4</v>
      </c>
      <c r="H25" s="16">
        <v>46.3</v>
      </c>
      <c r="I25" s="16">
        <v>15.1</v>
      </c>
      <c r="J25" s="16">
        <v>29.03</v>
      </c>
      <c r="K25" s="16">
        <v>0.19</v>
      </c>
      <c r="L25" s="16">
        <v>20.56</v>
      </c>
      <c r="M25" s="17">
        <v>4.4399999999999977</v>
      </c>
      <c r="N25" s="18">
        <v>3.9675000000000011</v>
      </c>
      <c r="O25" s="17">
        <v>6.806666666666672</v>
      </c>
      <c r="P25" s="19">
        <v>5.0566666666666533</v>
      </c>
      <c r="Q25" s="17">
        <v>5.5750000000000028</v>
      </c>
      <c r="R25" s="17">
        <f t="shared" si="0"/>
        <v>5.3158333333333285</v>
      </c>
      <c r="S25" s="15">
        <v>49.9</v>
      </c>
      <c r="T25" s="17">
        <v>6.8166666666666726</v>
      </c>
      <c r="U25" s="18">
        <f t="shared" si="1"/>
        <v>10.770833333333332</v>
      </c>
      <c r="V25" s="17">
        <f t="shared" si="2"/>
        <v>8.7937500000000028</v>
      </c>
      <c r="W25" s="15">
        <v>52.8</v>
      </c>
      <c r="X25" s="17">
        <v>6.1399999999999961</v>
      </c>
      <c r="Y25" s="20">
        <v>6.5349999999999966</v>
      </c>
      <c r="Z25" s="17">
        <v>6.1399999999999961</v>
      </c>
      <c r="AA25" s="15">
        <v>55.4</v>
      </c>
      <c r="AB25" s="17">
        <v>6.3166666666666629</v>
      </c>
      <c r="AC25" s="17">
        <v>6.0150000000000006</v>
      </c>
      <c r="AD25" s="17">
        <f t="shared" si="3"/>
        <v>6.1658333333333317</v>
      </c>
      <c r="AE25" s="15">
        <v>58.4</v>
      </c>
      <c r="AF25" s="15">
        <v>5.9549999999999841</v>
      </c>
      <c r="AG25" s="15">
        <v>58.9</v>
      </c>
      <c r="AH25" s="21">
        <v>27.45</v>
      </c>
      <c r="AI25" s="21">
        <v>30.66</v>
      </c>
      <c r="AJ25" s="21">
        <v>0.2</v>
      </c>
      <c r="AK25" s="21">
        <v>21.2</v>
      </c>
      <c r="AL25" s="15">
        <f t="shared" si="4"/>
        <v>12.600000000000001</v>
      </c>
      <c r="AM25" s="15">
        <v>98</v>
      </c>
      <c r="AN25" s="15">
        <v>89</v>
      </c>
      <c r="AO25" s="1"/>
      <c r="AP25" s="1"/>
      <c r="AQ25" s="1"/>
      <c r="AR25" s="1"/>
      <c r="AS25" s="1"/>
    </row>
    <row r="26" spans="1:45" ht="15.75" customHeight="1">
      <c r="A26" s="22">
        <v>24</v>
      </c>
      <c r="B26" s="22" t="s">
        <v>51</v>
      </c>
      <c r="C26" s="22" t="s">
        <v>50</v>
      </c>
      <c r="D26" s="22" t="s">
        <v>49</v>
      </c>
      <c r="E26" s="22">
        <v>45</v>
      </c>
      <c r="F26" s="23">
        <v>42.8</v>
      </c>
      <c r="G26" s="23">
        <v>43.8</v>
      </c>
      <c r="H26" s="23">
        <v>44.6</v>
      </c>
      <c r="I26" s="23">
        <v>13.58</v>
      </c>
      <c r="J26" s="23">
        <v>28.46</v>
      </c>
      <c r="K26" s="23">
        <v>0.21</v>
      </c>
      <c r="L26" s="23">
        <v>20.48</v>
      </c>
      <c r="M26" s="24">
        <v>4.1433333333333353</v>
      </c>
      <c r="N26" s="25">
        <v>3.5499999999999972</v>
      </c>
      <c r="O26" s="24">
        <v>5.3600000000000136</v>
      </c>
      <c r="P26" s="26">
        <v>4.916666666666667</v>
      </c>
      <c r="Q26" s="24">
        <v>5.0074999999999932</v>
      </c>
      <c r="R26" s="24">
        <f t="shared" si="0"/>
        <v>4.9620833333333305</v>
      </c>
      <c r="S26" s="22">
        <v>45.9</v>
      </c>
      <c r="T26" s="24">
        <v>4.0233333333333308</v>
      </c>
      <c r="U26" s="25">
        <f t="shared" si="1"/>
        <v>10.469166666666666</v>
      </c>
      <c r="V26" s="24">
        <f t="shared" si="2"/>
        <v>7.2462499999999981</v>
      </c>
      <c r="W26" s="22">
        <v>44.2</v>
      </c>
      <c r="X26" s="24">
        <v>5.0233333333333405</v>
      </c>
      <c r="Y26" s="27">
        <v>4.5925000000000011</v>
      </c>
      <c r="Z26" s="24">
        <v>5.0233333333333405</v>
      </c>
      <c r="AA26" s="22">
        <v>45.9</v>
      </c>
      <c r="AB26" s="24">
        <v>5.306666666666672</v>
      </c>
      <c r="AC26" s="24">
        <v>5.2125000000000057</v>
      </c>
      <c r="AD26" s="24">
        <f t="shared" si="3"/>
        <v>5.2595833333333388</v>
      </c>
      <c r="AE26" s="22">
        <v>45.9</v>
      </c>
      <c r="AF26" s="22">
        <v>5.3050000000000068</v>
      </c>
      <c r="AG26" s="22">
        <v>47.4</v>
      </c>
      <c r="AH26" s="28">
        <v>17.510000000000002</v>
      </c>
      <c r="AI26" s="28">
        <v>28.48</v>
      </c>
      <c r="AJ26" s="28">
        <v>0.52</v>
      </c>
      <c r="AK26" s="28">
        <v>20.62</v>
      </c>
      <c r="AL26" s="22">
        <f t="shared" si="4"/>
        <v>2.7999999999999972</v>
      </c>
      <c r="AM26" s="22">
        <v>124</v>
      </c>
      <c r="AN26" s="22">
        <v>152</v>
      </c>
      <c r="AO26" s="29"/>
      <c r="AP26" s="29"/>
      <c r="AQ26" s="29"/>
      <c r="AR26" s="29"/>
      <c r="AS26" s="29"/>
    </row>
    <row r="27" spans="1:4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5.75" customHeight="1">
      <c r="A28" s="33" t="s">
        <v>54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5.75" customHeight="1">
      <c r="A29" s="33" t="s">
        <v>55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5.75" customHeight="1">
      <c r="A30" s="33" t="s">
        <v>56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5.75" customHeight="1">
      <c r="A31" s="33" t="s">
        <v>57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5.75" customHeight="1">
      <c r="A32" s="33" t="s">
        <v>58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5.75" customHeight="1">
      <c r="A34" s="234" t="s">
        <v>59</v>
      </c>
      <c r="B34" s="234" t="s">
        <v>0</v>
      </c>
      <c r="C34" s="234" t="s">
        <v>1</v>
      </c>
      <c r="D34" s="234" t="s">
        <v>2</v>
      </c>
      <c r="E34" s="236" t="s">
        <v>3</v>
      </c>
      <c r="F34" s="229"/>
      <c r="G34" s="229"/>
      <c r="H34" s="229"/>
      <c r="I34" s="229"/>
      <c r="J34" s="230"/>
      <c r="K34" s="34"/>
      <c r="L34" s="237" t="s">
        <v>4</v>
      </c>
      <c r="M34" s="229"/>
      <c r="N34" s="229"/>
      <c r="O34" s="230"/>
      <c r="P34" s="1"/>
      <c r="Q34" s="242" t="s">
        <v>5</v>
      </c>
      <c r="R34" s="229"/>
      <c r="S34" s="229"/>
      <c r="T34" s="230"/>
      <c r="U34" s="1"/>
      <c r="V34" s="238" t="s">
        <v>6</v>
      </c>
      <c r="W34" s="229"/>
      <c r="X34" s="229"/>
      <c r="Y34" s="230"/>
      <c r="Z34" s="1"/>
      <c r="AA34" s="239" t="s">
        <v>60</v>
      </c>
      <c r="AB34" s="229"/>
      <c r="AC34" s="229"/>
      <c r="AD34" s="230"/>
      <c r="AE34" s="1"/>
      <c r="AF34" s="240" t="s">
        <v>61</v>
      </c>
      <c r="AG34" s="229"/>
      <c r="AH34" s="229"/>
      <c r="AI34" s="230"/>
      <c r="AJ34" s="1"/>
      <c r="AK34" s="241" t="s">
        <v>9</v>
      </c>
      <c r="AL34" s="229"/>
      <c r="AM34" s="229"/>
      <c r="AN34" s="229"/>
      <c r="AO34" s="229"/>
      <c r="AP34" s="229"/>
      <c r="AQ34" s="230"/>
      <c r="AR34" s="1"/>
      <c r="AS34" s="1"/>
    </row>
    <row r="35" spans="1:45" ht="15.75" customHeight="1">
      <c r="A35" s="235"/>
      <c r="B35" s="235"/>
      <c r="C35" s="235"/>
      <c r="D35" s="235"/>
      <c r="E35" s="2" t="s">
        <v>62</v>
      </c>
      <c r="F35" s="2" t="s">
        <v>63</v>
      </c>
      <c r="G35" s="2" t="s">
        <v>64</v>
      </c>
      <c r="H35" s="2" t="s">
        <v>65</v>
      </c>
      <c r="I35" s="2" t="s">
        <v>66</v>
      </c>
      <c r="J35" s="2" t="s">
        <v>67</v>
      </c>
      <c r="K35" s="1"/>
      <c r="L35" s="3" t="s">
        <v>68</v>
      </c>
      <c r="M35" s="3" t="s">
        <v>69</v>
      </c>
      <c r="N35" s="4" t="s">
        <v>23</v>
      </c>
      <c r="O35" s="4" t="s">
        <v>70</v>
      </c>
      <c r="P35" s="1"/>
      <c r="Q35" s="35" t="s">
        <v>71</v>
      </c>
      <c r="R35" s="35" t="s">
        <v>72</v>
      </c>
      <c r="S35" s="36" t="s">
        <v>27</v>
      </c>
      <c r="T35" s="36" t="s">
        <v>73</v>
      </c>
      <c r="U35" s="1"/>
      <c r="V35" s="37" t="s">
        <v>74</v>
      </c>
      <c r="W35" s="37" t="s">
        <v>75</v>
      </c>
      <c r="X35" s="38" t="s">
        <v>76</v>
      </c>
      <c r="Y35" s="38" t="s">
        <v>77</v>
      </c>
      <c r="Z35" s="1"/>
      <c r="AA35" s="39" t="s">
        <v>78</v>
      </c>
      <c r="AB35" s="39" t="s">
        <v>79</v>
      </c>
      <c r="AC35" s="40" t="s">
        <v>35</v>
      </c>
      <c r="AD35" s="40" t="s">
        <v>80</v>
      </c>
      <c r="AE35" s="1"/>
      <c r="AF35" s="41" t="s">
        <v>81</v>
      </c>
      <c r="AG35" s="41" t="s">
        <v>82</v>
      </c>
      <c r="AH35" s="42" t="s">
        <v>83</v>
      </c>
      <c r="AI35" s="42" t="s">
        <v>84</v>
      </c>
      <c r="AJ35" s="1"/>
      <c r="AK35" s="43" t="s">
        <v>85</v>
      </c>
      <c r="AL35" s="44" t="s">
        <v>86</v>
      </c>
      <c r="AM35" s="44" t="s">
        <v>87</v>
      </c>
      <c r="AN35" s="45" t="s">
        <v>88</v>
      </c>
      <c r="AO35" s="46" t="s">
        <v>43</v>
      </c>
      <c r="AP35" s="47" t="s">
        <v>44</v>
      </c>
      <c r="AQ35" s="47" t="s">
        <v>89</v>
      </c>
      <c r="AR35" s="1" t="s">
        <v>90</v>
      </c>
      <c r="AS35" s="1"/>
    </row>
    <row r="36" spans="1:45" ht="15.75" customHeight="1">
      <c r="A36" s="15">
        <v>25</v>
      </c>
      <c r="B36" s="15" t="s">
        <v>46</v>
      </c>
      <c r="C36" s="15" t="s">
        <v>47</v>
      </c>
      <c r="D36" s="15" t="s">
        <v>48</v>
      </c>
      <c r="E36" s="21">
        <v>2.16</v>
      </c>
      <c r="F36" s="21">
        <v>28.3</v>
      </c>
      <c r="G36" s="21">
        <v>0.08</v>
      </c>
      <c r="H36" s="21">
        <v>20.18</v>
      </c>
      <c r="I36" s="15">
        <v>30.18</v>
      </c>
      <c r="J36" s="17">
        <v>6.3433333333333435</v>
      </c>
      <c r="K36" s="1"/>
      <c r="L36" s="17">
        <v>5.0875000000000057</v>
      </c>
      <c r="M36" s="17">
        <v>4.3633333333333253</v>
      </c>
      <c r="N36" s="17">
        <f t="shared" ref="N36:N50" si="5">AVERAGE(L36:M36)</f>
        <v>4.7254166666666659</v>
      </c>
      <c r="O36" s="15">
        <v>31.5</v>
      </c>
      <c r="P36" s="1"/>
      <c r="Q36" s="17">
        <v>4.7475000000000023</v>
      </c>
      <c r="R36" s="17">
        <v>4.0100000000000007</v>
      </c>
      <c r="S36" s="17">
        <f t="shared" ref="S36:S50" si="6">AVERAGE(Q36:R36)</f>
        <v>4.3787500000000019</v>
      </c>
      <c r="T36" s="15">
        <v>32.6</v>
      </c>
      <c r="U36" s="1"/>
      <c r="V36" s="17">
        <v>7.9899999999999949</v>
      </c>
      <c r="W36" s="17">
        <v>5.1033333333333344</v>
      </c>
      <c r="X36" s="17">
        <f t="shared" ref="X36:X59" si="7">AVERAGE(V36:W36)</f>
        <v>6.5466666666666651</v>
      </c>
      <c r="Y36" s="15">
        <v>33.299999999999997</v>
      </c>
      <c r="Z36" s="1"/>
      <c r="AA36" s="17">
        <v>4.4650000000000034</v>
      </c>
      <c r="AB36" s="17">
        <v>4.9533333333333376</v>
      </c>
      <c r="AC36" s="17">
        <f t="shared" ref="AC36:AC59" si="8">AVERAGE(AA36:AB36)</f>
        <v>4.7091666666666701</v>
      </c>
      <c r="AD36" s="15">
        <v>34.299999999999997</v>
      </c>
      <c r="AE36" s="1"/>
      <c r="AF36" s="48">
        <v>7.5150000000000148</v>
      </c>
      <c r="AG36" s="17">
        <v>4.2549999999999955</v>
      </c>
      <c r="AH36" s="17">
        <v>4.2549999999999955</v>
      </c>
      <c r="AI36" s="15">
        <v>32.9</v>
      </c>
      <c r="AJ36" s="1"/>
      <c r="AK36" s="21">
        <v>4.54</v>
      </c>
      <c r="AL36" s="21">
        <v>27.78</v>
      </c>
      <c r="AM36" s="21">
        <v>0.09</v>
      </c>
      <c r="AN36" s="21">
        <v>19.91</v>
      </c>
      <c r="AO36" s="15">
        <f t="shared" ref="AO36:AO59" si="9">AI36-I36</f>
        <v>2.7199999999999989</v>
      </c>
      <c r="AP36" s="15">
        <v>109</v>
      </c>
      <c r="AQ36" s="49" t="s">
        <v>91</v>
      </c>
      <c r="AR36" s="1">
        <f t="shared" ref="AR36:AR48" si="10">((AK36/AI36)*100)</f>
        <v>13.799392097264437</v>
      </c>
      <c r="AS36" s="1"/>
    </row>
    <row r="37" spans="1:45" ht="15.75" customHeight="1">
      <c r="A37" s="22">
        <v>26</v>
      </c>
      <c r="B37" s="22" t="s">
        <v>46</v>
      </c>
      <c r="C37" s="22" t="s">
        <v>47</v>
      </c>
      <c r="D37" s="22" t="s">
        <v>49</v>
      </c>
      <c r="E37" s="28">
        <v>2.33</v>
      </c>
      <c r="F37" s="28">
        <v>28.55</v>
      </c>
      <c r="G37" s="28">
        <v>0.11</v>
      </c>
      <c r="H37" s="28">
        <v>20.399999999999999</v>
      </c>
      <c r="I37" s="22">
        <v>30.9</v>
      </c>
      <c r="J37" s="24">
        <v>8.1299999999999955</v>
      </c>
      <c r="K37" s="29"/>
      <c r="L37" s="24">
        <v>6.5174999999999983</v>
      </c>
      <c r="M37" s="24">
        <v>5.1633333333333367</v>
      </c>
      <c r="N37" s="24">
        <f t="shared" si="5"/>
        <v>5.8404166666666679</v>
      </c>
      <c r="O37" s="22">
        <v>32.799999999999997</v>
      </c>
      <c r="P37" s="29"/>
      <c r="Q37" s="24">
        <v>4.2875000000000014</v>
      </c>
      <c r="R37" s="24">
        <v>3.7733333333333405</v>
      </c>
      <c r="S37" s="24">
        <f t="shared" si="6"/>
        <v>4.030416666666671</v>
      </c>
      <c r="T37" s="22">
        <v>33.4</v>
      </c>
      <c r="U37" s="29"/>
      <c r="V37" s="24">
        <v>4.0150000000000006</v>
      </c>
      <c r="W37" s="24">
        <v>4.693333333333328</v>
      </c>
      <c r="X37" s="24">
        <f t="shared" si="7"/>
        <v>4.3541666666666643</v>
      </c>
      <c r="Y37" s="22">
        <v>33.6</v>
      </c>
      <c r="Z37" s="29"/>
      <c r="AA37" s="24">
        <v>3.4699999999999989</v>
      </c>
      <c r="AB37" s="24">
        <v>4.833333333333333</v>
      </c>
      <c r="AC37" s="24">
        <f t="shared" si="8"/>
        <v>4.1516666666666655</v>
      </c>
      <c r="AD37" s="22">
        <v>34</v>
      </c>
      <c r="AE37" s="29"/>
      <c r="AF37" s="31">
        <v>9.5699999999999932</v>
      </c>
      <c r="AG37" s="24">
        <v>3.4724999999999966</v>
      </c>
      <c r="AH37" s="24">
        <v>3.4724999999999966</v>
      </c>
      <c r="AI37" s="22">
        <v>33.799999999999997</v>
      </c>
      <c r="AJ37" s="29"/>
      <c r="AK37" s="28">
        <v>4.6100000000000003</v>
      </c>
      <c r="AL37" s="28">
        <v>28.18</v>
      </c>
      <c r="AM37" s="28">
        <v>0.24</v>
      </c>
      <c r="AN37" s="28">
        <v>19.989999999999998</v>
      </c>
      <c r="AO37" s="22">
        <f t="shared" si="9"/>
        <v>2.8999999999999986</v>
      </c>
      <c r="AP37" s="22">
        <v>123</v>
      </c>
      <c r="AQ37" s="50" t="s">
        <v>92</v>
      </c>
      <c r="AR37" s="29">
        <f t="shared" si="10"/>
        <v>13.639053254437872</v>
      </c>
      <c r="AS37" s="29"/>
    </row>
    <row r="38" spans="1:45" ht="15.75" customHeight="1">
      <c r="A38" s="15">
        <v>27</v>
      </c>
      <c r="B38" s="15" t="s">
        <v>46</v>
      </c>
      <c r="C38" s="15" t="s">
        <v>47</v>
      </c>
      <c r="D38" s="15" t="s">
        <v>48</v>
      </c>
      <c r="E38" s="21">
        <v>1.65</v>
      </c>
      <c r="F38" s="21">
        <v>27.09</v>
      </c>
      <c r="G38" s="21">
        <v>0.06</v>
      </c>
      <c r="H38" s="21">
        <v>20.27</v>
      </c>
      <c r="I38" s="15">
        <v>28.84</v>
      </c>
      <c r="J38" s="17">
        <v>8.2399999999999896</v>
      </c>
      <c r="K38" s="1"/>
      <c r="L38" s="17">
        <v>6.6925000000000026</v>
      </c>
      <c r="M38" s="17">
        <v>6.1166666666666645</v>
      </c>
      <c r="N38" s="17">
        <f t="shared" si="5"/>
        <v>6.4045833333333331</v>
      </c>
      <c r="O38" s="15">
        <v>29.7</v>
      </c>
      <c r="P38" s="1"/>
      <c r="Q38" s="17">
        <v>5.0500000000000043</v>
      </c>
      <c r="R38" s="17">
        <v>4.8399999999999936</v>
      </c>
      <c r="S38" s="17">
        <f t="shared" si="6"/>
        <v>4.9449999999999985</v>
      </c>
      <c r="T38" s="15">
        <v>30.2</v>
      </c>
      <c r="U38" s="1"/>
      <c r="V38" s="17">
        <v>5.6225000000000023</v>
      </c>
      <c r="W38" s="17">
        <v>6.403333333333336</v>
      </c>
      <c r="X38" s="17">
        <f t="shared" si="7"/>
        <v>6.0129166666666691</v>
      </c>
      <c r="Y38" s="15">
        <v>30.8</v>
      </c>
      <c r="Z38" s="1"/>
      <c r="AA38" s="17">
        <v>5.1049999999999969</v>
      </c>
      <c r="AB38" s="17">
        <v>7.1166666666666645</v>
      </c>
      <c r="AC38" s="17">
        <f t="shared" si="8"/>
        <v>6.1108333333333302</v>
      </c>
      <c r="AD38" s="15">
        <v>30.9</v>
      </c>
      <c r="AE38" s="1"/>
      <c r="AF38" s="48">
        <v>7.8300000000000125</v>
      </c>
      <c r="AG38" s="17">
        <v>5.289999999999992</v>
      </c>
      <c r="AH38" s="17">
        <v>5.289999999999992</v>
      </c>
      <c r="AI38" s="15">
        <v>30.9</v>
      </c>
      <c r="AJ38" s="1"/>
      <c r="AK38" s="21">
        <v>2.95</v>
      </c>
      <c r="AL38" s="21">
        <v>26.4</v>
      </c>
      <c r="AM38" s="21">
        <v>0.19</v>
      </c>
      <c r="AN38" s="21">
        <v>18.93</v>
      </c>
      <c r="AO38" s="15">
        <f t="shared" si="9"/>
        <v>2.0599999999999987</v>
      </c>
      <c r="AP38" s="15">
        <v>128</v>
      </c>
      <c r="AQ38" s="51" t="s">
        <v>93</v>
      </c>
      <c r="AR38" s="1">
        <f t="shared" si="10"/>
        <v>9.5469255663430417</v>
      </c>
      <c r="AS38" s="1"/>
    </row>
    <row r="39" spans="1:45" ht="15.75" customHeight="1">
      <c r="A39" s="22">
        <v>28</v>
      </c>
      <c r="B39" s="22" t="s">
        <v>46</v>
      </c>
      <c r="C39" s="22" t="s">
        <v>47</v>
      </c>
      <c r="D39" s="22" t="s">
        <v>49</v>
      </c>
      <c r="E39" s="28">
        <v>2.72</v>
      </c>
      <c r="F39" s="28">
        <v>24.12</v>
      </c>
      <c r="G39" s="28">
        <v>7.0000000000000007E-2</v>
      </c>
      <c r="H39" s="28">
        <v>16.87</v>
      </c>
      <c r="I39" s="22">
        <v>26.09</v>
      </c>
      <c r="J39" s="24">
        <v>10.433333333333318</v>
      </c>
      <c r="K39" s="29"/>
      <c r="L39" s="24">
        <v>8.8300000000000054</v>
      </c>
      <c r="M39" s="24">
        <v>7.3200000000000029</v>
      </c>
      <c r="N39" s="24">
        <f t="shared" si="5"/>
        <v>8.0750000000000046</v>
      </c>
      <c r="O39" s="22">
        <v>27.1</v>
      </c>
      <c r="P39" s="29"/>
      <c r="Q39" s="24">
        <v>6.4499999999999957</v>
      </c>
      <c r="R39" s="24">
        <v>5.3500000000000041</v>
      </c>
      <c r="S39" s="24">
        <f t="shared" si="6"/>
        <v>5.9</v>
      </c>
      <c r="T39" s="22">
        <v>27.7</v>
      </c>
      <c r="U39" s="29"/>
      <c r="V39" s="24">
        <v>5.707499999999996</v>
      </c>
      <c r="W39" s="24">
        <v>4.6200000000000045</v>
      </c>
      <c r="X39" s="24">
        <f t="shared" si="7"/>
        <v>5.1637500000000003</v>
      </c>
      <c r="Y39" s="22">
        <v>28.6</v>
      </c>
      <c r="Z39" s="29"/>
      <c r="AA39" s="24">
        <v>5.2274999999999991</v>
      </c>
      <c r="AB39" s="24">
        <v>8.1166666666666742</v>
      </c>
      <c r="AC39" s="24">
        <f t="shared" si="8"/>
        <v>6.6720833333333367</v>
      </c>
      <c r="AD39" s="22">
        <v>29.5</v>
      </c>
      <c r="AE39" s="29"/>
      <c r="AF39" s="31">
        <v>13.144999999999996</v>
      </c>
      <c r="AG39" s="24">
        <v>5.6049999999999969</v>
      </c>
      <c r="AH39" s="24">
        <v>5.6049999999999969</v>
      </c>
      <c r="AI39" s="22">
        <v>29.4</v>
      </c>
      <c r="AJ39" s="29"/>
      <c r="AK39" s="28">
        <v>3.98</v>
      </c>
      <c r="AL39" s="28">
        <v>24.37</v>
      </c>
      <c r="AM39" s="28">
        <v>0.1</v>
      </c>
      <c r="AN39" s="28">
        <v>18.11</v>
      </c>
      <c r="AO39" s="22">
        <f t="shared" si="9"/>
        <v>3.3099999999999987</v>
      </c>
      <c r="AP39" s="22">
        <v>134</v>
      </c>
      <c r="AQ39" s="50" t="s">
        <v>94</v>
      </c>
      <c r="AR39" s="29">
        <f t="shared" si="10"/>
        <v>13.537414965986393</v>
      </c>
      <c r="AS39" s="29"/>
    </row>
    <row r="40" spans="1:45" ht="15.75" customHeight="1">
      <c r="A40" s="22">
        <v>29</v>
      </c>
      <c r="B40" s="22" t="s">
        <v>46</v>
      </c>
      <c r="C40" s="22" t="s">
        <v>47</v>
      </c>
      <c r="D40" s="22" t="s">
        <v>49</v>
      </c>
      <c r="E40" s="28">
        <v>1.59</v>
      </c>
      <c r="F40" s="28">
        <v>26.12</v>
      </c>
      <c r="G40" s="28">
        <v>0.16</v>
      </c>
      <c r="H40" s="28">
        <v>19.13</v>
      </c>
      <c r="I40" s="22">
        <v>27.8</v>
      </c>
      <c r="J40" s="24">
        <v>6.7433333333333394</v>
      </c>
      <c r="K40" s="29"/>
      <c r="L40" s="24">
        <v>4.6099999999999994</v>
      </c>
      <c r="M40" s="24">
        <v>4.2733333333333308</v>
      </c>
      <c r="N40" s="24">
        <f t="shared" si="5"/>
        <v>4.4416666666666647</v>
      </c>
      <c r="O40" s="22">
        <v>28.4</v>
      </c>
      <c r="P40" s="29"/>
      <c r="Q40" s="24">
        <v>4.1200000000000045</v>
      </c>
      <c r="R40" s="24">
        <v>3.2066666666666683</v>
      </c>
      <c r="S40" s="24">
        <f t="shared" si="6"/>
        <v>3.6633333333333367</v>
      </c>
      <c r="T40" s="22">
        <v>29.3</v>
      </c>
      <c r="U40" s="29"/>
      <c r="V40" s="24">
        <v>3.3174999999999955</v>
      </c>
      <c r="W40" s="24">
        <v>4.2166666666666686</v>
      </c>
      <c r="X40" s="24">
        <f t="shared" si="7"/>
        <v>3.767083333333332</v>
      </c>
      <c r="Y40" s="22">
        <v>29.1</v>
      </c>
      <c r="Z40" s="29"/>
      <c r="AA40" s="24">
        <v>3.3175000000000026</v>
      </c>
      <c r="AB40" s="24">
        <v>4.3666666666666645</v>
      </c>
      <c r="AC40" s="24">
        <f t="shared" si="8"/>
        <v>3.8420833333333335</v>
      </c>
      <c r="AD40" s="22">
        <v>29.5</v>
      </c>
      <c r="AE40" s="29"/>
      <c r="AF40" s="31">
        <v>2.1349999999999909</v>
      </c>
      <c r="AG40" s="24">
        <v>3.8599999999999994</v>
      </c>
      <c r="AH40" s="24">
        <v>3.8599999999999994</v>
      </c>
      <c r="AI40" s="22">
        <v>29.1</v>
      </c>
      <c r="AJ40" s="29"/>
      <c r="AK40" s="28">
        <v>2.4900000000000002</v>
      </c>
      <c r="AL40" s="28">
        <v>25.92</v>
      </c>
      <c r="AM40" s="28">
        <v>0.17</v>
      </c>
      <c r="AN40" s="28">
        <v>18.260000000000002</v>
      </c>
      <c r="AO40" s="22">
        <f t="shared" si="9"/>
        <v>1.3000000000000007</v>
      </c>
      <c r="AP40" s="22">
        <v>116</v>
      </c>
      <c r="AQ40" s="50">
        <v>107</v>
      </c>
      <c r="AR40" s="29">
        <f t="shared" si="10"/>
        <v>8.5567010309278349</v>
      </c>
      <c r="AS40" s="29"/>
    </row>
    <row r="41" spans="1:45" ht="15.75" customHeight="1">
      <c r="A41" s="52">
        <v>30</v>
      </c>
      <c r="B41" s="52" t="s">
        <v>46</v>
      </c>
      <c r="C41" s="52" t="s">
        <v>47</v>
      </c>
      <c r="D41" s="15" t="s">
        <v>48</v>
      </c>
      <c r="E41" s="53">
        <v>3.86</v>
      </c>
      <c r="F41" s="53">
        <v>23.63</v>
      </c>
      <c r="G41" s="53">
        <v>0.14000000000000001</v>
      </c>
      <c r="H41" s="53">
        <v>16.829999999999998</v>
      </c>
      <c r="I41" s="52">
        <v>26.28</v>
      </c>
      <c r="J41" s="54">
        <v>9.6400000000000059</v>
      </c>
      <c r="K41" s="55"/>
      <c r="L41" s="54">
        <v>9.64</v>
      </c>
      <c r="M41" s="54">
        <v>5.8233333333333235</v>
      </c>
      <c r="N41" s="17">
        <f t="shared" si="5"/>
        <v>7.731666666666662</v>
      </c>
      <c r="O41" s="52">
        <v>27.3</v>
      </c>
      <c r="P41" s="55"/>
      <c r="Q41" s="54">
        <v>5.3475000000000037</v>
      </c>
      <c r="R41" s="54">
        <v>4.0766666666666636</v>
      </c>
      <c r="S41" s="17">
        <f t="shared" si="6"/>
        <v>4.7120833333333341</v>
      </c>
      <c r="T41" s="52">
        <v>28.5</v>
      </c>
      <c r="U41" s="55"/>
      <c r="V41" s="54">
        <v>5.4975000000000023</v>
      </c>
      <c r="W41" s="54">
        <v>5.2400000000000091</v>
      </c>
      <c r="X41" s="17">
        <f t="shared" si="7"/>
        <v>5.3687500000000057</v>
      </c>
      <c r="Y41" s="52">
        <v>29.2</v>
      </c>
      <c r="Z41" s="55"/>
      <c r="AA41" s="54">
        <v>4.1724999999999994</v>
      </c>
      <c r="AB41" s="54">
        <v>4.7066666666666679</v>
      </c>
      <c r="AC41" s="17">
        <f t="shared" si="8"/>
        <v>4.4395833333333332</v>
      </c>
      <c r="AD41" s="52">
        <v>30.3</v>
      </c>
      <c r="AE41" s="55"/>
      <c r="AF41" s="56">
        <v>6.9699999999999989</v>
      </c>
      <c r="AG41" s="54">
        <v>4.0024999999999977</v>
      </c>
      <c r="AH41" s="54">
        <v>4.0024999999999977</v>
      </c>
      <c r="AI41" s="52">
        <v>29.3</v>
      </c>
      <c r="AJ41" s="55"/>
      <c r="AK41" s="21">
        <v>5.7</v>
      </c>
      <c r="AL41" s="21">
        <v>23.21</v>
      </c>
      <c r="AM41" s="21">
        <v>0.14000000000000001</v>
      </c>
      <c r="AN41" s="21">
        <v>16.07</v>
      </c>
      <c r="AO41" s="15">
        <f t="shared" si="9"/>
        <v>3.0199999999999996</v>
      </c>
      <c r="AP41" s="52">
        <v>166</v>
      </c>
      <c r="AQ41" s="51" t="s">
        <v>95</v>
      </c>
      <c r="AR41" s="1">
        <f t="shared" si="10"/>
        <v>19.453924914675767</v>
      </c>
      <c r="AS41" s="55"/>
    </row>
    <row r="42" spans="1:45" ht="15.75" customHeight="1">
      <c r="A42" s="15">
        <v>31</v>
      </c>
      <c r="B42" s="15" t="s">
        <v>46</v>
      </c>
      <c r="C42" s="15" t="s">
        <v>50</v>
      </c>
      <c r="D42" s="15" t="s">
        <v>48</v>
      </c>
      <c r="E42" s="21">
        <v>0.85</v>
      </c>
      <c r="F42" s="21">
        <v>18.170000000000002</v>
      </c>
      <c r="G42" s="21">
        <v>0.1</v>
      </c>
      <c r="H42" s="21">
        <v>13.41</v>
      </c>
      <c r="I42" s="15">
        <v>19.95</v>
      </c>
      <c r="J42" s="17">
        <v>6.2233333333333194</v>
      </c>
      <c r="K42" s="1"/>
      <c r="L42" s="17">
        <v>4.3150000000000119</v>
      </c>
      <c r="M42" s="17">
        <v>3.6599999999999873</v>
      </c>
      <c r="N42" s="17">
        <f t="shared" si="5"/>
        <v>3.9874999999999998</v>
      </c>
      <c r="O42" s="15">
        <v>20.37</v>
      </c>
      <c r="P42" s="1"/>
      <c r="Q42" s="17">
        <v>3.7974999999999994</v>
      </c>
      <c r="R42" s="17">
        <v>3.0733333333333426</v>
      </c>
      <c r="S42" s="17">
        <f t="shared" si="6"/>
        <v>3.4354166666666712</v>
      </c>
      <c r="T42" s="15">
        <v>20.7</v>
      </c>
      <c r="U42" s="1"/>
      <c r="V42" s="17">
        <v>4.8549999999999969</v>
      </c>
      <c r="W42" s="17">
        <v>3.9399999999999977</v>
      </c>
      <c r="X42" s="17">
        <f t="shared" si="7"/>
        <v>4.3974999999999973</v>
      </c>
      <c r="Y42" s="15">
        <v>21.1</v>
      </c>
      <c r="Z42" s="1"/>
      <c r="AA42" s="17">
        <v>3.1925000000000026</v>
      </c>
      <c r="AB42" s="17">
        <v>3.6833333333333278</v>
      </c>
      <c r="AC42" s="17">
        <f t="shared" si="8"/>
        <v>3.4379166666666654</v>
      </c>
      <c r="AD42" s="15">
        <v>20.8</v>
      </c>
      <c r="AE42" s="1"/>
      <c r="AF42" s="48">
        <v>6.9799999999999898</v>
      </c>
      <c r="AG42" s="17">
        <v>3.3850000000000051</v>
      </c>
      <c r="AH42" s="17">
        <v>3.3850000000000051</v>
      </c>
      <c r="AI42" s="15">
        <v>21.1</v>
      </c>
      <c r="AJ42" s="1"/>
      <c r="AK42" s="21">
        <v>1.25</v>
      </c>
      <c r="AL42" s="21">
        <v>18.71</v>
      </c>
      <c r="AM42" s="21">
        <v>0.1</v>
      </c>
      <c r="AN42" s="21">
        <v>14.31</v>
      </c>
      <c r="AO42" s="15">
        <f t="shared" si="9"/>
        <v>1.1500000000000021</v>
      </c>
      <c r="AP42" s="15">
        <v>122</v>
      </c>
      <c r="AQ42" s="51">
        <v>115</v>
      </c>
      <c r="AR42" s="1">
        <f t="shared" si="10"/>
        <v>5.9241706161137433</v>
      </c>
      <c r="AS42" s="1"/>
    </row>
    <row r="43" spans="1:45" ht="15.75" customHeight="1">
      <c r="A43" s="22">
        <v>32</v>
      </c>
      <c r="B43" s="22" t="s">
        <v>46</v>
      </c>
      <c r="C43" s="22" t="s">
        <v>50</v>
      </c>
      <c r="D43" s="22" t="s">
        <v>49</v>
      </c>
      <c r="E43" s="28">
        <v>0.8</v>
      </c>
      <c r="F43" s="28">
        <v>18.62</v>
      </c>
      <c r="G43" s="28">
        <v>0.04</v>
      </c>
      <c r="H43" s="28">
        <v>13.69</v>
      </c>
      <c r="I43" s="22">
        <v>20.53</v>
      </c>
      <c r="J43" s="24">
        <v>4.9566666666666679</v>
      </c>
      <c r="K43" s="29"/>
      <c r="L43" s="24">
        <v>4.1199999999999903</v>
      </c>
      <c r="M43" s="24">
        <v>3.4466666666666677</v>
      </c>
      <c r="N43" s="24">
        <f t="shared" si="5"/>
        <v>3.7833333333333288</v>
      </c>
      <c r="O43" s="22">
        <v>20.82</v>
      </c>
      <c r="P43" s="29"/>
      <c r="Q43" s="24">
        <v>3.730000000000004</v>
      </c>
      <c r="R43" s="24">
        <v>2.7133333333333289</v>
      </c>
      <c r="S43" s="24">
        <f t="shared" si="6"/>
        <v>3.2216666666666667</v>
      </c>
      <c r="T43" s="22">
        <v>20.6</v>
      </c>
      <c r="U43" s="29"/>
      <c r="V43" s="24">
        <v>2.8500000000000014</v>
      </c>
      <c r="W43" s="24">
        <v>3.7099999999999986</v>
      </c>
      <c r="X43" s="24">
        <f t="shared" si="7"/>
        <v>3.2800000000000002</v>
      </c>
      <c r="Y43" s="22">
        <v>20.7</v>
      </c>
      <c r="Z43" s="29"/>
      <c r="AA43" s="24">
        <v>3.009999999999998</v>
      </c>
      <c r="AB43" s="24">
        <v>3.75</v>
      </c>
      <c r="AC43" s="24">
        <f t="shared" si="8"/>
        <v>3.379999999999999</v>
      </c>
      <c r="AD43" s="22">
        <v>20.8</v>
      </c>
      <c r="AE43" s="29"/>
      <c r="AF43" s="31">
        <v>6.835000000000008</v>
      </c>
      <c r="AG43" s="24">
        <v>3.1824999999999903</v>
      </c>
      <c r="AH43" s="24">
        <v>3.1824999999999903</v>
      </c>
      <c r="AI43" s="22">
        <v>20.7</v>
      </c>
      <c r="AJ43" s="29"/>
      <c r="AK43" s="28">
        <v>1.05</v>
      </c>
      <c r="AL43" s="28">
        <v>18.91</v>
      </c>
      <c r="AM43" s="28">
        <v>0.09</v>
      </c>
      <c r="AN43" s="28">
        <v>14.37</v>
      </c>
      <c r="AO43" s="22">
        <f t="shared" si="9"/>
        <v>0.16999999999999815</v>
      </c>
      <c r="AP43" s="22">
        <v>104</v>
      </c>
      <c r="AQ43" s="50" t="s">
        <v>96</v>
      </c>
      <c r="AR43" s="29">
        <f t="shared" si="10"/>
        <v>5.0724637681159424</v>
      </c>
      <c r="AS43" s="29"/>
    </row>
    <row r="44" spans="1:45" ht="15.75" customHeight="1">
      <c r="A44" s="15">
        <v>33</v>
      </c>
      <c r="B44" s="15" t="s">
        <v>46</v>
      </c>
      <c r="C44" s="15" t="s">
        <v>50</v>
      </c>
      <c r="D44" s="15" t="s">
        <v>48</v>
      </c>
      <c r="E44" s="21">
        <v>1.24</v>
      </c>
      <c r="F44" s="21">
        <v>18.61</v>
      </c>
      <c r="G44" s="21">
        <v>7.0000000000000007E-2</v>
      </c>
      <c r="H44" s="21">
        <v>14.07</v>
      </c>
      <c r="I44" s="15">
        <v>21.28</v>
      </c>
      <c r="J44" s="17">
        <v>6.083333333333333</v>
      </c>
      <c r="K44" s="1"/>
      <c r="L44" s="17">
        <v>4.7950000000000017</v>
      </c>
      <c r="M44" s="17">
        <v>4.4100000000000064</v>
      </c>
      <c r="N44" s="17">
        <f t="shared" si="5"/>
        <v>4.6025000000000045</v>
      </c>
      <c r="O44" s="15">
        <v>21.6</v>
      </c>
      <c r="P44" s="1"/>
      <c r="Q44" s="17">
        <v>4.4675000000000011</v>
      </c>
      <c r="R44" s="17">
        <v>3.5099999999999909</v>
      </c>
      <c r="S44" s="17">
        <f t="shared" si="6"/>
        <v>3.988749999999996</v>
      </c>
      <c r="T44" s="15">
        <v>21.05</v>
      </c>
      <c r="U44" s="1"/>
      <c r="V44" s="17">
        <v>7.490000000000002</v>
      </c>
      <c r="W44" s="17">
        <v>5.0899999999999936</v>
      </c>
      <c r="X44" s="17">
        <f t="shared" si="7"/>
        <v>6.2899999999999974</v>
      </c>
      <c r="Y44" s="15">
        <v>21.8</v>
      </c>
      <c r="Z44" s="1"/>
      <c r="AA44" s="17">
        <v>3.447499999999998</v>
      </c>
      <c r="AB44" s="17">
        <v>4.9699999999999989</v>
      </c>
      <c r="AC44" s="17">
        <f t="shared" si="8"/>
        <v>4.2087499999999984</v>
      </c>
      <c r="AD44" s="15">
        <v>21.6</v>
      </c>
      <c r="AE44" s="1"/>
      <c r="AF44" s="48">
        <v>7.9550000000000125</v>
      </c>
      <c r="AG44" s="17">
        <v>4.7374999999999972</v>
      </c>
      <c r="AH44" s="17">
        <v>4.7374999999999972</v>
      </c>
      <c r="AI44" s="15">
        <v>21.7</v>
      </c>
      <c r="AJ44" s="1"/>
      <c r="AK44" s="21">
        <v>1.52</v>
      </c>
      <c r="AL44" s="21">
        <v>19.510000000000002</v>
      </c>
      <c r="AM44" s="21">
        <v>0.09</v>
      </c>
      <c r="AN44" s="21">
        <v>15.1</v>
      </c>
      <c r="AO44" s="15">
        <f t="shared" si="9"/>
        <v>0.41999999999999815</v>
      </c>
      <c r="AP44" s="15">
        <v>111</v>
      </c>
      <c r="AQ44" s="51" t="s">
        <v>97</v>
      </c>
      <c r="AR44" s="1">
        <f t="shared" si="10"/>
        <v>7.0046082949308754</v>
      </c>
      <c r="AS44" s="1"/>
    </row>
    <row r="45" spans="1:45" ht="15.75" customHeight="1">
      <c r="A45" s="22">
        <v>34</v>
      </c>
      <c r="B45" s="22" t="s">
        <v>46</v>
      </c>
      <c r="C45" s="22" t="s">
        <v>50</v>
      </c>
      <c r="D45" s="22" t="s">
        <v>49</v>
      </c>
      <c r="E45" s="28">
        <v>1.28</v>
      </c>
      <c r="F45" s="28">
        <v>19.260000000000002</v>
      </c>
      <c r="G45" s="28">
        <v>0.1</v>
      </c>
      <c r="H45" s="28">
        <v>14.5</v>
      </c>
      <c r="I45" s="22">
        <v>21.62</v>
      </c>
      <c r="J45" s="24">
        <v>6.5100000000000096</v>
      </c>
      <c r="K45" s="29"/>
      <c r="L45" s="24">
        <v>5.7324999999999875</v>
      </c>
      <c r="M45" s="24">
        <v>5.2900000000000107</v>
      </c>
      <c r="N45" s="24">
        <f t="shared" si="5"/>
        <v>5.5112499999999986</v>
      </c>
      <c r="O45" s="22">
        <v>22.47</v>
      </c>
      <c r="P45" s="29"/>
      <c r="Q45" s="24">
        <v>4.8449999999999989</v>
      </c>
      <c r="R45" s="24">
        <v>3.7366666666666695</v>
      </c>
      <c r="S45" s="24">
        <f t="shared" si="6"/>
        <v>4.2908333333333344</v>
      </c>
      <c r="T45" s="22">
        <v>22.7</v>
      </c>
      <c r="U45" s="29"/>
      <c r="V45" s="24">
        <v>3.644999999999996</v>
      </c>
      <c r="W45" s="24">
        <v>4.8466666666666738</v>
      </c>
      <c r="X45" s="24">
        <f t="shared" si="7"/>
        <v>4.2458333333333353</v>
      </c>
      <c r="Y45" s="22">
        <v>22.4</v>
      </c>
      <c r="Z45" s="29"/>
      <c r="AA45" s="24">
        <v>3.6424999999999983</v>
      </c>
      <c r="AB45" s="24">
        <v>4.8700000000000045</v>
      </c>
      <c r="AC45" s="24">
        <f t="shared" si="8"/>
        <v>4.2562500000000014</v>
      </c>
      <c r="AD45" s="22">
        <v>23.4</v>
      </c>
      <c r="AE45" s="29"/>
      <c r="AF45" s="31">
        <v>7.7099999999999795</v>
      </c>
      <c r="AG45" s="24">
        <v>4.5799999999999983</v>
      </c>
      <c r="AH45" s="24">
        <v>4.5799999999999983</v>
      </c>
      <c r="AI45" s="22">
        <v>23.1</v>
      </c>
      <c r="AJ45" s="29"/>
      <c r="AK45" s="28">
        <v>1.79</v>
      </c>
      <c r="AL45" s="28">
        <v>20.07</v>
      </c>
      <c r="AM45" s="28">
        <v>0.08</v>
      </c>
      <c r="AN45" s="28">
        <v>14.8</v>
      </c>
      <c r="AO45" s="22">
        <f t="shared" si="9"/>
        <v>1.4800000000000004</v>
      </c>
      <c r="AP45" s="22">
        <v>138</v>
      </c>
      <c r="AQ45" s="50" t="s">
        <v>98</v>
      </c>
      <c r="AR45" s="29">
        <f t="shared" si="10"/>
        <v>7.7489177489177479</v>
      </c>
      <c r="AS45" s="29"/>
    </row>
    <row r="46" spans="1:45" ht="15.75" customHeight="1">
      <c r="A46" s="15">
        <v>35</v>
      </c>
      <c r="B46" s="15" t="s">
        <v>46</v>
      </c>
      <c r="C46" s="15" t="s">
        <v>50</v>
      </c>
      <c r="D46" s="15" t="s">
        <v>48</v>
      </c>
      <c r="E46" s="21">
        <v>1.93</v>
      </c>
      <c r="F46" s="21">
        <v>20.21</v>
      </c>
      <c r="G46" s="21">
        <v>0.05</v>
      </c>
      <c r="H46" s="21">
        <v>15.24</v>
      </c>
      <c r="I46" s="15">
        <v>22.95</v>
      </c>
      <c r="J46" s="17">
        <v>6.8166666666666629</v>
      </c>
      <c r="K46" s="1"/>
      <c r="L46" s="17">
        <v>4.9050000000000011</v>
      </c>
      <c r="M46" s="17">
        <v>4.390000000000005</v>
      </c>
      <c r="N46" s="17">
        <f t="shared" si="5"/>
        <v>4.6475000000000026</v>
      </c>
      <c r="O46" s="15">
        <v>23.8</v>
      </c>
      <c r="P46" s="1"/>
      <c r="Q46" s="17">
        <v>4.3125</v>
      </c>
      <c r="R46" s="17">
        <v>4.5366666666666715</v>
      </c>
      <c r="S46" s="17">
        <f t="shared" si="6"/>
        <v>4.4245833333333362</v>
      </c>
      <c r="T46" s="15">
        <v>24.2</v>
      </c>
      <c r="U46" s="1"/>
      <c r="V46" s="17">
        <v>3.947499999999998</v>
      </c>
      <c r="W46" s="17">
        <v>4.3233333333333333</v>
      </c>
      <c r="X46" s="17">
        <f t="shared" si="7"/>
        <v>4.1354166666666661</v>
      </c>
      <c r="Y46" s="15">
        <v>25.5</v>
      </c>
      <c r="Z46" s="1"/>
      <c r="AA46" s="17">
        <v>3.7299999999999969</v>
      </c>
      <c r="AB46" s="17">
        <v>4.5166666666666702</v>
      </c>
      <c r="AC46" s="17">
        <f t="shared" si="8"/>
        <v>4.1233333333333331</v>
      </c>
      <c r="AD46" s="15">
        <v>26.5</v>
      </c>
      <c r="AE46" s="1"/>
      <c r="AF46" s="48">
        <v>6.5349999999999966</v>
      </c>
      <c r="AG46" s="17">
        <v>3.7950000000000017</v>
      </c>
      <c r="AH46" s="17">
        <v>3.7950000000000017</v>
      </c>
      <c r="AI46" s="15">
        <v>24.6</v>
      </c>
      <c r="AJ46" s="1"/>
      <c r="AK46" s="21">
        <v>3.43</v>
      </c>
      <c r="AL46" s="21">
        <v>20.2</v>
      </c>
      <c r="AM46" s="21">
        <v>0.05</v>
      </c>
      <c r="AN46" s="21">
        <v>15.17</v>
      </c>
      <c r="AO46" s="15">
        <f t="shared" si="9"/>
        <v>1.6500000000000021</v>
      </c>
      <c r="AP46" s="15">
        <v>129</v>
      </c>
      <c r="AQ46" s="51" t="s">
        <v>99</v>
      </c>
      <c r="AR46" s="1">
        <f t="shared" si="10"/>
        <v>13.943089430894309</v>
      </c>
      <c r="AS46" s="1"/>
    </row>
    <row r="47" spans="1:45" ht="15.75" customHeight="1">
      <c r="A47" s="22">
        <v>36</v>
      </c>
      <c r="B47" s="22" t="s">
        <v>46</v>
      </c>
      <c r="C47" s="22" t="s">
        <v>50</v>
      </c>
      <c r="D47" s="22" t="s">
        <v>49</v>
      </c>
      <c r="E47" s="28">
        <v>1.1000000000000001</v>
      </c>
      <c r="F47" s="28">
        <v>20.18</v>
      </c>
      <c r="G47" s="28">
        <v>0.06</v>
      </c>
      <c r="H47" s="28">
        <v>15.3</v>
      </c>
      <c r="I47" s="22">
        <v>21.85</v>
      </c>
      <c r="J47" s="24">
        <v>7.1333333333333258</v>
      </c>
      <c r="K47" s="29"/>
      <c r="L47" s="24">
        <v>5.25</v>
      </c>
      <c r="M47" s="24">
        <v>4.3800000000000052</v>
      </c>
      <c r="N47" s="24">
        <f t="shared" si="5"/>
        <v>4.8150000000000031</v>
      </c>
      <c r="O47" s="22">
        <v>23.2</v>
      </c>
      <c r="P47" s="29"/>
      <c r="Q47" s="24">
        <v>4.57</v>
      </c>
      <c r="R47" s="24">
        <v>3.4199999999999968</v>
      </c>
      <c r="S47" s="24">
        <f t="shared" si="6"/>
        <v>3.9949999999999983</v>
      </c>
      <c r="T47" s="22">
        <v>23.7</v>
      </c>
      <c r="U47" s="29"/>
      <c r="V47" s="24">
        <v>3.6400000000000006</v>
      </c>
      <c r="W47" s="24">
        <v>4.2333333333333387</v>
      </c>
      <c r="X47" s="24">
        <f t="shared" si="7"/>
        <v>3.9366666666666696</v>
      </c>
      <c r="Y47" s="22">
        <v>24</v>
      </c>
      <c r="Z47" s="29"/>
      <c r="AA47" s="24">
        <v>3.4050000000000011</v>
      </c>
      <c r="AB47" s="24">
        <v>4.8833333333333355</v>
      </c>
      <c r="AC47" s="24">
        <f t="shared" si="8"/>
        <v>4.1441666666666688</v>
      </c>
      <c r="AD47" s="22">
        <v>24</v>
      </c>
      <c r="AE47" s="29"/>
      <c r="AF47" s="31">
        <v>8.7449999999999761</v>
      </c>
      <c r="AG47" s="24">
        <v>4.3475000000000108</v>
      </c>
      <c r="AH47" s="24">
        <v>4.3475000000000108</v>
      </c>
      <c r="AI47" s="22">
        <v>23.7</v>
      </c>
      <c r="AJ47" s="29"/>
      <c r="AK47" s="28">
        <v>1.41</v>
      </c>
      <c r="AL47" s="28">
        <v>21.55</v>
      </c>
      <c r="AM47" s="28">
        <v>0.16</v>
      </c>
      <c r="AN47" s="28">
        <v>15.61</v>
      </c>
      <c r="AO47" s="22">
        <f t="shared" si="9"/>
        <v>1.8499999999999979</v>
      </c>
      <c r="AP47" s="22">
        <v>112</v>
      </c>
      <c r="AQ47" s="50" t="s">
        <v>100</v>
      </c>
      <c r="AR47" s="29">
        <f t="shared" si="10"/>
        <v>5.9493670886075947</v>
      </c>
      <c r="AS47" s="29"/>
    </row>
    <row r="48" spans="1:45" ht="15.75" customHeight="1">
      <c r="A48" s="15">
        <v>37</v>
      </c>
      <c r="B48" s="15" t="s">
        <v>51</v>
      </c>
      <c r="C48" s="15" t="s">
        <v>47</v>
      </c>
      <c r="D48" s="15" t="s">
        <v>48</v>
      </c>
      <c r="E48" s="21">
        <v>15.73</v>
      </c>
      <c r="F48" s="21">
        <v>36.03</v>
      </c>
      <c r="G48" s="21">
        <v>0.16</v>
      </c>
      <c r="H48" s="21">
        <v>26.42</v>
      </c>
      <c r="I48" s="15">
        <v>51.98</v>
      </c>
      <c r="J48" s="17">
        <v>9.073333333333343</v>
      </c>
      <c r="K48" s="1"/>
      <c r="L48" s="17">
        <v>6.6199999999999974</v>
      </c>
      <c r="M48" s="17">
        <v>5.7333333333333387</v>
      </c>
      <c r="N48" s="17">
        <f t="shared" si="5"/>
        <v>6.1766666666666676</v>
      </c>
      <c r="O48" s="15">
        <v>51.92</v>
      </c>
      <c r="P48" s="1"/>
      <c r="Q48" s="17">
        <v>6.5300000000000011</v>
      </c>
      <c r="R48" s="17">
        <v>6.1033333333333344</v>
      </c>
      <c r="S48" s="17">
        <f t="shared" si="6"/>
        <v>6.3166666666666682</v>
      </c>
      <c r="T48" s="15">
        <v>52.1</v>
      </c>
      <c r="U48" s="1"/>
      <c r="V48" s="17">
        <v>11.587499999999999</v>
      </c>
      <c r="W48" s="17">
        <v>6.9733333333333389</v>
      </c>
      <c r="X48" s="17">
        <f t="shared" si="7"/>
        <v>9.2804166666666692</v>
      </c>
      <c r="Y48" s="15">
        <v>49.3</v>
      </c>
      <c r="Z48" s="1"/>
      <c r="AA48" s="17">
        <v>7.6924999999999955</v>
      </c>
      <c r="AB48" s="17">
        <v>8.2966666666666722</v>
      </c>
      <c r="AC48" s="17">
        <f t="shared" si="8"/>
        <v>7.9945833333333338</v>
      </c>
      <c r="AD48" s="15">
        <v>47.1</v>
      </c>
      <c r="AE48" s="1"/>
      <c r="AF48" s="48">
        <v>9.105000000000004</v>
      </c>
      <c r="AG48" s="17">
        <v>11.728000000000009</v>
      </c>
      <c r="AH48" s="17">
        <v>11.728000000000009</v>
      </c>
      <c r="AI48" s="15">
        <v>46.2</v>
      </c>
      <c r="AJ48" s="1"/>
      <c r="AK48" s="21">
        <v>6.56</v>
      </c>
      <c r="AL48" s="21">
        <v>36.43</v>
      </c>
      <c r="AM48" s="21">
        <v>0.54</v>
      </c>
      <c r="AN48" s="21">
        <v>26.05</v>
      </c>
      <c r="AO48" s="15">
        <f t="shared" si="9"/>
        <v>-5.779999999999994</v>
      </c>
      <c r="AP48" s="15" t="s">
        <v>53</v>
      </c>
      <c r="AQ48" s="51">
        <v>828</v>
      </c>
      <c r="AR48" s="1">
        <f t="shared" si="10"/>
        <v>14.199134199134198</v>
      </c>
      <c r="AS48" s="1"/>
    </row>
    <row r="49" spans="1:45" ht="15.75" customHeight="1">
      <c r="A49" s="22">
        <v>38</v>
      </c>
      <c r="B49" s="22" t="s">
        <v>51</v>
      </c>
      <c r="C49" s="22" t="s">
        <v>47</v>
      </c>
      <c r="D49" s="22" t="s">
        <v>49</v>
      </c>
      <c r="E49" s="28">
        <v>12.46</v>
      </c>
      <c r="F49" s="28">
        <v>33.979999999999997</v>
      </c>
      <c r="G49" s="28">
        <v>0.19</v>
      </c>
      <c r="H49" s="28">
        <v>25.01</v>
      </c>
      <c r="I49" s="22">
        <v>45.82</v>
      </c>
      <c r="J49" s="24">
        <v>9.8466666666666551</v>
      </c>
      <c r="K49" s="29"/>
      <c r="L49" s="24">
        <v>8.7025000000000006</v>
      </c>
      <c r="M49" s="24">
        <v>8.170000000000007</v>
      </c>
      <c r="N49" s="24">
        <f t="shared" si="5"/>
        <v>8.4362500000000047</v>
      </c>
      <c r="O49" s="22">
        <v>42.68</v>
      </c>
      <c r="P49" s="29"/>
      <c r="Q49" s="24">
        <v>9.68</v>
      </c>
      <c r="R49" s="24">
        <v>9.073333333333343</v>
      </c>
      <c r="S49" s="24">
        <f t="shared" si="6"/>
        <v>9.3766666666666723</v>
      </c>
      <c r="T49" s="22">
        <v>41.4</v>
      </c>
      <c r="U49" s="29"/>
      <c r="V49" s="24">
        <v>14.234999999999999</v>
      </c>
      <c r="W49" s="24">
        <v>14.029999999999992</v>
      </c>
      <c r="X49" s="24">
        <f t="shared" si="7"/>
        <v>14.132499999999997</v>
      </c>
      <c r="Y49" s="22">
        <v>40</v>
      </c>
      <c r="Z49" s="29"/>
      <c r="AA49" s="24">
        <v>12.837499999999999</v>
      </c>
      <c r="AB49" s="24">
        <v>12.676666666666668</v>
      </c>
      <c r="AC49" s="24">
        <f t="shared" si="8"/>
        <v>12.757083333333334</v>
      </c>
      <c r="AD49" s="22">
        <v>39.5</v>
      </c>
      <c r="AE49" s="29"/>
      <c r="AF49" s="31">
        <v>13.734999999999999</v>
      </c>
      <c r="AG49" s="24">
        <v>15.174000000000001</v>
      </c>
      <c r="AH49" s="24">
        <v>15.174000000000001</v>
      </c>
      <c r="AI49" s="22">
        <v>39.1</v>
      </c>
      <c r="AJ49" s="29"/>
      <c r="AK49" s="28">
        <v>1.76</v>
      </c>
      <c r="AL49" s="28">
        <v>34.54</v>
      </c>
      <c r="AM49" s="28">
        <v>0.97</v>
      </c>
      <c r="AN49" s="28">
        <v>25.18</v>
      </c>
      <c r="AO49" s="22">
        <f t="shared" si="9"/>
        <v>-6.7199999999999989</v>
      </c>
      <c r="AP49" s="22" t="s">
        <v>53</v>
      </c>
      <c r="AQ49" s="50" t="s">
        <v>101</v>
      </c>
      <c r="AR49" s="57"/>
      <c r="AS49" s="29"/>
    </row>
    <row r="50" spans="1:45" ht="15.75" customHeight="1">
      <c r="A50" s="15">
        <v>39</v>
      </c>
      <c r="B50" s="15" t="s">
        <v>51</v>
      </c>
      <c r="C50" s="15" t="s">
        <v>47</v>
      </c>
      <c r="D50" s="15" t="s">
        <v>48</v>
      </c>
      <c r="E50" s="21">
        <v>14.16</v>
      </c>
      <c r="F50" s="21">
        <v>37.229999999999997</v>
      </c>
      <c r="G50" s="21">
        <v>0.16</v>
      </c>
      <c r="H50" s="21">
        <v>26.2</v>
      </c>
      <c r="I50" s="15">
        <v>50.65</v>
      </c>
      <c r="J50" s="17">
        <v>6.7700000000000005</v>
      </c>
      <c r="K50" s="1"/>
      <c r="L50" s="17">
        <v>7.6200000000000045</v>
      </c>
      <c r="M50" s="17">
        <v>7.7566666666666606</v>
      </c>
      <c r="N50" s="17">
        <f t="shared" si="5"/>
        <v>7.6883333333333326</v>
      </c>
      <c r="O50" s="15">
        <v>49.53</v>
      </c>
      <c r="P50" s="1"/>
      <c r="Q50" s="17">
        <v>8.0225000000000009</v>
      </c>
      <c r="R50" s="17">
        <v>8.1166666666666654</v>
      </c>
      <c r="S50" s="17">
        <f t="shared" si="6"/>
        <v>8.069583333333334</v>
      </c>
      <c r="T50" s="15">
        <v>47.05</v>
      </c>
      <c r="U50" s="1"/>
      <c r="V50" s="17">
        <v>11.284999999999997</v>
      </c>
      <c r="W50" s="17">
        <v>11.379999999999995</v>
      </c>
      <c r="X50" s="17">
        <f t="shared" si="7"/>
        <v>11.332499999999996</v>
      </c>
      <c r="Y50" s="15">
        <v>48.1</v>
      </c>
      <c r="Z50" s="1"/>
      <c r="AA50" s="17">
        <v>10.495000000000005</v>
      </c>
      <c r="AB50" s="17">
        <v>9.7666666666666604</v>
      </c>
      <c r="AC50" s="17">
        <f t="shared" si="8"/>
        <v>10.130833333333332</v>
      </c>
      <c r="AD50" s="15">
        <v>45</v>
      </c>
      <c r="AE50" s="1"/>
      <c r="AF50" s="48">
        <v>16.064999999999998</v>
      </c>
      <c r="AG50" s="17">
        <v>12.601999999999999</v>
      </c>
      <c r="AH50" s="17">
        <v>12.601999999999999</v>
      </c>
      <c r="AI50" s="15">
        <v>44.1</v>
      </c>
      <c r="AJ50" s="1"/>
      <c r="AK50" s="21">
        <v>4.07</v>
      </c>
      <c r="AL50" s="21">
        <v>37.590000000000003</v>
      </c>
      <c r="AM50" s="21">
        <v>0.96</v>
      </c>
      <c r="AN50" s="21">
        <v>27.39</v>
      </c>
      <c r="AO50" s="15">
        <f t="shared" si="9"/>
        <v>-6.5499999999999972</v>
      </c>
      <c r="AP50" s="15" t="s">
        <v>53</v>
      </c>
      <c r="AQ50" s="51" t="s">
        <v>102</v>
      </c>
      <c r="AR50" s="1">
        <f>((AK50/AI50)*100)</f>
        <v>9.2290249433106588</v>
      </c>
      <c r="AS50" s="1"/>
    </row>
    <row r="51" spans="1:45" ht="15.75" customHeight="1">
      <c r="A51" s="22">
        <v>40</v>
      </c>
      <c r="B51" s="22" t="s">
        <v>51</v>
      </c>
      <c r="C51" s="22" t="s">
        <v>47</v>
      </c>
      <c r="D51" s="22" t="s">
        <v>49</v>
      </c>
      <c r="E51" s="28">
        <v>15.09</v>
      </c>
      <c r="F51" s="28">
        <v>31.97</v>
      </c>
      <c r="G51" s="28">
        <v>0.14000000000000001</v>
      </c>
      <c r="H51" s="28">
        <v>22.83</v>
      </c>
      <c r="I51" s="22">
        <v>45.3</v>
      </c>
      <c r="J51" s="24">
        <v>8.7733333333333317</v>
      </c>
      <c r="K51" s="29"/>
      <c r="L51" s="31">
        <v>-1.9925000000000068</v>
      </c>
      <c r="M51" s="24">
        <v>8.7600000000000104</v>
      </c>
      <c r="N51" s="22">
        <v>8.76</v>
      </c>
      <c r="O51" s="22">
        <v>43.88</v>
      </c>
      <c r="P51" s="29"/>
      <c r="Q51" s="58">
        <v>7.5524999999999949</v>
      </c>
      <c r="R51" s="24">
        <v>9.3133333333333415</v>
      </c>
      <c r="S51" s="22">
        <v>8.76</v>
      </c>
      <c r="T51" s="22">
        <v>40.4</v>
      </c>
      <c r="U51" s="29"/>
      <c r="V51" s="24">
        <v>11.530000000000001</v>
      </c>
      <c r="W51" s="24">
        <v>10.99666666666667</v>
      </c>
      <c r="X51" s="24">
        <f t="shared" si="7"/>
        <v>11.263333333333335</v>
      </c>
      <c r="Y51" s="22">
        <v>42.1</v>
      </c>
      <c r="Z51" s="29"/>
      <c r="AA51" s="24">
        <v>11.200000000000003</v>
      </c>
      <c r="AB51" s="24">
        <v>11.619999999999996</v>
      </c>
      <c r="AC51" s="24">
        <f t="shared" si="8"/>
        <v>11.41</v>
      </c>
      <c r="AD51" s="22">
        <v>40.799999999999997</v>
      </c>
      <c r="AE51" s="29"/>
      <c r="AF51" s="31">
        <v>11.614999999999995</v>
      </c>
      <c r="AG51" s="24">
        <v>13.129999999999995</v>
      </c>
      <c r="AH51" s="24">
        <v>13.129999999999995</v>
      </c>
      <c r="AI51" s="22">
        <v>39.1</v>
      </c>
      <c r="AJ51" s="29"/>
      <c r="AK51" s="28">
        <v>2.82</v>
      </c>
      <c r="AL51" s="28">
        <v>33.700000000000003</v>
      </c>
      <c r="AM51" s="28">
        <v>0.71</v>
      </c>
      <c r="AN51" s="28">
        <v>24.45</v>
      </c>
      <c r="AO51" s="22">
        <f t="shared" si="9"/>
        <v>-6.1999999999999957</v>
      </c>
      <c r="AP51" s="22" t="s">
        <v>53</v>
      </c>
      <c r="AQ51" s="50" t="s">
        <v>103</v>
      </c>
      <c r="AR51" s="57"/>
      <c r="AS51" s="29"/>
    </row>
    <row r="52" spans="1:45" ht="15.75" customHeight="1">
      <c r="A52" s="15">
        <v>41</v>
      </c>
      <c r="B52" s="15" t="s">
        <v>51</v>
      </c>
      <c r="C52" s="15" t="s">
        <v>47</v>
      </c>
      <c r="D52" s="15" t="s">
        <v>48</v>
      </c>
      <c r="E52" s="21">
        <v>15.15</v>
      </c>
      <c r="F52" s="21">
        <v>34.39</v>
      </c>
      <c r="G52" s="21">
        <v>0.28999999999999998</v>
      </c>
      <c r="H52" s="21">
        <v>23.81</v>
      </c>
      <c r="I52" s="15">
        <v>48.22</v>
      </c>
      <c r="J52" s="17">
        <v>8.2866666666666706</v>
      </c>
      <c r="K52" s="1"/>
      <c r="L52" s="17">
        <v>6.7275000000000063</v>
      </c>
      <c r="M52" s="17">
        <v>7.5333333333333217</v>
      </c>
      <c r="N52" s="17">
        <f t="shared" ref="N52:N59" si="11">AVERAGE(L52:M52)</f>
        <v>7.1304166666666635</v>
      </c>
      <c r="O52" s="15">
        <v>44.88</v>
      </c>
      <c r="P52" s="1"/>
      <c r="Q52" s="17">
        <v>9.3174999999999955</v>
      </c>
      <c r="R52" s="17">
        <v>8.7500000000000089</v>
      </c>
      <c r="S52" s="17">
        <f t="shared" ref="S52:S59" si="12">AVERAGE(Q52:R52)</f>
        <v>9.0337500000000013</v>
      </c>
      <c r="T52" s="15">
        <v>44.7</v>
      </c>
      <c r="U52" s="1"/>
      <c r="V52" s="17">
        <v>14.335000000000001</v>
      </c>
      <c r="W52" s="17">
        <v>9.1966666666666779</v>
      </c>
      <c r="X52" s="17">
        <f t="shared" si="7"/>
        <v>11.76583333333334</v>
      </c>
      <c r="Y52" s="15">
        <v>43</v>
      </c>
      <c r="Z52" s="1"/>
      <c r="AA52" s="17">
        <v>13.752499999999998</v>
      </c>
      <c r="AB52" s="17">
        <v>11.023333333333332</v>
      </c>
      <c r="AC52" s="17">
        <f t="shared" si="8"/>
        <v>12.387916666666666</v>
      </c>
      <c r="AD52" s="15">
        <v>43.7</v>
      </c>
      <c r="AE52" s="1"/>
      <c r="AF52" s="48">
        <v>12.885000000000005</v>
      </c>
      <c r="AG52" s="17">
        <v>15.317999999999994</v>
      </c>
      <c r="AH52" s="17">
        <v>15.317999999999994</v>
      </c>
      <c r="AI52" s="15">
        <v>43.6</v>
      </c>
      <c r="AJ52" s="1"/>
      <c r="AK52" s="21">
        <v>2.48</v>
      </c>
      <c r="AL52" s="21">
        <v>37.31</v>
      </c>
      <c r="AM52" s="21">
        <v>1.19</v>
      </c>
      <c r="AN52" s="21">
        <v>28</v>
      </c>
      <c r="AO52" s="15">
        <f t="shared" si="9"/>
        <v>-4.6199999999999974</v>
      </c>
      <c r="AP52" s="15" t="s">
        <v>53</v>
      </c>
      <c r="AQ52" s="51" t="s">
        <v>104</v>
      </c>
      <c r="AR52" s="1">
        <f>((AK52/AI52)*100)</f>
        <v>5.6880733944954125</v>
      </c>
      <c r="AS52" s="1"/>
    </row>
    <row r="53" spans="1:45" ht="15.75" customHeight="1">
      <c r="A53" s="22">
        <v>42</v>
      </c>
      <c r="B53" s="22" t="s">
        <v>51</v>
      </c>
      <c r="C53" s="22" t="s">
        <v>47</v>
      </c>
      <c r="D53" s="22" t="s">
        <v>49</v>
      </c>
      <c r="E53" s="28">
        <v>16.329999999999998</v>
      </c>
      <c r="F53" s="28">
        <v>29.57</v>
      </c>
      <c r="G53" s="28">
        <v>0.21</v>
      </c>
      <c r="H53" s="28">
        <v>21.51</v>
      </c>
      <c r="I53" s="22">
        <v>44.7</v>
      </c>
      <c r="J53" s="24">
        <v>7.0699999999999932</v>
      </c>
      <c r="K53" s="29"/>
      <c r="L53" s="24">
        <v>6.3425000000000011</v>
      </c>
      <c r="M53" s="24">
        <v>6.333333333333333</v>
      </c>
      <c r="N53" s="24">
        <f t="shared" si="11"/>
        <v>6.3379166666666666</v>
      </c>
      <c r="O53" s="22">
        <v>46.46</v>
      </c>
      <c r="P53" s="29"/>
      <c r="Q53" s="24">
        <v>6.1400000000000006</v>
      </c>
      <c r="R53" s="24">
        <v>6.1699999999999973</v>
      </c>
      <c r="S53" s="24">
        <f t="shared" si="12"/>
        <v>6.1549999999999994</v>
      </c>
      <c r="T53" s="22">
        <v>45.4</v>
      </c>
      <c r="U53" s="29"/>
      <c r="V53" s="24">
        <v>6.7199999999999989</v>
      </c>
      <c r="W53" s="24">
        <v>7.7999999999999927</v>
      </c>
      <c r="X53" s="24">
        <f t="shared" si="7"/>
        <v>7.2599999999999962</v>
      </c>
      <c r="Y53" s="22">
        <v>46.9</v>
      </c>
      <c r="Z53" s="29"/>
      <c r="AA53" s="24">
        <v>6.9150000000000063</v>
      </c>
      <c r="AB53" s="24">
        <v>6.9900000000000091</v>
      </c>
      <c r="AC53" s="24">
        <f t="shared" si="8"/>
        <v>6.9525000000000077</v>
      </c>
      <c r="AD53" s="22">
        <v>48.6</v>
      </c>
      <c r="AE53" s="29"/>
      <c r="AF53" s="31">
        <v>7.5799999999999983</v>
      </c>
      <c r="AG53" s="24">
        <v>8.0759999999999987</v>
      </c>
      <c r="AH53" s="24">
        <v>8.0759999999999987</v>
      </c>
      <c r="AI53" s="22">
        <v>50.2</v>
      </c>
      <c r="AJ53" s="29"/>
      <c r="AK53" s="28">
        <v>18.14</v>
      </c>
      <c r="AL53" s="28">
        <v>31.78</v>
      </c>
      <c r="AM53" s="28">
        <v>0.32</v>
      </c>
      <c r="AN53" s="28">
        <v>23.06</v>
      </c>
      <c r="AO53" s="22">
        <f t="shared" si="9"/>
        <v>5.5</v>
      </c>
      <c r="AP53" s="22">
        <v>220</v>
      </c>
      <c r="AQ53" s="50" t="s">
        <v>105</v>
      </c>
      <c r="AR53" s="57"/>
      <c r="AS53" s="29"/>
    </row>
    <row r="54" spans="1:45" ht="15.75" customHeight="1">
      <c r="A54" s="15">
        <v>43</v>
      </c>
      <c r="B54" s="15" t="s">
        <v>51</v>
      </c>
      <c r="C54" s="15" t="s">
        <v>50</v>
      </c>
      <c r="D54" s="15" t="s">
        <v>48</v>
      </c>
      <c r="E54" s="21">
        <v>21.76</v>
      </c>
      <c r="F54" s="21">
        <v>30</v>
      </c>
      <c r="G54" s="21">
        <v>0.34</v>
      </c>
      <c r="H54" s="21">
        <v>20.9</v>
      </c>
      <c r="I54" s="15">
        <v>52.05</v>
      </c>
      <c r="J54" s="17">
        <v>6.7999999999999927</v>
      </c>
      <c r="K54" s="1"/>
      <c r="L54" s="17">
        <v>6.0625</v>
      </c>
      <c r="M54" s="17">
        <v>5.8400000000000034</v>
      </c>
      <c r="N54" s="17">
        <f t="shared" si="11"/>
        <v>5.9512500000000017</v>
      </c>
      <c r="O54" s="15">
        <v>52.48</v>
      </c>
      <c r="P54" s="1"/>
      <c r="Q54" s="17">
        <v>6.9600000000000009</v>
      </c>
      <c r="R54" s="17">
        <v>5.3833333333333355</v>
      </c>
      <c r="S54" s="17">
        <f t="shared" si="12"/>
        <v>6.1716666666666686</v>
      </c>
      <c r="T54" s="15">
        <v>55.6</v>
      </c>
      <c r="U54" s="1"/>
      <c r="V54" s="17">
        <v>5.9525000000000006</v>
      </c>
      <c r="W54" s="17">
        <v>7.2066666666666679</v>
      </c>
      <c r="X54" s="17">
        <f t="shared" si="7"/>
        <v>6.5795833333333338</v>
      </c>
      <c r="Y54" s="15">
        <v>57.2</v>
      </c>
      <c r="Z54" s="1"/>
      <c r="AA54" s="17">
        <v>5.9450000000000003</v>
      </c>
      <c r="AB54" s="17">
        <v>6.6000000000000041</v>
      </c>
      <c r="AC54" s="17">
        <f t="shared" si="8"/>
        <v>6.2725000000000026</v>
      </c>
      <c r="AD54" s="15">
        <v>58</v>
      </c>
      <c r="AE54" s="1"/>
      <c r="AF54" s="48">
        <v>6.664999999999992</v>
      </c>
      <c r="AG54" s="17">
        <v>6.3100000000000023</v>
      </c>
      <c r="AH54" s="17">
        <v>6.3100000000000023</v>
      </c>
      <c r="AI54" s="15">
        <v>59.5</v>
      </c>
      <c r="AJ54" s="1"/>
      <c r="AK54" s="21">
        <v>27.19</v>
      </c>
      <c r="AL54" s="21">
        <v>30.71</v>
      </c>
      <c r="AM54" s="21">
        <v>0.25</v>
      </c>
      <c r="AN54" s="21">
        <v>21.71</v>
      </c>
      <c r="AO54" s="15">
        <f t="shared" si="9"/>
        <v>7.4500000000000028</v>
      </c>
      <c r="AP54" s="15">
        <v>192</v>
      </c>
      <c r="AQ54" s="51" t="s">
        <v>106</v>
      </c>
      <c r="AR54" s="1">
        <f>((AK54/AI54)*100)</f>
        <v>45.69747899159664</v>
      </c>
      <c r="AS54" s="1"/>
    </row>
    <row r="55" spans="1:45" ht="15.75" customHeight="1">
      <c r="A55" s="22">
        <v>44</v>
      </c>
      <c r="B55" s="22" t="s">
        <v>51</v>
      </c>
      <c r="C55" s="22" t="s">
        <v>50</v>
      </c>
      <c r="D55" s="22" t="s">
        <v>49</v>
      </c>
      <c r="E55" s="28">
        <v>18.899999999999999</v>
      </c>
      <c r="F55" s="28">
        <v>28.12</v>
      </c>
      <c r="G55" s="28">
        <v>0.18</v>
      </c>
      <c r="H55" s="28">
        <v>20.440000000000001</v>
      </c>
      <c r="I55" s="22">
        <v>47.39</v>
      </c>
      <c r="J55" s="24">
        <v>6.5733333333333333</v>
      </c>
      <c r="K55" s="29"/>
      <c r="L55" s="24">
        <v>6.0649999999999977</v>
      </c>
      <c r="M55" s="24">
        <v>4.7800000000000011</v>
      </c>
      <c r="N55" s="24">
        <f t="shared" si="11"/>
        <v>5.4224999999999994</v>
      </c>
      <c r="O55" s="22">
        <v>50</v>
      </c>
      <c r="P55" s="29"/>
      <c r="Q55" s="24">
        <v>5.3299999999999983</v>
      </c>
      <c r="R55" s="24">
        <v>5.1433333333333353</v>
      </c>
      <c r="S55" s="24">
        <f t="shared" si="12"/>
        <v>5.2366666666666664</v>
      </c>
      <c r="T55" s="22">
        <v>50.5</v>
      </c>
      <c r="U55" s="29"/>
      <c r="V55" s="24">
        <v>7.3575000000000017</v>
      </c>
      <c r="W55" s="24">
        <v>6.193333333333328</v>
      </c>
      <c r="X55" s="24">
        <f t="shared" si="7"/>
        <v>6.7754166666666649</v>
      </c>
      <c r="Y55" s="22">
        <v>52.3</v>
      </c>
      <c r="Z55" s="29"/>
      <c r="AA55" s="24">
        <v>5.1750000000000043</v>
      </c>
      <c r="AB55" s="24">
        <v>6.4966666666666599</v>
      </c>
      <c r="AC55" s="24">
        <f t="shared" si="8"/>
        <v>5.8358333333333317</v>
      </c>
      <c r="AD55" s="22">
        <v>53</v>
      </c>
      <c r="AE55" s="29"/>
      <c r="AF55" s="31">
        <v>5.8650000000000091</v>
      </c>
      <c r="AG55" s="24">
        <v>5.3480000000000016</v>
      </c>
      <c r="AH55" s="24">
        <v>5.3480000000000016</v>
      </c>
      <c r="AI55" s="22">
        <v>53.9</v>
      </c>
      <c r="AJ55" s="29"/>
      <c r="AK55" s="28">
        <v>22.23</v>
      </c>
      <c r="AL55" s="28">
        <v>28.95</v>
      </c>
      <c r="AM55" s="28">
        <v>0.18</v>
      </c>
      <c r="AN55" s="28">
        <v>20.41</v>
      </c>
      <c r="AO55" s="22">
        <f t="shared" si="9"/>
        <v>6.509999999999998</v>
      </c>
      <c r="AP55" s="22">
        <v>125</v>
      </c>
      <c r="AQ55" s="50" t="s">
        <v>107</v>
      </c>
      <c r="AR55" s="57"/>
      <c r="AS55" s="29"/>
    </row>
    <row r="56" spans="1:45" ht="15.75" customHeight="1">
      <c r="A56" s="15">
        <v>45</v>
      </c>
      <c r="B56" s="15" t="s">
        <v>51</v>
      </c>
      <c r="C56" s="15" t="s">
        <v>50</v>
      </c>
      <c r="D56" s="15" t="s">
        <v>48</v>
      </c>
      <c r="E56" s="21">
        <v>19.43</v>
      </c>
      <c r="F56" s="21">
        <v>30.75</v>
      </c>
      <c r="G56" s="21">
        <v>0.28000000000000003</v>
      </c>
      <c r="H56" s="21">
        <v>21.26</v>
      </c>
      <c r="I56" s="15">
        <v>48.92</v>
      </c>
      <c r="J56" s="17">
        <v>6.0300000000000011</v>
      </c>
      <c r="K56" s="1"/>
      <c r="L56" s="17">
        <v>5.6125000000000043</v>
      </c>
      <c r="M56" s="17">
        <v>5.2799999999999914</v>
      </c>
      <c r="N56" s="17">
        <f t="shared" si="11"/>
        <v>5.4462499999999974</v>
      </c>
      <c r="O56" s="15">
        <v>50.74</v>
      </c>
      <c r="P56" s="1"/>
      <c r="Q56" s="17">
        <v>5.7650000000000006</v>
      </c>
      <c r="R56" s="17">
        <v>5.0000000000000098</v>
      </c>
      <c r="S56" s="17">
        <f t="shared" si="12"/>
        <v>5.3825000000000056</v>
      </c>
      <c r="T56" s="15">
        <v>52</v>
      </c>
      <c r="U56" s="1"/>
      <c r="V56" s="17">
        <v>10.197499999999998</v>
      </c>
      <c r="W56" s="17">
        <v>6.2166666666666686</v>
      </c>
      <c r="X56" s="17">
        <f t="shared" si="7"/>
        <v>8.2070833333333333</v>
      </c>
      <c r="Y56" s="15">
        <v>53.8</v>
      </c>
      <c r="Z56" s="1"/>
      <c r="AA56" s="17">
        <v>5.2474999999999952</v>
      </c>
      <c r="AB56" s="17">
        <v>5.9266666666666667</v>
      </c>
      <c r="AC56" s="17">
        <f t="shared" si="8"/>
        <v>5.5870833333333305</v>
      </c>
      <c r="AD56" s="15">
        <v>54.1</v>
      </c>
      <c r="AE56" s="1"/>
      <c r="AF56" s="48">
        <v>5.5100000000000051</v>
      </c>
      <c r="AG56" s="17">
        <v>6.9179999999999948</v>
      </c>
      <c r="AH56" s="17">
        <v>6.9179999999999948</v>
      </c>
      <c r="AI56" s="15">
        <v>55.4</v>
      </c>
      <c r="AJ56" s="1"/>
      <c r="AK56" s="21">
        <v>22.62</v>
      </c>
      <c r="AL56" s="21">
        <v>30.7</v>
      </c>
      <c r="AM56" s="21">
        <v>0.27</v>
      </c>
      <c r="AN56" s="21">
        <v>22.25</v>
      </c>
      <c r="AO56" s="15">
        <f t="shared" si="9"/>
        <v>6.4799999999999969</v>
      </c>
      <c r="AP56" s="15">
        <v>154</v>
      </c>
      <c r="AQ56" s="51" t="s">
        <v>108</v>
      </c>
      <c r="AR56" s="1">
        <f>((AK56/AI56)*100)</f>
        <v>40.830324909747297</v>
      </c>
      <c r="AS56" s="1"/>
    </row>
    <row r="57" spans="1:45" ht="15.75" customHeight="1">
      <c r="A57" s="22">
        <v>46</v>
      </c>
      <c r="B57" s="22" t="s">
        <v>51</v>
      </c>
      <c r="C57" s="22" t="s">
        <v>50</v>
      </c>
      <c r="D57" s="22" t="s">
        <v>49</v>
      </c>
      <c r="E57" s="28">
        <v>17.79</v>
      </c>
      <c r="F57" s="28">
        <v>27.37</v>
      </c>
      <c r="G57" s="28">
        <v>0.19</v>
      </c>
      <c r="H57" s="28">
        <v>18.96</v>
      </c>
      <c r="I57" s="22">
        <v>44.74</v>
      </c>
      <c r="J57" s="24">
        <v>8.1733333333333267</v>
      </c>
      <c r="K57" s="29"/>
      <c r="L57" s="24">
        <v>6.3099999999999952</v>
      </c>
      <c r="M57" s="24">
        <v>5.986666666666669</v>
      </c>
      <c r="N57" s="24">
        <f t="shared" si="11"/>
        <v>6.1483333333333317</v>
      </c>
      <c r="O57" s="22">
        <v>46.59</v>
      </c>
      <c r="P57" s="29"/>
      <c r="Q57" s="24">
        <v>5.7800000000000011</v>
      </c>
      <c r="R57" s="24">
        <v>5.2033333333333189</v>
      </c>
      <c r="S57" s="24">
        <f t="shared" si="12"/>
        <v>5.49166666666666</v>
      </c>
      <c r="T57" s="22">
        <v>49.3</v>
      </c>
      <c r="U57" s="29"/>
      <c r="V57" s="24">
        <v>4.9575000000000031</v>
      </c>
      <c r="W57" s="24">
        <v>6.0733333333333333</v>
      </c>
      <c r="X57" s="24">
        <f t="shared" si="7"/>
        <v>5.5154166666666686</v>
      </c>
      <c r="Y57" s="22">
        <v>49.2</v>
      </c>
      <c r="Z57" s="29"/>
      <c r="AA57" s="24">
        <v>5.4675000000000011</v>
      </c>
      <c r="AB57" s="24">
        <v>5.7399999999999993</v>
      </c>
      <c r="AC57" s="24">
        <f t="shared" si="8"/>
        <v>5.6037499999999998</v>
      </c>
      <c r="AD57" s="22">
        <v>49.6</v>
      </c>
      <c r="AE57" s="29"/>
      <c r="AF57" s="31">
        <v>7.2600000000000051</v>
      </c>
      <c r="AG57" s="24">
        <v>6.0059999999999949</v>
      </c>
      <c r="AH57" s="24">
        <v>6.0059999999999949</v>
      </c>
      <c r="AI57" s="22">
        <v>51</v>
      </c>
      <c r="AJ57" s="29"/>
      <c r="AK57" s="28">
        <v>20.37</v>
      </c>
      <c r="AL57" s="28">
        <v>28.77</v>
      </c>
      <c r="AM57" s="28">
        <v>0.24</v>
      </c>
      <c r="AN57" s="28">
        <v>19.98</v>
      </c>
      <c r="AO57" s="22">
        <f t="shared" si="9"/>
        <v>6.259999999999998</v>
      </c>
      <c r="AP57" s="22">
        <v>138</v>
      </c>
      <c r="AQ57" s="50" t="s">
        <v>109</v>
      </c>
      <c r="AR57" s="57"/>
      <c r="AS57" s="29"/>
    </row>
    <row r="58" spans="1:45" ht="15.75" customHeight="1">
      <c r="A58" s="59">
        <v>47</v>
      </c>
      <c r="B58" s="59" t="s">
        <v>51</v>
      </c>
      <c r="C58" s="59" t="s">
        <v>50</v>
      </c>
      <c r="D58" s="59" t="s">
        <v>49</v>
      </c>
      <c r="E58" s="60">
        <v>21.75</v>
      </c>
      <c r="F58" s="60">
        <v>30.03</v>
      </c>
      <c r="G58" s="60">
        <v>0.27</v>
      </c>
      <c r="H58" s="60">
        <v>21.03</v>
      </c>
      <c r="I58" s="59">
        <v>50.2</v>
      </c>
      <c r="J58" s="58">
        <v>8.5</v>
      </c>
      <c r="K58" s="61"/>
      <c r="L58" s="58">
        <v>7.6225000000000023</v>
      </c>
      <c r="M58" s="58">
        <v>6.6733333333333276</v>
      </c>
      <c r="N58" s="24">
        <f t="shared" si="11"/>
        <v>7.1479166666666654</v>
      </c>
      <c r="O58" s="59">
        <v>53.89</v>
      </c>
      <c r="P58" s="61"/>
      <c r="Q58" s="58">
        <v>7.1749999999999972</v>
      </c>
      <c r="R58" s="58">
        <v>6.4666666666666686</v>
      </c>
      <c r="S58" s="24">
        <f t="shared" si="12"/>
        <v>6.8208333333333329</v>
      </c>
      <c r="T58" s="59">
        <v>56.9</v>
      </c>
      <c r="U58" s="61"/>
      <c r="V58" s="58">
        <v>13.660000000000004</v>
      </c>
      <c r="W58" s="58">
        <v>7.3233333333333421</v>
      </c>
      <c r="X58" s="24">
        <f t="shared" si="7"/>
        <v>10.491666666666672</v>
      </c>
      <c r="Y58" s="59">
        <v>58.9</v>
      </c>
      <c r="Z58" s="61"/>
      <c r="AA58" s="58">
        <v>6.8774999999999977</v>
      </c>
      <c r="AB58" s="58">
        <v>6.6599999999999966</v>
      </c>
      <c r="AC58" s="24">
        <f t="shared" si="8"/>
        <v>6.7687499999999972</v>
      </c>
      <c r="AD58" s="59">
        <v>60.5</v>
      </c>
      <c r="AE58" s="61"/>
      <c r="AF58" s="31">
        <v>7.1750000000000114</v>
      </c>
      <c r="AG58" s="58">
        <v>6.7919999999999963</v>
      </c>
      <c r="AH58" s="58">
        <v>6.7919999999999963</v>
      </c>
      <c r="AI58" s="59">
        <v>60.4</v>
      </c>
      <c r="AJ58" s="61"/>
      <c r="AK58" s="28">
        <v>28.85</v>
      </c>
      <c r="AL58" s="28">
        <v>31.01</v>
      </c>
      <c r="AM58" s="28">
        <v>0.41</v>
      </c>
      <c r="AN58" s="28">
        <v>21.08</v>
      </c>
      <c r="AO58" s="22">
        <f t="shared" si="9"/>
        <v>10.199999999999996</v>
      </c>
      <c r="AP58" s="59">
        <v>131</v>
      </c>
      <c r="AQ58" s="50">
        <v>125</v>
      </c>
      <c r="AR58" s="57"/>
      <c r="AS58" s="61"/>
    </row>
    <row r="59" spans="1:45" ht="15.75" customHeight="1">
      <c r="A59" s="62">
        <v>48</v>
      </c>
      <c r="B59" s="62" t="s">
        <v>51</v>
      </c>
      <c r="C59" s="62" t="s">
        <v>50</v>
      </c>
      <c r="D59" s="62" t="s">
        <v>48</v>
      </c>
      <c r="E59" s="63">
        <v>16.77</v>
      </c>
      <c r="F59" s="63">
        <v>25.17</v>
      </c>
      <c r="G59" s="63">
        <v>0.26</v>
      </c>
      <c r="H59" s="63">
        <v>18.440000000000001</v>
      </c>
      <c r="I59" s="62">
        <v>43</v>
      </c>
      <c r="J59" s="64">
        <v>5.7733333333333308</v>
      </c>
      <c r="K59" s="65"/>
      <c r="L59" s="64">
        <v>4.5625</v>
      </c>
      <c r="M59" s="64">
        <v>4.803333333333323</v>
      </c>
      <c r="N59" s="17">
        <f t="shared" si="11"/>
        <v>4.682916666666662</v>
      </c>
      <c r="O59" s="62">
        <v>43.41</v>
      </c>
      <c r="P59" s="65"/>
      <c r="Q59" s="64">
        <v>4.9200000000000017</v>
      </c>
      <c r="R59" s="64">
        <v>3.7633333333333403</v>
      </c>
      <c r="S59" s="17">
        <f t="shared" si="12"/>
        <v>4.3416666666666712</v>
      </c>
      <c r="T59" s="62">
        <v>43.5</v>
      </c>
      <c r="U59" s="65"/>
      <c r="V59" s="64">
        <v>6.625</v>
      </c>
      <c r="W59" s="64">
        <v>5.6366666666666747</v>
      </c>
      <c r="X59" s="17">
        <f t="shared" si="7"/>
        <v>6.1308333333333369</v>
      </c>
      <c r="Y59" s="62">
        <v>44</v>
      </c>
      <c r="Z59" s="65"/>
      <c r="AA59" s="64">
        <v>4.7049999999999983</v>
      </c>
      <c r="AB59" s="64">
        <v>5.1033333333333344</v>
      </c>
      <c r="AC59" s="17">
        <f t="shared" si="8"/>
        <v>4.9041666666666668</v>
      </c>
      <c r="AD59" s="62">
        <v>44.8</v>
      </c>
      <c r="AE59" s="65"/>
      <c r="AF59" s="56">
        <v>4.7099999999999937</v>
      </c>
      <c r="AG59" s="64">
        <v>5.6440000000000055</v>
      </c>
      <c r="AH59" s="64">
        <v>5.6440000000000055</v>
      </c>
      <c r="AI59" s="62">
        <v>46.4</v>
      </c>
      <c r="AJ59" s="65"/>
      <c r="AK59" s="21">
        <v>18.09</v>
      </c>
      <c r="AL59" s="21">
        <v>26.78</v>
      </c>
      <c r="AM59" s="21">
        <v>0.26</v>
      </c>
      <c r="AN59" s="21">
        <v>18.86</v>
      </c>
      <c r="AO59" s="15">
        <f t="shared" si="9"/>
        <v>3.3999999999999986</v>
      </c>
      <c r="AP59" s="62">
        <v>116</v>
      </c>
      <c r="AQ59" s="51" t="s">
        <v>110</v>
      </c>
      <c r="AR59" s="1">
        <f>((AK59/AI59)*100)</f>
        <v>38.987068965517238</v>
      </c>
      <c r="AS59" s="65"/>
    </row>
    <row r="60" spans="1:4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66" t="s">
        <v>111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67" t="s">
        <v>112</v>
      </c>
      <c r="AG60" s="1" t="s">
        <v>113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5.75" customHeight="1">
      <c r="A61" s="68" t="s">
        <v>59</v>
      </c>
      <c r="B61" s="68" t="s">
        <v>0</v>
      </c>
      <c r="C61" s="68" t="s">
        <v>1</v>
      </c>
      <c r="D61" s="68" t="s">
        <v>2</v>
      </c>
      <c r="E61" s="236" t="s">
        <v>3</v>
      </c>
      <c r="F61" s="229"/>
      <c r="G61" s="229"/>
      <c r="H61" s="229"/>
      <c r="I61" s="229"/>
      <c r="J61" s="229"/>
      <c r="K61" s="230"/>
      <c r="L61" s="237" t="s">
        <v>4</v>
      </c>
      <c r="M61" s="229"/>
      <c r="N61" s="229"/>
      <c r="O61" s="230"/>
      <c r="P61" s="1"/>
      <c r="Q61" s="242" t="s">
        <v>5</v>
      </c>
      <c r="R61" s="229"/>
      <c r="S61" s="229"/>
      <c r="T61" s="230"/>
      <c r="U61" s="1"/>
      <c r="V61" s="238" t="s">
        <v>6</v>
      </c>
      <c r="W61" s="229"/>
      <c r="X61" s="229"/>
      <c r="Y61" s="230"/>
      <c r="Z61" s="1"/>
      <c r="AA61" s="239" t="s">
        <v>60</v>
      </c>
      <c r="AB61" s="229"/>
      <c r="AC61" s="229"/>
      <c r="AD61" s="230"/>
      <c r="AE61" s="1"/>
      <c r="AF61" s="240" t="s">
        <v>61</v>
      </c>
      <c r="AG61" s="229"/>
      <c r="AH61" s="229"/>
      <c r="AI61" s="230"/>
      <c r="AJ61" s="1"/>
      <c r="AK61" s="241" t="s">
        <v>9</v>
      </c>
      <c r="AL61" s="229"/>
      <c r="AM61" s="229"/>
      <c r="AN61" s="229"/>
      <c r="AO61" s="229"/>
      <c r="AP61" s="229"/>
      <c r="AQ61" s="230"/>
      <c r="AR61" s="1"/>
      <c r="AS61" s="1"/>
    </row>
    <row r="62" spans="1:45" ht="15.75" customHeight="1">
      <c r="A62" s="69" t="s">
        <v>114</v>
      </c>
      <c r="B62" s="69" t="s">
        <v>0</v>
      </c>
      <c r="C62" s="69" t="s">
        <v>1</v>
      </c>
      <c r="D62" s="69" t="s">
        <v>2</v>
      </c>
      <c r="E62" s="2" t="s">
        <v>115</v>
      </c>
      <c r="F62" s="2" t="s">
        <v>116</v>
      </c>
      <c r="G62" s="2" t="s">
        <v>117</v>
      </c>
      <c r="H62" s="2" t="s">
        <v>118</v>
      </c>
      <c r="I62" s="2" t="s">
        <v>119</v>
      </c>
      <c r="J62" s="2" t="s">
        <v>120</v>
      </c>
      <c r="L62" s="70" t="s">
        <v>121</v>
      </c>
      <c r="M62" s="70" t="s">
        <v>122</v>
      </c>
      <c r="N62" s="71" t="s">
        <v>23</v>
      </c>
      <c r="O62" s="71" t="s">
        <v>123</v>
      </c>
      <c r="P62" s="72"/>
      <c r="Q62" s="73" t="s">
        <v>124</v>
      </c>
      <c r="R62" s="73" t="s">
        <v>125</v>
      </c>
      <c r="S62" s="74" t="s">
        <v>27</v>
      </c>
      <c r="T62" s="74" t="s">
        <v>126</v>
      </c>
      <c r="U62" s="72"/>
      <c r="V62" s="75" t="s">
        <v>127</v>
      </c>
      <c r="W62" s="75" t="s">
        <v>128</v>
      </c>
      <c r="X62" s="76" t="s">
        <v>76</v>
      </c>
      <c r="Y62" s="76" t="s">
        <v>129</v>
      </c>
      <c r="Z62" s="72"/>
      <c r="AA62" s="77" t="s">
        <v>130</v>
      </c>
      <c r="AB62" s="77" t="s">
        <v>131</v>
      </c>
      <c r="AC62" s="78" t="s">
        <v>35</v>
      </c>
      <c r="AD62" s="78" t="s">
        <v>132</v>
      </c>
      <c r="AE62" s="72"/>
      <c r="AF62" s="79" t="s">
        <v>133</v>
      </c>
      <c r="AG62" s="79" t="s">
        <v>134</v>
      </c>
      <c r="AH62" s="80" t="s">
        <v>83</v>
      </c>
      <c r="AI62" s="80" t="s">
        <v>135</v>
      </c>
      <c r="AJ62" s="72"/>
      <c r="AK62" s="46" t="s">
        <v>136</v>
      </c>
      <c r="AL62" s="46" t="s">
        <v>137</v>
      </c>
      <c r="AM62" s="46" t="s">
        <v>138</v>
      </c>
      <c r="AN62" s="46" t="s">
        <v>139</v>
      </c>
      <c r="AO62" s="46" t="s">
        <v>43</v>
      </c>
      <c r="AP62" s="46" t="s">
        <v>44</v>
      </c>
      <c r="AQ62" s="45" t="s">
        <v>140</v>
      </c>
      <c r="AR62" s="81"/>
      <c r="AS62" s="81"/>
    </row>
    <row r="63" spans="1:45" ht="15.75" customHeight="1" outlineLevel="1">
      <c r="A63" s="82">
        <v>49</v>
      </c>
      <c r="B63" s="82" t="s">
        <v>46</v>
      </c>
      <c r="C63" s="82" t="s">
        <v>50</v>
      </c>
      <c r="D63" s="82"/>
      <c r="E63" s="83">
        <v>1.19</v>
      </c>
      <c r="F63" s="83">
        <v>19.489999999999998</v>
      </c>
      <c r="G63" s="83">
        <v>0.06</v>
      </c>
      <c r="H63" s="83">
        <v>14.8</v>
      </c>
      <c r="I63" s="84">
        <v>21</v>
      </c>
      <c r="J63" s="84">
        <v>6.3500000000000041</v>
      </c>
      <c r="K63" s="84"/>
      <c r="L63" s="85">
        <v>4.2374999999999972</v>
      </c>
      <c r="M63" s="86">
        <v>3.605000000000004</v>
      </c>
      <c r="N63" s="85">
        <f t="shared" ref="N63:N85" si="13">AVERAGE(L63:M63)</f>
        <v>3.9212500000000006</v>
      </c>
      <c r="O63" s="87">
        <v>21.8</v>
      </c>
      <c r="P63" s="85"/>
      <c r="Q63" s="85">
        <v>4.1450000000000031</v>
      </c>
      <c r="R63" s="82">
        <v>4.3066666666666622</v>
      </c>
      <c r="S63" s="85">
        <f t="shared" ref="S63:S85" si="14">AVERAGE(Q63:R63)</f>
        <v>4.2258333333333322</v>
      </c>
      <c r="T63" s="86">
        <v>21.9</v>
      </c>
      <c r="U63" s="82"/>
      <c r="V63" s="86">
        <f t="shared" ref="V63:V85" si="15">((T63-U63)/4)</f>
        <v>5.4749999999999996</v>
      </c>
      <c r="W63" s="85">
        <v>4.1966666666666681</v>
      </c>
      <c r="X63" s="88">
        <f t="shared" ref="X63:X85" si="16">AVERAGE(V63:W63)</f>
        <v>4.8358333333333334</v>
      </c>
      <c r="Y63" s="85">
        <v>22.8</v>
      </c>
      <c r="Z63" s="82"/>
      <c r="AA63" s="85"/>
      <c r="AB63" s="85"/>
      <c r="AC63" s="82">
        <v>3.67</v>
      </c>
      <c r="AD63" s="82">
        <v>22.8</v>
      </c>
      <c r="AE63" s="82"/>
      <c r="AF63" s="82"/>
      <c r="AG63" s="89"/>
      <c r="AH63" s="89">
        <v>1</v>
      </c>
      <c r="AI63" s="89">
        <v>22.9</v>
      </c>
      <c r="AJ63" s="89"/>
      <c r="AK63" s="82"/>
      <c r="AL63" s="82"/>
      <c r="AM63" s="82"/>
      <c r="AN63" s="82"/>
      <c r="AO63" s="82">
        <f t="shared" ref="AO63:AO85" si="17">(AI63-I63)</f>
        <v>1.8999999999999986</v>
      </c>
      <c r="AP63" s="82"/>
      <c r="AQ63" s="82"/>
      <c r="AR63" s="90"/>
      <c r="AS63" s="90"/>
    </row>
    <row r="64" spans="1:45" ht="15.75" customHeight="1" outlineLevel="1">
      <c r="A64" s="15">
        <v>50</v>
      </c>
      <c r="B64" s="15" t="s">
        <v>46</v>
      </c>
      <c r="C64" s="15" t="s">
        <v>50</v>
      </c>
      <c r="D64" s="52"/>
      <c r="E64" s="91">
        <v>1.41</v>
      </c>
      <c r="F64" s="91">
        <v>20.88</v>
      </c>
      <c r="G64" s="91">
        <v>0.1</v>
      </c>
      <c r="H64" s="91">
        <v>15.46</v>
      </c>
      <c r="I64" s="92">
        <v>22.6</v>
      </c>
      <c r="J64" s="92">
        <v>6.56</v>
      </c>
      <c r="K64" s="92"/>
      <c r="L64" s="54">
        <v>7.772500000000008</v>
      </c>
      <c r="M64" s="93">
        <v>4.2749999999999986</v>
      </c>
      <c r="N64" s="94">
        <f t="shared" si="13"/>
        <v>6.0237500000000033</v>
      </c>
      <c r="O64" s="95">
        <v>21.8</v>
      </c>
      <c r="P64" s="54"/>
      <c r="Q64" s="54">
        <v>5.0775000000000006</v>
      </c>
      <c r="R64" s="52">
        <v>5.2333333333333298</v>
      </c>
      <c r="S64" s="17">
        <f t="shared" si="14"/>
        <v>5.1554166666666656</v>
      </c>
      <c r="T64" s="93">
        <v>22</v>
      </c>
      <c r="U64" s="52"/>
      <c r="V64" s="18">
        <f t="shared" si="15"/>
        <v>5.5</v>
      </c>
      <c r="W64" s="54">
        <v>4.6266666666666652</v>
      </c>
      <c r="X64" s="96">
        <f t="shared" si="16"/>
        <v>5.0633333333333326</v>
      </c>
      <c r="Y64" s="54">
        <v>22.4</v>
      </c>
      <c r="Z64" s="52"/>
      <c r="AA64" s="54"/>
      <c r="AB64" s="54"/>
      <c r="AC64" s="52">
        <v>3.7</v>
      </c>
      <c r="AD64" s="52">
        <v>22.4</v>
      </c>
      <c r="AE64" s="52"/>
      <c r="AF64" s="52"/>
      <c r="AG64" s="53"/>
      <c r="AH64" s="53"/>
      <c r="AI64" s="53">
        <v>23.5</v>
      </c>
      <c r="AJ64" s="53"/>
      <c r="AK64" s="52"/>
      <c r="AL64" s="52"/>
      <c r="AM64" s="52"/>
      <c r="AN64" s="52"/>
      <c r="AO64" s="15">
        <f t="shared" si="17"/>
        <v>0.89999999999999858</v>
      </c>
      <c r="AP64" s="52"/>
      <c r="AQ64" s="52"/>
      <c r="AR64" s="1"/>
      <c r="AS64" s="1"/>
    </row>
    <row r="65" spans="1:45" ht="15.75" customHeight="1" outlineLevel="1">
      <c r="A65" s="15">
        <v>51</v>
      </c>
      <c r="B65" s="15" t="s">
        <v>46</v>
      </c>
      <c r="C65" s="15" t="s">
        <v>50</v>
      </c>
      <c r="D65" s="52"/>
      <c r="E65" s="91">
        <v>1.58</v>
      </c>
      <c r="F65" s="91">
        <v>20.010000000000002</v>
      </c>
      <c r="G65" s="91">
        <v>0.08</v>
      </c>
      <c r="H65" s="91">
        <v>14.31</v>
      </c>
      <c r="I65" s="92">
        <v>20.8</v>
      </c>
      <c r="J65" s="92">
        <v>11.2</v>
      </c>
      <c r="K65" s="92"/>
      <c r="L65" s="54">
        <v>7.3524999999999991</v>
      </c>
      <c r="M65" s="93">
        <v>3.8725000000000023</v>
      </c>
      <c r="N65" s="94">
        <f t="shared" si="13"/>
        <v>5.6125000000000007</v>
      </c>
      <c r="O65" s="95">
        <v>21.3</v>
      </c>
      <c r="P65" s="54"/>
      <c r="Q65" s="54">
        <v>4.4074999999999989</v>
      </c>
      <c r="R65" s="52">
        <v>3.1933333333333374</v>
      </c>
      <c r="S65" s="17">
        <f t="shared" si="14"/>
        <v>3.8004166666666679</v>
      </c>
      <c r="T65" s="93">
        <v>22.2</v>
      </c>
      <c r="U65" s="52"/>
      <c r="V65" s="18">
        <f t="shared" si="15"/>
        <v>5.55</v>
      </c>
      <c r="W65" s="54">
        <v>7.0666666666666629</v>
      </c>
      <c r="X65" s="96">
        <f t="shared" si="16"/>
        <v>6.3083333333333318</v>
      </c>
      <c r="Y65" s="54">
        <v>22.3</v>
      </c>
      <c r="Z65" s="52"/>
      <c r="AA65" s="54"/>
      <c r="AB65" s="54"/>
      <c r="AC65" s="52">
        <v>2.96</v>
      </c>
      <c r="AD65" s="52">
        <v>22.5</v>
      </c>
      <c r="AE65" s="52"/>
      <c r="AF65" s="52"/>
      <c r="AG65" s="53"/>
      <c r="AH65" s="53"/>
      <c r="AI65" s="53">
        <v>23</v>
      </c>
      <c r="AJ65" s="53"/>
      <c r="AK65" s="52"/>
      <c r="AL65" s="52"/>
      <c r="AM65" s="52"/>
      <c r="AN65" s="52"/>
      <c r="AO65" s="15">
        <f t="shared" si="17"/>
        <v>2.1999999999999993</v>
      </c>
      <c r="AP65" s="52"/>
      <c r="AQ65" s="52"/>
      <c r="AR65" s="1"/>
      <c r="AS65" s="1"/>
    </row>
    <row r="66" spans="1:45" ht="15.75" customHeight="1" outlineLevel="1">
      <c r="A66" s="15">
        <v>52</v>
      </c>
      <c r="B66" s="15" t="s">
        <v>46</v>
      </c>
      <c r="C66" s="15" t="s">
        <v>50</v>
      </c>
      <c r="D66" s="52"/>
      <c r="E66" s="91">
        <v>1.43</v>
      </c>
      <c r="F66" s="91">
        <v>19.25</v>
      </c>
      <c r="G66" s="91">
        <v>7.0000000000000007E-2</v>
      </c>
      <c r="H66" s="91">
        <v>15.18</v>
      </c>
      <c r="I66" s="92">
        <v>21.5</v>
      </c>
      <c r="J66" s="92">
        <v>11.23</v>
      </c>
      <c r="K66" s="92"/>
      <c r="L66" s="54">
        <v>4.6850000000000023</v>
      </c>
      <c r="M66" s="93">
        <v>2.5875000000000057</v>
      </c>
      <c r="N66" s="94">
        <f t="shared" si="13"/>
        <v>3.636250000000004</v>
      </c>
      <c r="O66" s="95">
        <v>20.8</v>
      </c>
      <c r="P66" s="54"/>
      <c r="Q66" s="54">
        <v>2.9675000000000011</v>
      </c>
      <c r="R66" s="52">
        <v>4.5633333333333326</v>
      </c>
      <c r="S66" s="17">
        <f t="shared" si="14"/>
        <v>3.7654166666666669</v>
      </c>
      <c r="T66" s="93">
        <v>20.7</v>
      </c>
      <c r="U66" s="52"/>
      <c r="V66" s="18">
        <f t="shared" si="15"/>
        <v>5.1749999999999998</v>
      </c>
      <c r="W66" s="54">
        <v>4.7733333333333308</v>
      </c>
      <c r="X66" s="96">
        <f t="shared" si="16"/>
        <v>4.9741666666666653</v>
      </c>
      <c r="Y66" s="54">
        <v>21.1</v>
      </c>
      <c r="Z66" s="52"/>
      <c r="AA66" s="54"/>
      <c r="AB66" s="54"/>
      <c r="AC66" s="52">
        <v>3.1</v>
      </c>
      <c r="AD66" s="52">
        <v>21.2</v>
      </c>
      <c r="AE66" s="52"/>
      <c r="AF66" s="52"/>
      <c r="AG66" s="53"/>
      <c r="AH66" s="53"/>
      <c r="AI66" s="53">
        <v>21.8</v>
      </c>
      <c r="AJ66" s="53"/>
      <c r="AK66" s="52"/>
      <c r="AL66" s="52"/>
      <c r="AM66" s="52"/>
      <c r="AN66" s="52"/>
      <c r="AO66" s="15">
        <f t="shared" si="17"/>
        <v>0.30000000000000071</v>
      </c>
      <c r="AP66" s="52"/>
      <c r="AQ66" s="52"/>
      <c r="AR66" s="1"/>
      <c r="AS66" s="1"/>
    </row>
    <row r="67" spans="1:45" ht="15.75" customHeight="1" outlineLevel="1">
      <c r="A67" s="15">
        <v>53</v>
      </c>
      <c r="B67" s="15" t="s">
        <v>46</v>
      </c>
      <c r="C67" s="15" t="s">
        <v>50</v>
      </c>
      <c r="D67" s="52"/>
      <c r="E67" s="91">
        <v>1.56</v>
      </c>
      <c r="F67" s="91">
        <v>20.04</v>
      </c>
      <c r="G67" s="91">
        <v>0.05</v>
      </c>
      <c r="H67" s="91">
        <v>15.45</v>
      </c>
      <c r="I67" s="92">
        <v>22.5</v>
      </c>
      <c r="J67" s="92">
        <v>6.4500000000000073</v>
      </c>
      <c r="K67" s="92"/>
      <c r="L67" s="54">
        <v>6.6850000000000023</v>
      </c>
      <c r="M67" s="93">
        <v>-3.5075000000000074</v>
      </c>
      <c r="N67" s="94">
        <f t="shared" si="13"/>
        <v>1.5887499999999974</v>
      </c>
      <c r="O67" s="95">
        <v>22.6</v>
      </c>
      <c r="P67" s="54"/>
      <c r="Q67" s="54">
        <v>2.897500000000008</v>
      </c>
      <c r="R67" s="52">
        <v>4.3533333333333344</v>
      </c>
      <c r="S67" s="17">
        <f t="shared" si="14"/>
        <v>3.6254166666666712</v>
      </c>
      <c r="T67" s="93">
        <v>23.6</v>
      </c>
      <c r="U67" s="52"/>
      <c r="V67" s="18">
        <f t="shared" si="15"/>
        <v>5.9</v>
      </c>
      <c r="W67" s="54">
        <v>4.0266666666666611</v>
      </c>
      <c r="X67" s="96">
        <f t="shared" si="16"/>
        <v>4.9633333333333312</v>
      </c>
      <c r="Y67" s="54">
        <v>23.5</v>
      </c>
      <c r="Z67" s="52"/>
      <c r="AA67" s="54"/>
      <c r="AB67" s="54"/>
      <c r="AC67" s="52">
        <v>3.8</v>
      </c>
      <c r="AD67" s="52">
        <v>24</v>
      </c>
      <c r="AE67" s="52"/>
      <c r="AF67" s="52"/>
      <c r="AG67" s="53"/>
      <c r="AH67" s="53"/>
      <c r="AI67" s="53">
        <v>24.3</v>
      </c>
      <c r="AJ67" s="53"/>
      <c r="AK67" s="52"/>
      <c r="AL67" s="52"/>
      <c r="AM67" s="52"/>
      <c r="AN67" s="52"/>
      <c r="AO67" s="15">
        <f t="shared" si="17"/>
        <v>1.8000000000000007</v>
      </c>
      <c r="AP67" s="52"/>
      <c r="AQ67" s="52"/>
      <c r="AR67" s="1"/>
      <c r="AS67" s="1"/>
    </row>
    <row r="68" spans="1:45" ht="15.75" customHeight="1" outlineLevel="1">
      <c r="A68" s="82">
        <v>54</v>
      </c>
      <c r="B68" s="82" t="s">
        <v>46</v>
      </c>
      <c r="C68" s="82" t="s">
        <v>50</v>
      </c>
      <c r="D68" s="82"/>
      <c r="E68" s="83">
        <v>1.32</v>
      </c>
      <c r="F68" s="83">
        <v>20.93</v>
      </c>
      <c r="G68" s="83">
        <v>0.13</v>
      </c>
      <c r="H68" s="83">
        <v>15.04</v>
      </c>
      <c r="I68" s="84">
        <v>22.4</v>
      </c>
      <c r="J68" s="84">
        <v>5.84</v>
      </c>
      <c r="K68" s="84"/>
      <c r="L68" s="85">
        <v>3.6099999999999994</v>
      </c>
      <c r="M68" s="86">
        <v>3.0250000000000057</v>
      </c>
      <c r="N68" s="85">
        <f t="shared" si="13"/>
        <v>3.3175000000000026</v>
      </c>
      <c r="O68" s="87">
        <v>22.4</v>
      </c>
      <c r="P68" s="85"/>
      <c r="Q68" s="85">
        <v>3.1974999999999909</v>
      </c>
      <c r="R68" s="82">
        <v>3.6900000000000071</v>
      </c>
      <c r="S68" s="85">
        <f t="shared" si="14"/>
        <v>3.4437499999999988</v>
      </c>
      <c r="T68" s="86">
        <v>22.2</v>
      </c>
      <c r="U68" s="82"/>
      <c r="V68" s="86">
        <f t="shared" si="15"/>
        <v>5.55</v>
      </c>
      <c r="W68" s="85">
        <v>3.8300000000000032</v>
      </c>
      <c r="X68" s="88">
        <f t="shared" si="16"/>
        <v>4.6900000000000013</v>
      </c>
      <c r="Y68" s="85">
        <v>23</v>
      </c>
      <c r="Z68" s="82"/>
      <c r="AA68" s="85"/>
      <c r="AB68" s="85"/>
      <c r="AC68" s="82">
        <v>3.62</v>
      </c>
      <c r="AD68" s="82">
        <v>23</v>
      </c>
      <c r="AE68" s="82"/>
      <c r="AF68" s="82"/>
      <c r="AG68" s="89"/>
      <c r="AH68" s="89"/>
      <c r="AI68" s="89">
        <v>23.7</v>
      </c>
      <c r="AJ68" s="89"/>
      <c r="AK68" s="82"/>
      <c r="AL68" s="82"/>
      <c r="AM68" s="82"/>
      <c r="AN68" s="82"/>
      <c r="AO68" s="82">
        <f t="shared" si="17"/>
        <v>1.3000000000000007</v>
      </c>
      <c r="AP68" s="82"/>
      <c r="AQ68" s="82"/>
      <c r="AR68" s="90"/>
      <c r="AS68" s="90"/>
    </row>
    <row r="69" spans="1:45" ht="15.75" customHeight="1" outlineLevel="1">
      <c r="A69" s="82">
        <v>55</v>
      </c>
      <c r="B69" s="82" t="s">
        <v>46</v>
      </c>
      <c r="C69" s="82" t="s">
        <v>50</v>
      </c>
      <c r="D69" s="82"/>
      <c r="E69" s="83">
        <v>0.96</v>
      </c>
      <c r="F69" s="83">
        <v>20.77</v>
      </c>
      <c r="G69" s="83">
        <v>0.08</v>
      </c>
      <c r="H69" s="83">
        <v>15.97</v>
      </c>
      <c r="I69" s="84">
        <v>22.8</v>
      </c>
      <c r="J69" s="84">
        <v>12.380000000000015</v>
      </c>
      <c r="K69" s="84"/>
      <c r="L69" s="85">
        <v>7.2249999999999943</v>
      </c>
      <c r="M69" s="86">
        <v>7.2950000000000017</v>
      </c>
      <c r="N69" s="85">
        <f t="shared" si="13"/>
        <v>7.259999999999998</v>
      </c>
      <c r="O69" s="87">
        <v>23</v>
      </c>
      <c r="P69" s="85"/>
      <c r="Q69" s="85">
        <v>3.6700000000000017</v>
      </c>
      <c r="R69" s="82">
        <v>8.4766666666666595</v>
      </c>
      <c r="S69" s="85">
        <f t="shared" si="14"/>
        <v>6.0733333333333306</v>
      </c>
      <c r="T69" s="86">
        <v>19.3</v>
      </c>
      <c r="U69" s="82"/>
      <c r="V69" s="86">
        <f t="shared" si="15"/>
        <v>4.8250000000000002</v>
      </c>
      <c r="W69" s="85">
        <v>4.173333333333332</v>
      </c>
      <c r="X69" s="88">
        <f t="shared" si="16"/>
        <v>4.4991666666666656</v>
      </c>
      <c r="Y69" s="85">
        <v>23.3</v>
      </c>
      <c r="Z69" s="82"/>
      <c r="AA69" s="85"/>
      <c r="AB69" s="85"/>
      <c r="AC69" s="82">
        <v>4.29</v>
      </c>
      <c r="AD69" s="82">
        <v>23.4</v>
      </c>
      <c r="AE69" s="82"/>
      <c r="AF69" s="82"/>
      <c r="AG69" s="89"/>
      <c r="AH69" s="89"/>
      <c r="AI69" s="89">
        <v>23.6</v>
      </c>
      <c r="AJ69" s="89"/>
      <c r="AK69" s="82"/>
      <c r="AL69" s="82"/>
      <c r="AM69" s="82"/>
      <c r="AN69" s="82"/>
      <c r="AO69" s="82">
        <f t="shared" si="17"/>
        <v>0.80000000000000071</v>
      </c>
      <c r="AP69" s="82"/>
      <c r="AQ69" s="82"/>
      <c r="AR69" s="90"/>
      <c r="AS69" s="90"/>
    </row>
    <row r="70" spans="1:45" ht="15.75" customHeight="1" outlineLevel="1">
      <c r="A70" s="15">
        <v>56</v>
      </c>
      <c r="B70" s="15" t="s">
        <v>46</v>
      </c>
      <c r="C70" s="15" t="s">
        <v>50</v>
      </c>
      <c r="D70" s="52"/>
      <c r="E70" s="91">
        <v>1.63</v>
      </c>
      <c r="F70" s="91">
        <v>20.21</v>
      </c>
      <c r="G70" s="91">
        <v>7.0000000000000007E-2</v>
      </c>
      <c r="H70" s="91">
        <v>15.11</v>
      </c>
      <c r="I70" s="92">
        <v>22</v>
      </c>
      <c r="J70" s="92">
        <v>15</v>
      </c>
      <c r="K70" s="92"/>
      <c r="L70" s="54">
        <v>7.4699999999999989</v>
      </c>
      <c r="M70" s="93">
        <v>4.6999999999999957</v>
      </c>
      <c r="N70" s="94">
        <f t="shared" si="13"/>
        <v>6.0849999999999973</v>
      </c>
      <c r="O70" s="95">
        <v>22.7</v>
      </c>
      <c r="P70" s="54"/>
      <c r="Q70" s="54">
        <v>4.4874999999999972</v>
      </c>
      <c r="R70" s="52">
        <v>4.0900000000000034</v>
      </c>
      <c r="S70" s="17">
        <f t="shared" si="14"/>
        <v>4.2887500000000003</v>
      </c>
      <c r="T70" s="93">
        <v>22.4</v>
      </c>
      <c r="U70" s="52"/>
      <c r="V70" s="18">
        <f t="shared" si="15"/>
        <v>5.6</v>
      </c>
      <c r="W70" s="54">
        <v>3.296666666666662</v>
      </c>
      <c r="X70" s="96">
        <f t="shared" si="16"/>
        <v>4.4483333333333306</v>
      </c>
      <c r="Y70" s="54">
        <v>23.3</v>
      </c>
      <c r="Z70" s="52"/>
      <c r="AA70" s="54"/>
      <c r="AB70" s="54"/>
      <c r="AC70" s="52">
        <v>3.3200000000000012</v>
      </c>
      <c r="AD70" s="52">
        <v>23</v>
      </c>
      <c r="AE70" s="52"/>
      <c r="AF70" s="52"/>
      <c r="AG70" s="53"/>
      <c r="AH70" s="53"/>
      <c r="AI70" s="53">
        <v>23</v>
      </c>
      <c r="AJ70" s="53"/>
      <c r="AK70" s="52"/>
      <c r="AL70" s="52"/>
      <c r="AM70" s="52"/>
      <c r="AN70" s="52"/>
      <c r="AO70" s="15">
        <f t="shared" si="17"/>
        <v>1</v>
      </c>
      <c r="AP70" s="52"/>
      <c r="AQ70" s="52"/>
      <c r="AR70" s="1"/>
      <c r="AS70" s="1"/>
    </row>
    <row r="71" spans="1:45" ht="15.75" customHeight="1" outlineLevel="1">
      <c r="A71" s="15">
        <v>57</v>
      </c>
      <c r="B71" s="15" t="s">
        <v>46</v>
      </c>
      <c r="C71" s="15" t="s">
        <v>50</v>
      </c>
      <c r="D71" s="52"/>
      <c r="E71" s="91">
        <v>0.86</v>
      </c>
      <c r="F71" s="91">
        <v>19.62</v>
      </c>
      <c r="G71" s="91">
        <v>0.09</v>
      </c>
      <c r="H71" s="91">
        <v>14.23</v>
      </c>
      <c r="I71" s="92">
        <v>20.5</v>
      </c>
      <c r="J71" s="92">
        <v>6.21</v>
      </c>
      <c r="K71" s="92"/>
      <c r="L71" s="54">
        <v>6.6950000000000003</v>
      </c>
      <c r="M71" s="93">
        <v>3.6574999999999989</v>
      </c>
      <c r="N71" s="94">
        <f t="shared" si="13"/>
        <v>5.1762499999999996</v>
      </c>
      <c r="O71" s="95">
        <v>20.8</v>
      </c>
      <c r="P71" s="54"/>
      <c r="Q71" s="54">
        <v>3.7800000000000011</v>
      </c>
      <c r="R71" s="52">
        <v>3.8300000000000032</v>
      </c>
      <c r="S71" s="17">
        <f t="shared" si="14"/>
        <v>3.8050000000000024</v>
      </c>
      <c r="T71" s="93">
        <v>21.2</v>
      </c>
      <c r="U71" s="52"/>
      <c r="V71" s="18">
        <f t="shared" si="15"/>
        <v>5.3</v>
      </c>
      <c r="W71" s="54">
        <v>3.5333333333333408</v>
      </c>
      <c r="X71" s="96">
        <f t="shared" si="16"/>
        <v>4.4166666666666705</v>
      </c>
      <c r="Y71" s="54">
        <v>21.6</v>
      </c>
      <c r="Z71" s="52"/>
      <c r="AA71" s="54"/>
      <c r="AB71" s="54"/>
      <c r="AC71" s="52">
        <v>3.78</v>
      </c>
      <c r="AD71" s="52">
        <v>21.4</v>
      </c>
      <c r="AE71" s="52"/>
      <c r="AF71" s="52"/>
      <c r="AG71" s="53"/>
      <c r="AH71" s="53"/>
      <c r="AI71" s="53">
        <v>22.3</v>
      </c>
      <c r="AJ71" s="53"/>
      <c r="AK71" s="52"/>
      <c r="AL71" s="52"/>
      <c r="AM71" s="52"/>
      <c r="AN71" s="52"/>
      <c r="AO71" s="15">
        <f t="shared" si="17"/>
        <v>1.8000000000000007</v>
      </c>
      <c r="AP71" s="52"/>
      <c r="AQ71" s="52"/>
      <c r="AR71" s="1"/>
      <c r="AS71" s="1"/>
    </row>
    <row r="72" spans="1:45" ht="15.75" customHeight="1" outlineLevel="1">
      <c r="A72" s="82">
        <v>58</v>
      </c>
      <c r="B72" s="82" t="s">
        <v>46</v>
      </c>
      <c r="C72" s="82" t="s">
        <v>50</v>
      </c>
      <c r="D72" s="82"/>
      <c r="E72" s="83">
        <v>1.54</v>
      </c>
      <c r="F72" s="83">
        <v>19.329999999999998</v>
      </c>
      <c r="G72" s="83">
        <v>0.09</v>
      </c>
      <c r="H72" s="83">
        <v>14.54</v>
      </c>
      <c r="I72" s="84">
        <v>21.3</v>
      </c>
      <c r="J72" s="84">
        <v>5.9500000000000073</v>
      </c>
      <c r="K72" s="84"/>
      <c r="L72" s="85">
        <v>3.1824999999999974</v>
      </c>
      <c r="M72" s="86">
        <v>3.167500000000004</v>
      </c>
      <c r="N72" s="85">
        <f t="shared" si="13"/>
        <v>3.1750000000000007</v>
      </c>
      <c r="O72" s="87">
        <v>21.1</v>
      </c>
      <c r="P72" s="85"/>
      <c r="Q72" s="85">
        <v>3.457499999999996</v>
      </c>
      <c r="R72" s="82">
        <v>3.7166666666666686</v>
      </c>
      <c r="S72" s="85">
        <f t="shared" si="14"/>
        <v>3.5870833333333323</v>
      </c>
      <c r="T72" s="86">
        <v>22</v>
      </c>
      <c r="U72" s="82"/>
      <c r="V72" s="86">
        <f t="shared" si="15"/>
        <v>5.5</v>
      </c>
      <c r="W72" s="85">
        <v>3.3533333333333339</v>
      </c>
      <c r="X72" s="88">
        <f t="shared" si="16"/>
        <v>4.4266666666666667</v>
      </c>
      <c r="Y72" s="85">
        <v>21.8</v>
      </c>
      <c r="Z72" s="82"/>
      <c r="AA72" s="85"/>
      <c r="AB72" s="85"/>
      <c r="AC72" s="82">
        <v>3.55</v>
      </c>
      <c r="AD72" s="82">
        <v>21.2</v>
      </c>
      <c r="AE72" s="82"/>
      <c r="AF72" s="82"/>
      <c r="AG72" s="89"/>
      <c r="AH72" s="89"/>
      <c r="AI72" s="89">
        <v>22.2</v>
      </c>
      <c r="AJ72" s="89"/>
      <c r="AK72" s="82"/>
      <c r="AL72" s="82"/>
      <c r="AM72" s="82"/>
      <c r="AN72" s="82"/>
      <c r="AO72" s="82">
        <f t="shared" si="17"/>
        <v>0.89999999999999858</v>
      </c>
      <c r="AP72" s="82"/>
      <c r="AQ72" s="82"/>
      <c r="AR72" s="90"/>
      <c r="AS72" s="90"/>
    </row>
    <row r="73" spans="1:45" ht="15.75" customHeight="1" outlineLevel="1">
      <c r="A73" s="82">
        <v>59</v>
      </c>
      <c r="B73" s="82" t="s">
        <v>46</v>
      </c>
      <c r="C73" s="82" t="s">
        <v>50</v>
      </c>
      <c r="D73" s="82"/>
      <c r="E73" s="83">
        <v>1.37</v>
      </c>
      <c r="F73" s="83">
        <v>19.54</v>
      </c>
      <c r="G73" s="83">
        <v>0.09</v>
      </c>
      <c r="H73" s="83">
        <v>14.23</v>
      </c>
      <c r="I73" s="84">
        <v>21.3</v>
      </c>
      <c r="J73" s="84">
        <v>6.16</v>
      </c>
      <c r="K73" s="84"/>
      <c r="L73" s="85">
        <v>5.4499999999999957</v>
      </c>
      <c r="M73" s="86">
        <v>4.1524999999999963</v>
      </c>
      <c r="N73" s="85">
        <f t="shared" si="13"/>
        <v>4.801249999999996</v>
      </c>
      <c r="O73" s="87">
        <v>21.7</v>
      </c>
      <c r="P73" s="85"/>
      <c r="Q73" s="85">
        <v>2.7225000000000037</v>
      </c>
      <c r="R73" s="82">
        <v>3.1333333333333351</v>
      </c>
      <c r="S73" s="85">
        <f t="shared" si="14"/>
        <v>2.9279166666666692</v>
      </c>
      <c r="T73" s="86">
        <v>21.5</v>
      </c>
      <c r="U73" s="82"/>
      <c r="V73" s="86">
        <f t="shared" si="15"/>
        <v>5.375</v>
      </c>
      <c r="W73" s="85">
        <v>3.8100000000000023</v>
      </c>
      <c r="X73" s="88">
        <f t="shared" si="16"/>
        <v>4.5925000000000011</v>
      </c>
      <c r="Y73" s="85">
        <v>21.9</v>
      </c>
      <c r="Z73" s="82"/>
      <c r="AA73" s="85"/>
      <c r="AB73" s="85"/>
      <c r="AC73" s="82">
        <v>3.7199999999999989</v>
      </c>
      <c r="AD73" s="82">
        <v>21.7</v>
      </c>
      <c r="AE73" s="82"/>
      <c r="AF73" s="82"/>
      <c r="AG73" s="89"/>
      <c r="AH73" s="89"/>
      <c r="AI73" s="89">
        <v>22.1</v>
      </c>
      <c r="AJ73" s="89"/>
      <c r="AK73" s="82"/>
      <c r="AL73" s="82"/>
      <c r="AM73" s="82"/>
      <c r="AN73" s="82"/>
      <c r="AO73" s="82">
        <f t="shared" si="17"/>
        <v>0.80000000000000071</v>
      </c>
      <c r="AP73" s="82"/>
      <c r="AQ73" s="82"/>
      <c r="AR73" s="90"/>
      <c r="AS73" s="90"/>
    </row>
    <row r="74" spans="1:45" ht="15.75" customHeight="1" outlineLevel="1">
      <c r="A74" s="82">
        <v>60</v>
      </c>
      <c r="B74" s="82" t="s">
        <v>46</v>
      </c>
      <c r="C74" s="82" t="s">
        <v>50</v>
      </c>
      <c r="D74" s="82"/>
      <c r="E74" s="83">
        <v>1.07</v>
      </c>
      <c r="F74" s="83">
        <v>20.149999999999999</v>
      </c>
      <c r="G74" s="83">
        <v>0.06</v>
      </c>
      <c r="H74" s="83">
        <v>14.93</v>
      </c>
      <c r="I74" s="84">
        <v>23</v>
      </c>
      <c r="J74" s="84">
        <v>6.81</v>
      </c>
      <c r="K74" s="84"/>
      <c r="L74" s="85">
        <v>3.6649999999999991</v>
      </c>
      <c r="M74" s="86">
        <v>2.7399999999999949</v>
      </c>
      <c r="N74" s="85">
        <f t="shared" si="13"/>
        <v>3.202499999999997</v>
      </c>
      <c r="O74" s="87">
        <v>22.3</v>
      </c>
      <c r="P74" s="85"/>
      <c r="Q74" s="85">
        <v>2.6350000000000051</v>
      </c>
      <c r="R74" s="82">
        <v>4.5166666666666613</v>
      </c>
      <c r="S74" s="85">
        <f t="shared" si="14"/>
        <v>3.5758333333333332</v>
      </c>
      <c r="T74" s="86">
        <v>23</v>
      </c>
      <c r="U74" s="82"/>
      <c r="V74" s="86">
        <f t="shared" si="15"/>
        <v>5.75</v>
      </c>
      <c r="W74" s="85">
        <v>3.6866666666666674</v>
      </c>
      <c r="X74" s="88">
        <f t="shared" si="16"/>
        <v>4.7183333333333337</v>
      </c>
      <c r="Y74" s="85">
        <v>22.5</v>
      </c>
      <c r="Z74" s="82"/>
      <c r="AA74" s="85"/>
      <c r="AB74" s="85"/>
      <c r="AC74" s="82">
        <v>3.67</v>
      </c>
      <c r="AD74" s="82">
        <v>23</v>
      </c>
      <c r="AE74" s="82"/>
      <c r="AF74" s="82"/>
      <c r="AG74" s="89"/>
      <c r="AH74" s="89"/>
      <c r="AI74" s="89">
        <v>24.1</v>
      </c>
      <c r="AJ74" s="89"/>
      <c r="AK74" s="82"/>
      <c r="AL74" s="82"/>
      <c r="AM74" s="82"/>
      <c r="AN74" s="82"/>
      <c r="AO74" s="82">
        <f t="shared" si="17"/>
        <v>1.1000000000000014</v>
      </c>
      <c r="AP74" s="82"/>
      <c r="AQ74" s="82"/>
      <c r="AR74" s="90"/>
      <c r="AS74" s="90"/>
    </row>
    <row r="75" spans="1:45" ht="15.75" customHeight="1" outlineLevel="1">
      <c r="A75" s="15">
        <v>61</v>
      </c>
      <c r="B75" s="15" t="s">
        <v>51</v>
      </c>
      <c r="C75" s="15" t="s">
        <v>50</v>
      </c>
      <c r="D75" s="52"/>
      <c r="E75" s="91">
        <v>20.55</v>
      </c>
      <c r="F75" s="91">
        <v>28.72</v>
      </c>
      <c r="G75" s="91">
        <v>0.31</v>
      </c>
      <c r="H75" s="91">
        <v>19.579999999999998</v>
      </c>
      <c r="I75" s="92">
        <v>48.2</v>
      </c>
      <c r="J75" s="92">
        <v>4.45</v>
      </c>
      <c r="K75" s="92"/>
      <c r="L75" s="54">
        <v>2.1999999999999886</v>
      </c>
      <c r="M75" s="93">
        <v>3.2050000000000125</v>
      </c>
      <c r="N75" s="94">
        <f t="shared" si="13"/>
        <v>2.7025000000000006</v>
      </c>
      <c r="O75" s="95">
        <v>50.4</v>
      </c>
      <c r="P75" s="54"/>
      <c r="Q75" s="54">
        <v>4.4524999999999864</v>
      </c>
      <c r="R75" s="52">
        <v>5.3300000000000027</v>
      </c>
      <c r="S75" s="17">
        <f t="shared" si="14"/>
        <v>4.8912499999999941</v>
      </c>
      <c r="T75" s="93">
        <v>51.4</v>
      </c>
      <c r="U75" s="52"/>
      <c r="V75" s="18">
        <f t="shared" si="15"/>
        <v>12.85</v>
      </c>
      <c r="W75" s="54">
        <v>4.7166666666666588</v>
      </c>
      <c r="X75" s="96">
        <f t="shared" si="16"/>
        <v>8.7833333333333297</v>
      </c>
      <c r="Y75" s="54">
        <v>50.7</v>
      </c>
      <c r="Z75" s="52"/>
      <c r="AA75" s="54"/>
      <c r="AB75" s="54"/>
      <c r="AC75" s="52">
        <v>4.87</v>
      </c>
      <c r="AD75" s="52">
        <v>50.9</v>
      </c>
      <c r="AE75" s="52"/>
      <c r="AF75" s="52"/>
      <c r="AG75" s="53"/>
      <c r="AH75" s="53"/>
      <c r="AI75" s="53">
        <v>50.4</v>
      </c>
      <c r="AJ75" s="53"/>
      <c r="AK75" s="52"/>
      <c r="AL75" s="52"/>
      <c r="AM75" s="52"/>
      <c r="AN75" s="52"/>
      <c r="AO75" s="15">
        <f t="shared" si="17"/>
        <v>2.1999999999999957</v>
      </c>
      <c r="AP75" s="52"/>
      <c r="AQ75" s="52"/>
      <c r="AR75" s="1"/>
      <c r="AS75" s="1"/>
    </row>
    <row r="76" spans="1:45" ht="15.75" customHeight="1" outlineLevel="1">
      <c r="A76" s="97">
        <v>62</v>
      </c>
      <c r="B76" s="97" t="s">
        <v>51</v>
      </c>
      <c r="C76" s="97" t="s">
        <v>50</v>
      </c>
      <c r="D76" s="97"/>
      <c r="E76" s="98">
        <v>20.46</v>
      </c>
      <c r="F76" s="98">
        <v>29.43</v>
      </c>
      <c r="G76" s="98">
        <v>0.24</v>
      </c>
      <c r="H76" s="98">
        <v>21.3</v>
      </c>
      <c r="I76" s="99">
        <v>49.8</v>
      </c>
      <c r="J76" s="99">
        <v>6.5200000000000005</v>
      </c>
      <c r="K76" s="99"/>
      <c r="L76" s="100">
        <v>2.585000000000008</v>
      </c>
      <c r="M76" s="101">
        <v>3.9399999999999977</v>
      </c>
      <c r="N76" s="100">
        <f t="shared" si="13"/>
        <v>3.2625000000000028</v>
      </c>
      <c r="O76" s="102">
        <v>49.3</v>
      </c>
      <c r="P76" s="100"/>
      <c r="Q76" s="100">
        <v>3.2175000000000011</v>
      </c>
      <c r="R76" s="97">
        <v>4.5800000000000027</v>
      </c>
      <c r="S76" s="100">
        <f t="shared" si="14"/>
        <v>3.8987500000000019</v>
      </c>
      <c r="T76" s="101">
        <v>50.1</v>
      </c>
      <c r="U76" s="97"/>
      <c r="V76" s="101">
        <f t="shared" si="15"/>
        <v>12.525</v>
      </c>
      <c r="W76" s="100">
        <v>4.6166666666666645</v>
      </c>
      <c r="X76" s="103">
        <f t="shared" si="16"/>
        <v>8.5708333333333329</v>
      </c>
      <c r="Y76" s="100">
        <v>50</v>
      </c>
      <c r="Z76" s="97"/>
      <c r="AA76" s="100"/>
      <c r="AB76" s="100"/>
      <c r="AC76" s="97">
        <v>4.82</v>
      </c>
      <c r="AD76" s="97">
        <v>50</v>
      </c>
      <c r="AE76" s="97"/>
      <c r="AF76" s="97"/>
      <c r="AG76" s="104"/>
      <c r="AH76" s="104"/>
      <c r="AI76" s="104">
        <v>49.2</v>
      </c>
      <c r="AJ76" s="104"/>
      <c r="AK76" s="97"/>
      <c r="AL76" s="97"/>
      <c r="AM76" s="97"/>
      <c r="AN76" s="97"/>
      <c r="AO76" s="97">
        <f t="shared" si="17"/>
        <v>-0.59999999999999432</v>
      </c>
      <c r="AP76" s="97"/>
      <c r="AQ76" s="97"/>
      <c r="AR76" s="105"/>
      <c r="AS76" s="105"/>
    </row>
    <row r="77" spans="1:45" ht="15.75" customHeight="1" outlineLevel="1">
      <c r="A77" s="97">
        <v>63</v>
      </c>
      <c r="B77" s="97" t="s">
        <v>51</v>
      </c>
      <c r="C77" s="97" t="s">
        <v>50</v>
      </c>
      <c r="D77" s="97"/>
      <c r="E77" s="98">
        <v>22.04</v>
      </c>
      <c r="F77" s="98">
        <v>27.83</v>
      </c>
      <c r="G77" s="98">
        <v>0.15</v>
      </c>
      <c r="H77" s="98">
        <v>18.84</v>
      </c>
      <c r="I77" s="99">
        <v>49.3</v>
      </c>
      <c r="J77" s="99">
        <v>5.36</v>
      </c>
      <c r="K77" s="99"/>
      <c r="L77" s="100">
        <v>3.2025000000000006</v>
      </c>
      <c r="M77" s="101">
        <v>4.3474999999999966</v>
      </c>
      <c r="N77" s="100">
        <f t="shared" si="13"/>
        <v>3.7749999999999986</v>
      </c>
      <c r="O77" s="102">
        <v>48.4</v>
      </c>
      <c r="P77" s="100"/>
      <c r="Q77" s="100">
        <v>4.7325000000000017</v>
      </c>
      <c r="R77" s="97">
        <v>5.8933333333333353</v>
      </c>
      <c r="S77" s="100">
        <f t="shared" si="14"/>
        <v>5.3129166666666681</v>
      </c>
      <c r="T77" s="101">
        <v>50.3</v>
      </c>
      <c r="U77" s="97"/>
      <c r="V77" s="101">
        <f t="shared" si="15"/>
        <v>12.574999999999999</v>
      </c>
      <c r="W77" s="100">
        <v>4.2866666666666617</v>
      </c>
      <c r="X77" s="103">
        <f t="shared" si="16"/>
        <v>8.4308333333333305</v>
      </c>
      <c r="Y77" s="100">
        <v>50.7</v>
      </c>
      <c r="Z77" s="97"/>
      <c r="AA77" s="100"/>
      <c r="AB77" s="100"/>
      <c r="AC77" s="97">
        <v>4.8499999999999996</v>
      </c>
      <c r="AD77" s="97">
        <v>49.9</v>
      </c>
      <c r="AE77" s="97"/>
      <c r="AF77" s="97"/>
      <c r="AG77" s="106"/>
      <c r="AH77" s="104"/>
      <c r="AI77" s="104">
        <v>50.3</v>
      </c>
      <c r="AJ77" s="104"/>
      <c r="AK77" s="97"/>
      <c r="AL77" s="97"/>
      <c r="AM77" s="97"/>
      <c r="AN77" s="97"/>
      <c r="AO77" s="97">
        <f t="shared" si="17"/>
        <v>1</v>
      </c>
      <c r="AP77" s="97"/>
      <c r="AQ77" s="97"/>
      <c r="AR77" s="105"/>
      <c r="AS77" s="105"/>
    </row>
    <row r="78" spans="1:45" ht="15.75" customHeight="1" outlineLevel="1">
      <c r="A78" s="97">
        <v>64</v>
      </c>
      <c r="B78" s="97" t="s">
        <v>51</v>
      </c>
      <c r="C78" s="97" t="s">
        <v>50</v>
      </c>
      <c r="D78" s="97"/>
      <c r="E78" s="98">
        <v>20.95</v>
      </c>
      <c r="F78" s="98">
        <v>29.86</v>
      </c>
      <c r="G78" s="98">
        <v>0.17</v>
      </c>
      <c r="H78" s="98">
        <v>20.86</v>
      </c>
      <c r="I78" s="99">
        <v>50.4</v>
      </c>
      <c r="J78" s="99">
        <v>4.4900000000000091</v>
      </c>
      <c r="K78" s="99"/>
      <c r="L78" s="100">
        <v>2.7849999999999966</v>
      </c>
      <c r="M78" s="101">
        <v>2.1149999999999949</v>
      </c>
      <c r="N78" s="100">
        <f t="shared" si="13"/>
        <v>2.4499999999999957</v>
      </c>
      <c r="O78" s="102">
        <v>51.1</v>
      </c>
      <c r="P78" s="100"/>
      <c r="Q78" s="100">
        <v>2.6225000000000023</v>
      </c>
      <c r="R78" s="97">
        <v>4.1000000000000041</v>
      </c>
      <c r="S78" s="100">
        <f t="shared" si="14"/>
        <v>3.3612500000000032</v>
      </c>
      <c r="T78" s="101">
        <v>50.9</v>
      </c>
      <c r="U78" s="97"/>
      <c r="V78" s="101">
        <f t="shared" si="15"/>
        <v>12.725</v>
      </c>
      <c r="W78" s="100">
        <v>4.9033333333333262</v>
      </c>
      <c r="X78" s="103">
        <f t="shared" si="16"/>
        <v>8.8141666666666634</v>
      </c>
      <c r="Y78" s="100">
        <v>49.1</v>
      </c>
      <c r="Z78" s="97"/>
      <c r="AA78" s="100"/>
      <c r="AB78" s="100"/>
      <c r="AC78" s="97">
        <v>4.6100000000000003</v>
      </c>
      <c r="AD78" s="97">
        <v>47.8</v>
      </c>
      <c r="AE78" s="97"/>
      <c r="AF78" s="97"/>
      <c r="AG78" s="104"/>
      <c r="AH78" s="104"/>
      <c r="AI78" s="104">
        <v>46.8</v>
      </c>
      <c r="AJ78" s="104"/>
      <c r="AK78" s="97"/>
      <c r="AL78" s="97"/>
      <c r="AM78" s="97"/>
      <c r="AN78" s="97"/>
      <c r="AO78" s="97">
        <f t="shared" si="17"/>
        <v>-3.6000000000000014</v>
      </c>
      <c r="AP78" s="97"/>
      <c r="AQ78" s="97"/>
      <c r="AR78" s="105"/>
      <c r="AS78" s="105"/>
    </row>
    <row r="79" spans="1:45" ht="15.75" customHeight="1" outlineLevel="1">
      <c r="A79" s="97">
        <v>65</v>
      </c>
      <c r="B79" s="97" t="s">
        <v>51</v>
      </c>
      <c r="C79" s="97" t="s">
        <v>50</v>
      </c>
      <c r="D79" s="97"/>
      <c r="E79" s="98">
        <v>23.24</v>
      </c>
      <c r="F79" s="98">
        <v>33.090000000000003</v>
      </c>
      <c r="G79" s="98">
        <v>0.43</v>
      </c>
      <c r="H79" s="98">
        <v>23.85</v>
      </c>
      <c r="I79" s="99">
        <v>56.5</v>
      </c>
      <c r="J79" s="99">
        <v>5.87</v>
      </c>
      <c r="K79" s="99"/>
      <c r="L79" s="100">
        <v>3.5499999999999972</v>
      </c>
      <c r="M79" s="101">
        <v>7.917500000000004</v>
      </c>
      <c r="N79" s="100">
        <f t="shared" si="13"/>
        <v>5.7337500000000006</v>
      </c>
      <c r="O79" s="102">
        <v>56.8</v>
      </c>
      <c r="P79" s="100"/>
      <c r="Q79" s="100">
        <v>4.0049999999999955</v>
      </c>
      <c r="R79" s="97">
        <v>5.3000000000000016</v>
      </c>
      <c r="S79" s="100">
        <f t="shared" si="14"/>
        <v>4.6524999999999981</v>
      </c>
      <c r="T79" s="101">
        <v>57.2</v>
      </c>
      <c r="U79" s="97"/>
      <c r="V79" s="101">
        <f t="shared" si="15"/>
        <v>14.3</v>
      </c>
      <c r="W79" s="100">
        <v>5.4399999999999977</v>
      </c>
      <c r="X79" s="103">
        <f t="shared" si="16"/>
        <v>9.8699999999999992</v>
      </c>
      <c r="Y79" s="100">
        <v>57.4</v>
      </c>
      <c r="Z79" s="97"/>
      <c r="AA79" s="100"/>
      <c r="AB79" s="100"/>
      <c r="AC79" s="97">
        <v>5.81</v>
      </c>
      <c r="AD79" s="97">
        <v>58.2</v>
      </c>
      <c r="AE79" s="97"/>
      <c r="AF79" s="97"/>
      <c r="AG79" s="104"/>
      <c r="AH79" s="104"/>
      <c r="AI79" s="104">
        <v>57</v>
      </c>
      <c r="AJ79" s="104"/>
      <c r="AK79" s="97"/>
      <c r="AL79" s="97"/>
      <c r="AM79" s="97"/>
      <c r="AN79" s="97"/>
      <c r="AO79" s="97">
        <f t="shared" si="17"/>
        <v>0.5</v>
      </c>
      <c r="AP79" s="97"/>
      <c r="AQ79" s="97"/>
      <c r="AR79" s="105"/>
      <c r="AS79" s="105"/>
    </row>
    <row r="80" spans="1:45" ht="15.75" customHeight="1" outlineLevel="1">
      <c r="A80" s="15">
        <v>66</v>
      </c>
      <c r="B80" s="15" t="s">
        <v>51</v>
      </c>
      <c r="C80" s="15" t="s">
        <v>50</v>
      </c>
      <c r="D80" s="52"/>
      <c r="E80" s="91">
        <v>23.68</v>
      </c>
      <c r="F80" s="91">
        <v>32.14</v>
      </c>
      <c r="G80" s="91">
        <v>0.41</v>
      </c>
      <c r="H80" s="91">
        <v>24.15</v>
      </c>
      <c r="I80" s="92">
        <v>54.5</v>
      </c>
      <c r="J80" s="92">
        <v>4.91</v>
      </c>
      <c r="K80" s="92"/>
      <c r="L80" s="54">
        <v>5.3924999999999983</v>
      </c>
      <c r="M80" s="93">
        <v>4.9074999999999989</v>
      </c>
      <c r="N80" s="94">
        <f t="shared" si="13"/>
        <v>5.1499999999999986</v>
      </c>
      <c r="O80" s="95">
        <v>58.4</v>
      </c>
      <c r="P80" s="56"/>
      <c r="Q80" s="54">
        <v>5.6400000000000006</v>
      </c>
      <c r="R80" s="52">
        <v>5.8733333333333348</v>
      </c>
      <c r="S80" s="17">
        <f t="shared" si="14"/>
        <v>5.7566666666666677</v>
      </c>
      <c r="T80" s="93">
        <v>60.8</v>
      </c>
      <c r="U80" s="52"/>
      <c r="V80" s="18">
        <f t="shared" si="15"/>
        <v>15.2</v>
      </c>
      <c r="W80" s="54">
        <v>5.666666666666667</v>
      </c>
      <c r="X80" s="96">
        <f t="shared" si="16"/>
        <v>10.433333333333334</v>
      </c>
      <c r="Y80" s="54">
        <v>61.9</v>
      </c>
      <c r="Z80" s="52"/>
      <c r="AA80" s="54"/>
      <c r="AB80" s="54"/>
      <c r="AC80" s="52">
        <v>5.83</v>
      </c>
      <c r="AD80" s="52">
        <v>62.7</v>
      </c>
      <c r="AE80" s="52"/>
      <c r="AF80" s="52"/>
      <c r="AG80" s="53"/>
      <c r="AH80" s="53"/>
      <c r="AI80" s="53">
        <v>61.6</v>
      </c>
      <c r="AJ80" s="53"/>
      <c r="AK80" s="52"/>
      <c r="AL80" s="52"/>
      <c r="AM80" s="52"/>
      <c r="AN80" s="52"/>
      <c r="AO80" s="15">
        <f t="shared" si="17"/>
        <v>7.1000000000000014</v>
      </c>
      <c r="AP80" s="52"/>
      <c r="AQ80" s="52"/>
      <c r="AR80" s="1"/>
      <c r="AS80" s="1"/>
    </row>
    <row r="81" spans="1:45" ht="15.75" customHeight="1" outlineLevel="1">
      <c r="A81" s="15">
        <v>67</v>
      </c>
      <c r="B81" s="15" t="s">
        <v>51</v>
      </c>
      <c r="C81" s="15" t="s">
        <v>50</v>
      </c>
      <c r="D81" s="52"/>
      <c r="E81" s="91">
        <v>14.55</v>
      </c>
      <c r="F81" s="91">
        <v>27.67</v>
      </c>
      <c r="G81" s="91">
        <v>0.21</v>
      </c>
      <c r="H81" s="91">
        <v>19</v>
      </c>
      <c r="I81" s="92">
        <v>41.7</v>
      </c>
      <c r="J81" s="92">
        <v>3.95</v>
      </c>
      <c r="K81" s="92"/>
      <c r="L81" s="54">
        <v>3.7475000000000023</v>
      </c>
      <c r="M81" s="93">
        <v>3.7224999999999966</v>
      </c>
      <c r="N81" s="94">
        <f t="shared" si="13"/>
        <v>3.7349999999999994</v>
      </c>
      <c r="O81" s="95">
        <v>43.5</v>
      </c>
      <c r="P81" s="54"/>
      <c r="Q81" s="54">
        <v>4.4075000000000131</v>
      </c>
      <c r="R81" s="52">
        <v>5.5633333333333228</v>
      </c>
      <c r="S81" s="17">
        <f t="shared" si="14"/>
        <v>4.9854166666666675</v>
      </c>
      <c r="T81" s="93">
        <v>44.4</v>
      </c>
      <c r="U81" s="52"/>
      <c r="V81" s="18">
        <f t="shared" si="15"/>
        <v>11.1</v>
      </c>
      <c r="W81" s="54">
        <v>5.1366666666666658</v>
      </c>
      <c r="X81" s="96">
        <f t="shared" si="16"/>
        <v>8.1183333333333323</v>
      </c>
      <c r="Y81" s="54">
        <v>46.3</v>
      </c>
      <c r="Z81" s="52"/>
      <c r="AA81" s="54"/>
      <c r="AB81" s="54"/>
      <c r="AC81" s="52">
        <v>5.05</v>
      </c>
      <c r="AD81" s="52">
        <v>47</v>
      </c>
      <c r="AE81" s="52"/>
      <c r="AF81" s="52"/>
      <c r="AG81" s="53"/>
      <c r="AH81" s="53"/>
      <c r="AI81" s="53">
        <v>47.1</v>
      </c>
      <c r="AJ81" s="53"/>
      <c r="AK81" s="52"/>
      <c r="AL81" s="52"/>
      <c r="AM81" s="52"/>
      <c r="AN81" s="52"/>
      <c r="AO81" s="15">
        <f t="shared" si="17"/>
        <v>5.3999999999999986</v>
      </c>
      <c r="AP81" s="52"/>
      <c r="AQ81" s="52"/>
      <c r="AR81" s="1"/>
      <c r="AS81" s="1"/>
    </row>
    <row r="82" spans="1:45" ht="15.75" customHeight="1" outlineLevel="1">
      <c r="A82" s="15">
        <v>68</v>
      </c>
      <c r="B82" s="15" t="s">
        <v>51</v>
      </c>
      <c r="C82" s="15" t="s">
        <v>50</v>
      </c>
      <c r="D82" s="52"/>
      <c r="E82" s="91">
        <v>22.21</v>
      </c>
      <c r="F82" s="91">
        <v>30.2</v>
      </c>
      <c r="G82" s="91">
        <v>0.28999999999999998</v>
      </c>
      <c r="H82" s="91">
        <v>20.71</v>
      </c>
      <c r="I82" s="92">
        <v>51.5</v>
      </c>
      <c r="J82" s="92">
        <v>7.9099999999999868</v>
      </c>
      <c r="K82" s="92"/>
      <c r="L82" s="54">
        <v>5.0750000000000028</v>
      </c>
      <c r="M82" s="93">
        <v>4.3075000000000045</v>
      </c>
      <c r="N82" s="94">
        <f t="shared" si="13"/>
        <v>4.6912500000000037</v>
      </c>
      <c r="O82" s="95">
        <v>53.1</v>
      </c>
      <c r="P82" s="54"/>
      <c r="Q82" s="54">
        <v>4.7774999999999963</v>
      </c>
      <c r="R82" s="52">
        <v>4.7900000000000018</v>
      </c>
      <c r="S82" s="17">
        <f t="shared" si="14"/>
        <v>4.7837499999999995</v>
      </c>
      <c r="T82" s="93">
        <v>53.1</v>
      </c>
      <c r="U82" s="52"/>
      <c r="V82" s="18">
        <f t="shared" si="15"/>
        <v>13.275</v>
      </c>
      <c r="W82" s="54">
        <v>5.2633333333333399</v>
      </c>
      <c r="X82" s="96">
        <f t="shared" si="16"/>
        <v>9.2691666666666706</v>
      </c>
      <c r="Y82" s="54">
        <v>51.8</v>
      </c>
      <c r="Z82" s="52"/>
      <c r="AA82" s="54"/>
      <c r="AB82" s="54"/>
      <c r="AC82" s="52">
        <v>4.589999999999999</v>
      </c>
      <c r="AD82" s="52">
        <v>53.4</v>
      </c>
      <c r="AE82" s="52"/>
      <c r="AF82" s="52"/>
      <c r="AG82" s="53"/>
      <c r="AH82" s="53"/>
      <c r="AI82" s="53">
        <v>54.4</v>
      </c>
      <c r="AJ82" s="53"/>
      <c r="AK82" s="52"/>
      <c r="AL82" s="52"/>
      <c r="AM82" s="52"/>
      <c r="AN82" s="52"/>
      <c r="AO82" s="15">
        <f t="shared" si="17"/>
        <v>2.8999999999999986</v>
      </c>
      <c r="AP82" s="52"/>
      <c r="AQ82" s="52"/>
      <c r="AR82" s="1"/>
      <c r="AS82" s="1"/>
    </row>
    <row r="83" spans="1:45" ht="15.75" customHeight="1" outlineLevel="1">
      <c r="A83" s="97">
        <v>69</v>
      </c>
      <c r="B83" s="97" t="s">
        <v>51</v>
      </c>
      <c r="C83" s="97" t="s">
        <v>50</v>
      </c>
      <c r="D83" s="97"/>
      <c r="E83" s="98">
        <v>21</v>
      </c>
      <c r="F83" s="98">
        <v>29.91</v>
      </c>
      <c r="G83" s="98">
        <v>0.25</v>
      </c>
      <c r="H83" s="98">
        <v>20.82</v>
      </c>
      <c r="I83" s="99">
        <v>49.9</v>
      </c>
      <c r="J83" s="99">
        <v>5.5</v>
      </c>
      <c r="K83" s="99"/>
      <c r="L83" s="100">
        <v>3.7324999999999875</v>
      </c>
      <c r="M83" s="101">
        <v>4.4025000000000034</v>
      </c>
      <c r="N83" s="100">
        <f t="shared" si="13"/>
        <v>4.0674999999999955</v>
      </c>
      <c r="O83" s="102">
        <v>48.5</v>
      </c>
      <c r="P83" s="100"/>
      <c r="Q83" s="100">
        <v>4.5275000000000034</v>
      </c>
      <c r="R83" s="97">
        <v>5.3300000000000027</v>
      </c>
      <c r="S83" s="100">
        <f t="shared" si="14"/>
        <v>4.9287500000000026</v>
      </c>
      <c r="T83" s="101">
        <v>50.6</v>
      </c>
      <c r="U83" s="97"/>
      <c r="V83" s="101">
        <f t="shared" si="15"/>
        <v>12.65</v>
      </c>
      <c r="W83" s="100">
        <v>5.2199999999999989</v>
      </c>
      <c r="X83" s="103">
        <f t="shared" si="16"/>
        <v>8.9349999999999987</v>
      </c>
      <c r="Y83" s="100">
        <v>51.4</v>
      </c>
      <c r="Z83" s="97"/>
      <c r="AA83" s="100"/>
      <c r="AB83" s="100"/>
      <c r="AC83" s="97">
        <v>5.37</v>
      </c>
      <c r="AD83" s="97">
        <v>51.8</v>
      </c>
      <c r="AE83" s="97"/>
      <c r="AF83" s="97"/>
      <c r="AG83" s="104"/>
      <c r="AH83" s="104"/>
      <c r="AI83" s="104">
        <v>49.4</v>
      </c>
      <c r="AJ83" s="104"/>
      <c r="AK83" s="97"/>
      <c r="AL83" s="97"/>
      <c r="AM83" s="97"/>
      <c r="AN83" s="97"/>
      <c r="AO83" s="97">
        <f t="shared" si="17"/>
        <v>-0.5</v>
      </c>
      <c r="AP83" s="97"/>
      <c r="AQ83" s="97"/>
      <c r="AR83" s="105"/>
      <c r="AS83" s="105"/>
    </row>
    <row r="84" spans="1:45" ht="15.75" customHeight="1" outlineLevel="1">
      <c r="A84" s="15">
        <v>70</v>
      </c>
      <c r="B84" s="15" t="s">
        <v>51</v>
      </c>
      <c r="C84" s="15" t="s">
        <v>50</v>
      </c>
      <c r="D84" s="52"/>
      <c r="E84" s="91">
        <v>16.95</v>
      </c>
      <c r="F84" s="91">
        <v>28.18</v>
      </c>
      <c r="G84" s="91">
        <v>0.15</v>
      </c>
      <c r="H84" s="91">
        <v>19.149999999999999</v>
      </c>
      <c r="I84" s="92">
        <v>46.2</v>
      </c>
      <c r="J84" s="92">
        <v>7.5799999999999841</v>
      </c>
      <c r="K84" s="92"/>
      <c r="L84" s="54">
        <v>4.9000000000000057</v>
      </c>
      <c r="M84" s="93">
        <v>4.3250000000000028</v>
      </c>
      <c r="N84" s="94">
        <f t="shared" si="13"/>
        <v>4.6125000000000043</v>
      </c>
      <c r="O84" s="95">
        <v>45</v>
      </c>
      <c r="P84" s="54"/>
      <c r="Q84" s="54">
        <v>4.7199999999999989</v>
      </c>
      <c r="R84" s="52">
        <v>6.333333333333333</v>
      </c>
      <c r="S84" s="17">
        <f t="shared" si="14"/>
        <v>5.5266666666666655</v>
      </c>
      <c r="T84" s="93">
        <v>47.3</v>
      </c>
      <c r="U84" s="52"/>
      <c r="V84" s="18">
        <f t="shared" si="15"/>
        <v>11.824999999999999</v>
      </c>
      <c r="W84" s="54">
        <v>4.9933333333333296</v>
      </c>
      <c r="X84" s="96">
        <f t="shared" si="16"/>
        <v>8.409166666666664</v>
      </c>
      <c r="Y84" s="54">
        <v>48.1</v>
      </c>
      <c r="Z84" s="52"/>
      <c r="AA84" s="54"/>
      <c r="AB84" s="54"/>
      <c r="AC84" s="52">
        <v>5.28</v>
      </c>
      <c r="AD84" s="52">
        <v>47.3</v>
      </c>
      <c r="AE84" s="52"/>
      <c r="AF84" s="52"/>
      <c r="AG84" s="53"/>
      <c r="AH84" s="53"/>
      <c r="AI84" s="53">
        <v>46.6</v>
      </c>
      <c r="AJ84" s="53"/>
      <c r="AK84" s="52"/>
      <c r="AL84" s="52"/>
      <c r="AM84" s="52"/>
      <c r="AN84" s="52"/>
      <c r="AO84" s="15">
        <f t="shared" si="17"/>
        <v>0.39999999999999858</v>
      </c>
      <c r="AP84" s="52"/>
      <c r="AQ84" s="52"/>
      <c r="AR84" s="1"/>
      <c r="AS84" s="1"/>
    </row>
    <row r="85" spans="1:45" ht="15.75" customHeight="1" outlineLevel="1">
      <c r="A85" s="107">
        <v>71</v>
      </c>
      <c r="B85" s="107" t="s">
        <v>51</v>
      </c>
      <c r="C85" s="97" t="s">
        <v>50</v>
      </c>
      <c r="D85" s="97"/>
      <c r="E85" s="98">
        <v>23.14</v>
      </c>
      <c r="F85" s="98">
        <v>32.479999999999997</v>
      </c>
      <c r="G85" s="98">
        <v>0.32</v>
      </c>
      <c r="H85" s="98">
        <v>22.78</v>
      </c>
      <c r="I85" s="99">
        <v>54.9</v>
      </c>
      <c r="J85" s="99">
        <v>6.26</v>
      </c>
      <c r="K85" s="99"/>
      <c r="L85" s="100">
        <v>4.625</v>
      </c>
      <c r="M85" s="101">
        <v>5.0825000000000031</v>
      </c>
      <c r="N85" s="100">
        <f t="shared" si="13"/>
        <v>4.8537500000000016</v>
      </c>
      <c r="O85" s="102">
        <v>56.7</v>
      </c>
      <c r="P85" s="100"/>
      <c r="Q85" s="100">
        <v>5</v>
      </c>
      <c r="R85" s="97">
        <v>5.7233333333333292</v>
      </c>
      <c r="S85" s="100">
        <f t="shared" si="14"/>
        <v>5.3616666666666646</v>
      </c>
      <c r="T85" s="101">
        <v>58.2</v>
      </c>
      <c r="U85" s="97"/>
      <c r="V85" s="101">
        <f t="shared" si="15"/>
        <v>14.55</v>
      </c>
      <c r="W85" s="100">
        <v>6.25</v>
      </c>
      <c r="X85" s="103">
        <f t="shared" si="16"/>
        <v>10.4</v>
      </c>
      <c r="Y85" s="100">
        <v>59.9</v>
      </c>
      <c r="Z85" s="97"/>
      <c r="AA85" s="100"/>
      <c r="AB85" s="100"/>
      <c r="AC85" s="97">
        <v>6.02</v>
      </c>
      <c r="AD85" s="97">
        <v>59.9</v>
      </c>
      <c r="AE85" s="97"/>
      <c r="AF85" s="97"/>
      <c r="AG85" s="104"/>
      <c r="AH85" s="104"/>
      <c r="AI85" s="104">
        <v>57.3</v>
      </c>
      <c r="AJ85" s="104"/>
      <c r="AK85" s="97"/>
      <c r="AL85" s="97"/>
      <c r="AM85" s="97"/>
      <c r="AN85" s="97"/>
      <c r="AO85" s="97">
        <f t="shared" si="17"/>
        <v>2.3999999999999986</v>
      </c>
      <c r="AP85" s="97"/>
      <c r="AQ85" s="97"/>
      <c r="AR85" s="105"/>
      <c r="AS85" s="105"/>
    </row>
    <row r="86" spans="1:4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</sheetData>
  <mergeCells count="29">
    <mergeCell ref="A34:A35"/>
    <mergeCell ref="B34:B35"/>
    <mergeCell ref="C34:C35"/>
    <mergeCell ref="D34:D35"/>
    <mergeCell ref="E34:J34"/>
    <mergeCell ref="V34:Y34"/>
    <mergeCell ref="AA34:AD34"/>
    <mergeCell ref="AF34:AI34"/>
    <mergeCell ref="AK34:AQ34"/>
    <mergeCell ref="E61:K61"/>
    <mergeCell ref="L61:O61"/>
    <mergeCell ref="Q61:T61"/>
    <mergeCell ref="V61:Y61"/>
    <mergeCell ref="AA61:AD61"/>
    <mergeCell ref="AF61:AI61"/>
    <mergeCell ref="AK61:AQ61"/>
    <mergeCell ref="L34:O34"/>
    <mergeCell ref="Q34:T34"/>
    <mergeCell ref="X1:AA1"/>
    <mergeCell ref="AB1:AE1"/>
    <mergeCell ref="AF1:AG1"/>
    <mergeCell ref="AH1:AN1"/>
    <mergeCell ref="A1:A2"/>
    <mergeCell ref="B1:B2"/>
    <mergeCell ref="C1:C2"/>
    <mergeCell ref="D1:D2"/>
    <mergeCell ref="E1:O1"/>
    <mergeCell ref="P1:S1"/>
    <mergeCell ref="T1:W1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topLeftCell="L10" workbookViewId="0">
      <selection activeCell="W27" sqref="W27:X29"/>
    </sheetView>
  </sheetViews>
  <sheetFormatPr baseColWidth="10" defaultColWidth="9.1640625" defaultRowHeight="15"/>
  <cols>
    <col min="12" max="12" width="11.1640625" customWidth="1"/>
  </cols>
  <sheetData>
    <row r="1" spans="1:24">
      <c r="A1" t="s">
        <v>336</v>
      </c>
    </row>
    <row r="3" spans="1:24" ht="64">
      <c r="A3" t="s">
        <v>328</v>
      </c>
      <c r="E3" s="2"/>
      <c r="F3" s="2" t="s">
        <v>340</v>
      </c>
      <c r="G3" s="2" t="s">
        <v>13</v>
      </c>
      <c r="H3" s="2" t="s">
        <v>347</v>
      </c>
      <c r="I3" s="226" t="s">
        <v>337</v>
      </c>
      <c r="J3" s="226" t="s">
        <v>329</v>
      </c>
      <c r="K3" s="222" t="s">
        <v>348</v>
      </c>
      <c r="L3" s="225" t="s">
        <v>349</v>
      </c>
      <c r="R3" s="2" t="s">
        <v>340</v>
      </c>
      <c r="S3" s="2" t="s">
        <v>13</v>
      </c>
      <c r="T3" s="2" t="s">
        <v>347</v>
      </c>
      <c r="U3" s="226" t="s">
        <v>337</v>
      </c>
      <c r="V3" s="226" t="s">
        <v>329</v>
      </c>
      <c r="W3" s="222" t="s">
        <v>348</v>
      </c>
      <c r="X3" s="214" t="s">
        <v>346</v>
      </c>
    </row>
    <row r="4" spans="1:24" ht="16">
      <c r="A4" s="15">
        <v>19</v>
      </c>
      <c r="B4" s="15" t="s">
        <v>51</v>
      </c>
      <c r="C4" s="15" t="s">
        <v>50</v>
      </c>
      <c r="D4" s="15" t="s">
        <v>48</v>
      </c>
      <c r="E4" s="16"/>
      <c r="F4" s="16">
        <v>15.43</v>
      </c>
      <c r="G4" s="16">
        <v>42.6</v>
      </c>
      <c r="H4" s="16">
        <f>(F4/G4)*100</f>
        <v>36.220657276995304</v>
      </c>
      <c r="I4" s="21">
        <v>18.37</v>
      </c>
      <c r="J4" s="15">
        <v>46.6</v>
      </c>
      <c r="K4" s="221">
        <f>(I4/J4)*100</f>
        <v>39.420600858369099</v>
      </c>
      <c r="L4">
        <f>K4-H4</f>
        <v>3.1999435813737946</v>
      </c>
      <c r="N4" s="15">
        <v>7</v>
      </c>
      <c r="O4" s="15" t="s">
        <v>46</v>
      </c>
      <c r="P4" s="15" t="s">
        <v>50</v>
      </c>
      <c r="Q4" s="15" t="s">
        <v>48</v>
      </c>
      <c r="R4" s="16">
        <v>1.19</v>
      </c>
      <c r="S4" s="16">
        <v>20.8</v>
      </c>
      <c r="T4" s="16">
        <f>(R4/S4)*100</f>
        <v>5.7211538461538458</v>
      </c>
      <c r="U4" s="21">
        <v>1.45</v>
      </c>
      <c r="V4" s="15">
        <v>21.7</v>
      </c>
      <c r="W4" s="221">
        <f>(U4/V4)*100</f>
        <v>6.6820276497695854</v>
      </c>
      <c r="X4">
        <f>W4-T4</f>
        <v>0.9608738036157396</v>
      </c>
    </row>
    <row r="5" spans="1:24" ht="16">
      <c r="A5" s="22">
        <v>20</v>
      </c>
      <c r="B5" s="22" t="s">
        <v>51</v>
      </c>
      <c r="C5" s="22" t="s">
        <v>50</v>
      </c>
      <c r="D5" s="22" t="s">
        <v>49</v>
      </c>
      <c r="E5" s="23"/>
      <c r="F5" s="23">
        <v>17.440000000000001</v>
      </c>
      <c r="G5" s="23">
        <v>46.1</v>
      </c>
      <c r="H5" s="16">
        <f t="shared" ref="H5:H9" si="0">(F5/G5)*100</f>
        <v>37.830802603036879</v>
      </c>
      <c r="I5" s="28">
        <v>17.98</v>
      </c>
      <c r="J5" s="22">
        <v>46.8</v>
      </c>
      <c r="K5" s="223">
        <f t="shared" ref="K5:K9" si="1">(I5/J5)*100</f>
        <v>38.418803418803421</v>
      </c>
      <c r="L5" s="215">
        <f t="shared" ref="L5:L9" si="2">K5-H5</f>
        <v>0.58800081576654151</v>
      </c>
      <c r="N5" s="22">
        <v>8</v>
      </c>
      <c r="O5" s="22" t="s">
        <v>46</v>
      </c>
      <c r="P5" s="22" t="s">
        <v>50</v>
      </c>
      <c r="Q5" s="22" t="s">
        <v>49</v>
      </c>
      <c r="R5" s="23">
        <v>0.9</v>
      </c>
      <c r="S5" s="23">
        <v>21.7</v>
      </c>
      <c r="T5" s="16">
        <f t="shared" ref="T5:T9" si="3">(R5/S5)*100</f>
        <v>4.1474654377880187</v>
      </c>
      <c r="U5" s="28">
        <v>1.2</v>
      </c>
      <c r="V5" s="22">
        <v>23.6</v>
      </c>
      <c r="W5" s="223">
        <f t="shared" ref="W5:W9" si="4">(U5/V5)*100</f>
        <v>5.0847457627118642</v>
      </c>
      <c r="X5" s="215">
        <f t="shared" ref="X5:X9" si="5">W5-T5</f>
        <v>0.9372803249238455</v>
      </c>
    </row>
    <row r="6" spans="1:24" ht="16">
      <c r="A6" s="15">
        <v>21</v>
      </c>
      <c r="B6" s="15" t="s">
        <v>51</v>
      </c>
      <c r="C6" s="15" t="s">
        <v>50</v>
      </c>
      <c r="D6" s="15" t="s">
        <v>48</v>
      </c>
      <c r="E6" s="16"/>
      <c r="F6" s="16">
        <v>17.829999999999998</v>
      </c>
      <c r="G6" s="16">
        <v>45.9</v>
      </c>
      <c r="H6" s="16">
        <f t="shared" si="0"/>
        <v>38.845315904139433</v>
      </c>
      <c r="I6" s="21">
        <v>23.41</v>
      </c>
      <c r="J6" s="15">
        <v>52.5</v>
      </c>
      <c r="K6" s="221">
        <f t="shared" si="1"/>
        <v>44.590476190476188</v>
      </c>
      <c r="L6">
        <f t="shared" si="2"/>
        <v>5.7451602863367555</v>
      </c>
      <c r="N6" s="15">
        <v>9</v>
      </c>
      <c r="O6" s="15" t="s">
        <v>46</v>
      </c>
      <c r="P6" s="15" t="s">
        <v>50</v>
      </c>
      <c r="Q6" s="15" t="s">
        <v>48</v>
      </c>
      <c r="R6" s="16">
        <v>0.84</v>
      </c>
      <c r="S6" s="16">
        <v>20.8</v>
      </c>
      <c r="T6" s="16">
        <f t="shared" si="3"/>
        <v>4.0384615384615383</v>
      </c>
      <c r="U6" s="21">
        <v>1.48</v>
      </c>
      <c r="V6" s="15">
        <v>22.6</v>
      </c>
      <c r="W6" s="221">
        <f t="shared" si="4"/>
        <v>6.5486725663716809</v>
      </c>
      <c r="X6">
        <f t="shared" si="5"/>
        <v>2.5102110279101426</v>
      </c>
    </row>
    <row r="7" spans="1:24" ht="16">
      <c r="A7" s="22">
        <v>22</v>
      </c>
      <c r="B7" s="22" t="s">
        <v>51</v>
      </c>
      <c r="C7" s="22" t="s">
        <v>50</v>
      </c>
      <c r="D7" s="22" t="s">
        <v>49</v>
      </c>
      <c r="E7" s="23"/>
      <c r="F7" s="23">
        <v>10.95</v>
      </c>
      <c r="G7" s="23">
        <v>39.5</v>
      </c>
      <c r="H7" s="16">
        <f t="shared" si="0"/>
        <v>27.721518987341771</v>
      </c>
      <c r="I7" s="28">
        <v>15.53</v>
      </c>
      <c r="J7" s="22">
        <v>43.2</v>
      </c>
      <c r="K7" s="223">
        <f t="shared" si="1"/>
        <v>35.949074074074069</v>
      </c>
      <c r="L7" s="215">
        <f t="shared" si="2"/>
        <v>8.2275550867322984</v>
      </c>
      <c r="N7" s="22">
        <v>10</v>
      </c>
      <c r="O7" s="22" t="s">
        <v>46</v>
      </c>
      <c r="P7" s="22" t="s">
        <v>50</v>
      </c>
      <c r="Q7" s="22" t="s">
        <v>49</v>
      </c>
      <c r="R7" s="23">
        <v>1.22</v>
      </c>
      <c r="S7" s="23">
        <v>21.4</v>
      </c>
      <c r="T7" s="16">
        <f t="shared" si="3"/>
        <v>5.7009345794392523</v>
      </c>
      <c r="U7" s="28">
        <v>1.83</v>
      </c>
      <c r="V7" s="22">
        <v>22.8</v>
      </c>
      <c r="W7" s="223">
        <f t="shared" si="4"/>
        <v>8.026315789473685</v>
      </c>
      <c r="X7" s="215">
        <f t="shared" si="5"/>
        <v>2.3253812100344327</v>
      </c>
    </row>
    <row r="8" spans="1:24" ht="16">
      <c r="A8" s="15">
        <v>23</v>
      </c>
      <c r="B8" s="15" t="s">
        <v>51</v>
      </c>
      <c r="C8" s="15" t="s">
        <v>50</v>
      </c>
      <c r="D8" s="15" t="s">
        <v>48</v>
      </c>
      <c r="E8" s="16"/>
      <c r="F8" s="16">
        <v>15.1</v>
      </c>
      <c r="G8" s="16">
        <v>46.3</v>
      </c>
      <c r="H8" s="16">
        <f t="shared" si="0"/>
        <v>32.613390928725707</v>
      </c>
      <c r="I8" s="21">
        <v>27.45</v>
      </c>
      <c r="J8" s="15">
        <v>58.9</v>
      </c>
      <c r="K8" s="221">
        <f t="shared" si="1"/>
        <v>46.6044142614601</v>
      </c>
      <c r="L8">
        <f t="shared" si="2"/>
        <v>13.991023332734393</v>
      </c>
      <c r="N8" s="15">
        <v>11</v>
      </c>
      <c r="O8" s="15" t="s">
        <v>46</v>
      </c>
      <c r="P8" s="15" t="s">
        <v>50</v>
      </c>
      <c r="Q8" s="15" t="s">
        <v>48</v>
      </c>
      <c r="R8" s="16">
        <v>1.1299999999999999</v>
      </c>
      <c r="S8" s="16">
        <v>22</v>
      </c>
      <c r="T8" s="16">
        <f t="shared" si="3"/>
        <v>5.1363636363636358</v>
      </c>
      <c r="U8" s="21">
        <v>1.8</v>
      </c>
      <c r="V8" s="15">
        <v>23.2</v>
      </c>
      <c r="W8" s="221">
        <f t="shared" si="4"/>
        <v>7.7586206896551726</v>
      </c>
      <c r="X8">
        <f t="shared" si="5"/>
        <v>2.6222570532915368</v>
      </c>
    </row>
    <row r="9" spans="1:24" ht="16">
      <c r="A9" s="22">
        <v>24</v>
      </c>
      <c r="B9" s="22" t="s">
        <v>51</v>
      </c>
      <c r="C9" s="22" t="s">
        <v>50</v>
      </c>
      <c r="D9" s="22" t="s">
        <v>49</v>
      </c>
      <c r="E9" s="23"/>
      <c r="F9" s="23">
        <v>13.58</v>
      </c>
      <c r="G9" s="23">
        <v>44.6</v>
      </c>
      <c r="H9" s="16">
        <f t="shared" si="0"/>
        <v>30.448430493273541</v>
      </c>
      <c r="I9" s="28">
        <v>17.510000000000002</v>
      </c>
      <c r="J9" s="22">
        <v>47.4</v>
      </c>
      <c r="K9" s="223">
        <f t="shared" si="1"/>
        <v>36.9409282700422</v>
      </c>
      <c r="L9" s="215">
        <f t="shared" si="2"/>
        <v>6.4924977767686585</v>
      </c>
      <c r="N9" s="22">
        <v>12</v>
      </c>
      <c r="O9" s="22" t="s">
        <v>46</v>
      </c>
      <c r="P9" s="22" t="s">
        <v>50</v>
      </c>
      <c r="Q9" s="22" t="s">
        <v>49</v>
      </c>
      <c r="R9" s="23">
        <v>1.47</v>
      </c>
      <c r="S9" s="23">
        <v>23</v>
      </c>
      <c r="T9" s="16">
        <f t="shared" si="3"/>
        <v>6.391304347826086</v>
      </c>
      <c r="U9" s="28">
        <v>3.48</v>
      </c>
      <c r="V9" s="22">
        <v>25.8</v>
      </c>
      <c r="W9" s="223">
        <f t="shared" si="4"/>
        <v>13.488372093023255</v>
      </c>
      <c r="X9" s="215">
        <f t="shared" si="5"/>
        <v>7.0970677451971689</v>
      </c>
    </row>
    <row r="10" spans="1:24" ht="64">
      <c r="F10" s="2" t="s">
        <v>342</v>
      </c>
      <c r="G10" s="2" t="s">
        <v>66</v>
      </c>
      <c r="H10" s="2" t="s">
        <v>347</v>
      </c>
      <c r="I10" s="42" t="s">
        <v>338</v>
      </c>
      <c r="J10" s="42" t="s">
        <v>331</v>
      </c>
      <c r="K10" s="222" t="s">
        <v>348</v>
      </c>
      <c r="L10" s="225" t="s">
        <v>350</v>
      </c>
      <c r="R10" s="2" t="s">
        <v>342</v>
      </c>
      <c r="S10" s="2" t="s">
        <v>66</v>
      </c>
      <c r="T10" s="2" t="s">
        <v>347</v>
      </c>
      <c r="U10" s="42" t="s">
        <v>338</v>
      </c>
      <c r="V10" s="42" t="s">
        <v>331</v>
      </c>
      <c r="W10" s="222" t="s">
        <v>348</v>
      </c>
      <c r="X10" s="214" t="s">
        <v>350</v>
      </c>
    </row>
    <row r="11" spans="1:24" ht="16">
      <c r="A11" s="15">
        <v>43</v>
      </c>
      <c r="B11" s="15" t="s">
        <v>51</v>
      </c>
      <c r="C11" s="15" t="s">
        <v>50</v>
      </c>
      <c r="D11" s="15" t="s">
        <v>48</v>
      </c>
      <c r="F11" s="21">
        <v>21.76</v>
      </c>
      <c r="G11" s="15">
        <v>52.05</v>
      </c>
      <c r="H11" s="16">
        <f t="shared" ref="H11:H15" si="6">(F11/G11)*100</f>
        <v>41.805955811719507</v>
      </c>
      <c r="I11" s="21">
        <v>27.19</v>
      </c>
      <c r="J11" s="15">
        <v>59.5</v>
      </c>
      <c r="K11" s="221">
        <f t="shared" ref="K11:K15" si="7">(I11/J11)*100</f>
        <v>45.69747899159664</v>
      </c>
      <c r="L11">
        <f t="shared" ref="L11:L16" si="8">K11-H11</f>
        <v>3.891523179877133</v>
      </c>
      <c r="N11" s="15">
        <v>31</v>
      </c>
      <c r="O11" s="15" t="s">
        <v>46</v>
      </c>
      <c r="P11" s="15" t="s">
        <v>50</v>
      </c>
      <c r="Q11" s="15" t="s">
        <v>48</v>
      </c>
      <c r="R11" s="21">
        <v>0.85</v>
      </c>
      <c r="S11" s="15">
        <v>19.95</v>
      </c>
      <c r="T11" s="16">
        <f t="shared" ref="T11:T16" si="9">(R11/S11)*100</f>
        <v>4.2606516290726812</v>
      </c>
      <c r="U11" s="21">
        <v>1.25</v>
      </c>
      <c r="V11" s="15">
        <v>21.1</v>
      </c>
      <c r="W11" s="221">
        <f t="shared" ref="W11:W16" si="10">(U11/V11)*100</f>
        <v>5.9241706161137433</v>
      </c>
      <c r="X11">
        <f t="shared" ref="X11:X16" si="11">W11-T11</f>
        <v>1.663518987041062</v>
      </c>
    </row>
    <row r="12" spans="1:24" ht="16">
      <c r="A12" s="22">
        <v>44</v>
      </c>
      <c r="B12" s="22" t="s">
        <v>51</v>
      </c>
      <c r="C12" s="22" t="s">
        <v>50</v>
      </c>
      <c r="D12" s="22" t="s">
        <v>49</v>
      </c>
      <c r="F12" s="28">
        <v>18.899999999999999</v>
      </c>
      <c r="G12" s="22">
        <v>47.39</v>
      </c>
      <c r="H12" s="16">
        <f t="shared" si="6"/>
        <v>39.881831610044308</v>
      </c>
      <c r="I12" s="28">
        <v>22.23</v>
      </c>
      <c r="J12" s="22">
        <v>53.9</v>
      </c>
      <c r="K12" s="223">
        <f t="shared" si="7"/>
        <v>41.243042671614099</v>
      </c>
      <c r="L12" s="215">
        <f t="shared" si="8"/>
        <v>1.3612110615697901</v>
      </c>
      <c r="N12" s="22">
        <v>32</v>
      </c>
      <c r="O12" s="22" t="s">
        <v>46</v>
      </c>
      <c r="P12" s="22" t="s">
        <v>50</v>
      </c>
      <c r="Q12" s="22" t="s">
        <v>49</v>
      </c>
      <c r="R12" s="28">
        <v>0.8</v>
      </c>
      <c r="S12" s="22">
        <v>20.53</v>
      </c>
      <c r="T12" s="16">
        <f t="shared" si="9"/>
        <v>3.896736483195324</v>
      </c>
      <c r="U12" s="28">
        <v>1.05</v>
      </c>
      <c r="V12" s="22">
        <v>20.7</v>
      </c>
      <c r="W12" s="223">
        <f t="shared" si="10"/>
        <v>5.0724637681159424</v>
      </c>
      <c r="X12" s="215">
        <f t="shared" si="11"/>
        <v>1.1757272849206184</v>
      </c>
    </row>
    <row r="13" spans="1:24" ht="16">
      <c r="A13" s="15">
        <v>45</v>
      </c>
      <c r="B13" s="15" t="s">
        <v>51</v>
      </c>
      <c r="C13" s="15" t="s">
        <v>50</v>
      </c>
      <c r="D13" s="15" t="s">
        <v>48</v>
      </c>
      <c r="F13" s="21">
        <v>19.43</v>
      </c>
      <c r="G13" s="15">
        <v>48.92</v>
      </c>
      <c r="H13" s="16">
        <f t="shared" si="6"/>
        <v>39.717906786590348</v>
      </c>
      <c r="I13" s="21">
        <v>22.62</v>
      </c>
      <c r="J13" s="15">
        <v>55.4</v>
      </c>
      <c r="K13" s="221">
        <f t="shared" si="7"/>
        <v>40.830324909747297</v>
      </c>
      <c r="L13">
        <f t="shared" si="8"/>
        <v>1.1124181231569494</v>
      </c>
      <c r="N13" s="15">
        <v>33</v>
      </c>
      <c r="O13" s="15" t="s">
        <v>46</v>
      </c>
      <c r="P13" s="15" t="s">
        <v>50</v>
      </c>
      <c r="Q13" s="15" t="s">
        <v>48</v>
      </c>
      <c r="R13" s="21">
        <v>1.24</v>
      </c>
      <c r="S13" s="15">
        <v>21.28</v>
      </c>
      <c r="T13" s="16">
        <f t="shared" si="9"/>
        <v>5.8270676691729317</v>
      </c>
      <c r="U13" s="21">
        <v>1.52</v>
      </c>
      <c r="V13" s="15">
        <v>21.7</v>
      </c>
      <c r="W13" s="221">
        <f t="shared" si="10"/>
        <v>7.0046082949308754</v>
      </c>
      <c r="X13">
        <f t="shared" si="11"/>
        <v>1.1775406257579437</v>
      </c>
    </row>
    <row r="14" spans="1:24" ht="16">
      <c r="A14" s="22">
        <v>46</v>
      </c>
      <c r="B14" s="22" t="s">
        <v>51</v>
      </c>
      <c r="C14" s="22" t="s">
        <v>50</v>
      </c>
      <c r="D14" s="22" t="s">
        <v>49</v>
      </c>
      <c r="F14" s="28">
        <v>17.79</v>
      </c>
      <c r="G14" s="22">
        <v>44.74</v>
      </c>
      <c r="H14" s="16">
        <f t="shared" si="6"/>
        <v>39.763075547608402</v>
      </c>
      <c r="I14" s="28">
        <v>20.37</v>
      </c>
      <c r="J14" s="22">
        <v>51</v>
      </c>
      <c r="K14" s="223">
        <f t="shared" si="7"/>
        <v>39.941176470588232</v>
      </c>
      <c r="L14" s="215">
        <f t="shared" si="8"/>
        <v>0.17810092297983005</v>
      </c>
      <c r="N14" s="22">
        <v>34</v>
      </c>
      <c r="O14" s="22" t="s">
        <v>46</v>
      </c>
      <c r="P14" s="22" t="s">
        <v>50</v>
      </c>
      <c r="Q14" s="22" t="s">
        <v>49</v>
      </c>
      <c r="R14" s="28">
        <v>1.28</v>
      </c>
      <c r="S14" s="22">
        <v>21.62</v>
      </c>
      <c r="T14" s="16">
        <f t="shared" si="9"/>
        <v>5.9204440333024975</v>
      </c>
      <c r="U14" s="28">
        <v>1.79</v>
      </c>
      <c r="V14" s="22">
        <v>23.1</v>
      </c>
      <c r="W14" s="223">
        <f t="shared" si="10"/>
        <v>7.7489177489177479</v>
      </c>
      <c r="X14" s="215">
        <f t="shared" si="11"/>
        <v>1.8284737156152504</v>
      </c>
    </row>
    <row r="15" spans="1:24" ht="16">
      <c r="A15" s="59">
        <v>47</v>
      </c>
      <c r="B15" s="59" t="s">
        <v>51</v>
      </c>
      <c r="C15" s="59" t="s">
        <v>50</v>
      </c>
      <c r="D15" s="59" t="s">
        <v>49</v>
      </c>
      <c r="F15" s="60">
        <v>21.75</v>
      </c>
      <c r="G15" s="59">
        <v>50.2</v>
      </c>
      <c r="H15" s="16">
        <f t="shared" si="6"/>
        <v>43.326693227091631</v>
      </c>
      <c r="I15" s="28">
        <v>28.85</v>
      </c>
      <c r="J15" s="59">
        <v>60.4</v>
      </c>
      <c r="K15" s="223">
        <f t="shared" si="7"/>
        <v>47.764900662251655</v>
      </c>
      <c r="L15" s="215">
        <f t="shared" si="8"/>
        <v>4.4382074351600238</v>
      </c>
      <c r="N15" s="15">
        <v>35</v>
      </c>
      <c r="O15" s="15" t="s">
        <v>46</v>
      </c>
      <c r="P15" s="15" t="s">
        <v>50</v>
      </c>
      <c r="Q15" s="15" t="s">
        <v>48</v>
      </c>
      <c r="R15" s="21">
        <v>1.93</v>
      </c>
      <c r="S15" s="15">
        <v>22.95</v>
      </c>
      <c r="T15" s="16">
        <f t="shared" si="9"/>
        <v>8.4095860566448799</v>
      </c>
      <c r="U15" s="21">
        <v>3.43</v>
      </c>
      <c r="V15" s="15">
        <v>24.6</v>
      </c>
      <c r="W15" s="221">
        <f t="shared" si="10"/>
        <v>13.943089430894309</v>
      </c>
      <c r="X15">
        <f t="shared" si="11"/>
        <v>5.5335033742494293</v>
      </c>
    </row>
    <row r="16" spans="1:24" ht="16">
      <c r="A16" s="62">
        <v>48</v>
      </c>
      <c r="B16" s="62" t="s">
        <v>51</v>
      </c>
      <c r="C16" s="62" t="s">
        <v>50</v>
      </c>
      <c r="D16" s="62" t="s">
        <v>48</v>
      </c>
      <c r="F16" s="63">
        <v>16.77</v>
      </c>
      <c r="G16" s="62">
        <v>43</v>
      </c>
      <c r="H16" s="16">
        <f>(F16/G16)*100</f>
        <v>39</v>
      </c>
      <c r="I16" s="21">
        <v>18.09</v>
      </c>
      <c r="J16" s="62">
        <v>46.4</v>
      </c>
      <c r="K16" s="221">
        <f>(I16/J16)*100</f>
        <v>38.987068965517238</v>
      </c>
      <c r="L16">
        <f t="shared" si="8"/>
        <v>-1.2931034482761561E-2</v>
      </c>
      <c r="N16" s="22">
        <v>36</v>
      </c>
      <c r="O16" s="22" t="s">
        <v>46</v>
      </c>
      <c r="P16" s="22" t="s">
        <v>50</v>
      </c>
      <c r="Q16" s="22" t="s">
        <v>49</v>
      </c>
      <c r="R16" s="28">
        <v>1.1000000000000001</v>
      </c>
      <c r="S16" s="22">
        <v>21.85</v>
      </c>
      <c r="T16" s="16">
        <f t="shared" si="9"/>
        <v>5.0343249427917618</v>
      </c>
      <c r="U16" s="28">
        <v>1.41</v>
      </c>
      <c r="V16" s="22">
        <v>23.7</v>
      </c>
      <c r="W16" s="223">
        <f t="shared" si="10"/>
        <v>5.9493670886075947</v>
      </c>
      <c r="X16" s="215">
        <f t="shared" si="11"/>
        <v>0.91504214581583287</v>
      </c>
    </row>
    <row r="17" spans="1:24" ht="64">
      <c r="F17" s="2" t="s">
        <v>344</v>
      </c>
      <c r="G17" s="2" t="s">
        <v>119</v>
      </c>
      <c r="H17" s="2" t="s">
        <v>347</v>
      </c>
      <c r="I17" s="80" t="s">
        <v>339</v>
      </c>
      <c r="J17" s="80" t="s">
        <v>334</v>
      </c>
      <c r="K17" s="222" t="s">
        <v>348</v>
      </c>
      <c r="L17" s="225" t="s">
        <v>351</v>
      </c>
      <c r="R17" s="2" t="s">
        <v>344</v>
      </c>
      <c r="S17" s="2" t="s">
        <v>119</v>
      </c>
      <c r="T17" s="2" t="s">
        <v>347</v>
      </c>
      <c r="U17" s="80" t="s">
        <v>339</v>
      </c>
      <c r="V17" s="80" t="s">
        <v>334</v>
      </c>
      <c r="W17" s="222" t="s">
        <v>348</v>
      </c>
      <c r="X17" s="214" t="s">
        <v>351</v>
      </c>
    </row>
    <row r="18" spans="1:24" ht="16">
      <c r="A18" s="15">
        <v>61</v>
      </c>
      <c r="B18" s="15" t="s">
        <v>51</v>
      </c>
      <c r="C18" s="15" t="s">
        <v>50</v>
      </c>
      <c r="D18" s="62" t="s">
        <v>48</v>
      </c>
      <c r="F18" s="91">
        <v>20.55</v>
      </c>
      <c r="G18" s="92">
        <v>48.2</v>
      </c>
      <c r="H18" s="16">
        <f t="shared" ref="H18:H28" si="12">(F18/G18)*100</f>
        <v>42.634854771784234</v>
      </c>
      <c r="I18" s="218">
        <v>21.89</v>
      </c>
      <c r="J18" s="53">
        <v>50.4</v>
      </c>
      <c r="K18" s="221">
        <f t="shared" ref="K18:K28" si="13">(I18/J18)*100</f>
        <v>43.432539682539684</v>
      </c>
      <c r="L18">
        <f t="shared" ref="L18:L28" si="14">K18-H18</f>
        <v>0.79768491075545001</v>
      </c>
      <c r="N18" s="82">
        <v>49</v>
      </c>
      <c r="O18" s="82" t="s">
        <v>46</v>
      </c>
      <c r="P18" s="82" t="s">
        <v>50</v>
      </c>
      <c r="Q18" s="82" t="s">
        <v>333</v>
      </c>
      <c r="R18" s="83">
        <v>1.19</v>
      </c>
      <c r="S18" s="84">
        <v>21</v>
      </c>
      <c r="T18" s="16">
        <f t="shared" ref="T18:T29" si="15">(R18/S18)*100</f>
        <v>5.6666666666666661</v>
      </c>
      <c r="U18" s="220">
        <v>1.58</v>
      </c>
      <c r="V18" s="89">
        <v>22.9</v>
      </c>
      <c r="W18" s="227">
        <f t="shared" ref="W18:W29" si="16">(U18/V18)*100</f>
        <v>6.899563318777294</v>
      </c>
      <c r="X18" s="216">
        <f t="shared" ref="X18:X29" si="17">W18-T18</f>
        <v>1.2328966521106279</v>
      </c>
    </row>
    <row r="19" spans="1:24" ht="16">
      <c r="A19" s="97">
        <v>62</v>
      </c>
      <c r="B19" s="97" t="s">
        <v>51</v>
      </c>
      <c r="C19" s="97" t="s">
        <v>50</v>
      </c>
      <c r="D19" s="97" t="s">
        <v>333</v>
      </c>
      <c r="F19" s="98">
        <v>20.46</v>
      </c>
      <c r="G19" s="99">
        <v>49.8</v>
      </c>
      <c r="H19" s="16">
        <f t="shared" si="12"/>
        <v>41.084337349397593</v>
      </c>
      <c r="I19" s="219">
        <v>19.47</v>
      </c>
      <c r="J19" s="104">
        <v>49.2</v>
      </c>
      <c r="K19" s="224">
        <f t="shared" si="13"/>
        <v>39.573170731707314</v>
      </c>
      <c r="L19" s="217">
        <f t="shared" si="14"/>
        <v>-1.5111666176902787</v>
      </c>
      <c r="N19" s="15">
        <v>50</v>
      </c>
      <c r="O19" s="15" t="s">
        <v>46</v>
      </c>
      <c r="P19" s="15" t="s">
        <v>50</v>
      </c>
      <c r="Q19" s="15" t="s">
        <v>48</v>
      </c>
      <c r="R19" s="91">
        <v>1.41</v>
      </c>
      <c r="S19" s="92">
        <v>22.6</v>
      </c>
      <c r="T19" s="16">
        <f t="shared" si="15"/>
        <v>6.2389380530973444</v>
      </c>
      <c r="U19" s="218">
        <v>2.37</v>
      </c>
      <c r="V19" s="53">
        <v>23.5</v>
      </c>
      <c r="W19" s="221">
        <f t="shared" si="16"/>
        <v>10.085106382978724</v>
      </c>
      <c r="X19">
        <f t="shared" si="17"/>
        <v>3.8461683298813796</v>
      </c>
    </row>
    <row r="20" spans="1:24" ht="16">
      <c r="A20" s="97">
        <v>63</v>
      </c>
      <c r="B20" s="97" t="s">
        <v>51</v>
      </c>
      <c r="C20" s="97" t="s">
        <v>50</v>
      </c>
      <c r="D20" s="97" t="s">
        <v>333</v>
      </c>
      <c r="F20" s="98">
        <v>22.04</v>
      </c>
      <c r="G20" s="99">
        <v>49.3</v>
      </c>
      <c r="H20" s="16">
        <f t="shared" si="12"/>
        <v>44.705882352941181</v>
      </c>
      <c r="I20" s="219">
        <v>22.2</v>
      </c>
      <c r="J20" s="104">
        <v>50.3</v>
      </c>
      <c r="K20" s="224">
        <f t="shared" si="13"/>
        <v>44.135188866799204</v>
      </c>
      <c r="L20" s="217">
        <f t="shared" si="14"/>
        <v>-0.57069348614197679</v>
      </c>
      <c r="N20" s="15">
        <v>51</v>
      </c>
      <c r="O20" s="15" t="s">
        <v>46</v>
      </c>
      <c r="P20" s="15" t="s">
        <v>50</v>
      </c>
      <c r="Q20" s="15" t="s">
        <v>48</v>
      </c>
      <c r="R20" s="91">
        <v>1.58</v>
      </c>
      <c r="S20" s="92">
        <v>20.8</v>
      </c>
      <c r="T20" s="16">
        <f t="shared" si="15"/>
        <v>7.5961538461538467</v>
      </c>
      <c r="U20" s="218">
        <v>2.95</v>
      </c>
      <c r="V20" s="53">
        <v>23</v>
      </c>
      <c r="W20" s="221">
        <f t="shared" si="16"/>
        <v>12.82608695652174</v>
      </c>
      <c r="X20">
        <f t="shared" si="17"/>
        <v>5.2299331103678934</v>
      </c>
    </row>
    <row r="21" spans="1:24" ht="16">
      <c r="A21" s="97">
        <v>64</v>
      </c>
      <c r="B21" s="97" t="s">
        <v>51</v>
      </c>
      <c r="C21" s="97" t="s">
        <v>50</v>
      </c>
      <c r="D21" s="97" t="s">
        <v>333</v>
      </c>
      <c r="F21" s="98">
        <v>20.95</v>
      </c>
      <c r="G21" s="99">
        <v>50.4</v>
      </c>
      <c r="H21" s="16">
        <f t="shared" si="12"/>
        <v>41.567460317460316</v>
      </c>
      <c r="I21" s="219">
        <v>18.27</v>
      </c>
      <c r="J21" s="104">
        <v>46.8</v>
      </c>
      <c r="K21" s="224">
        <f t="shared" si="13"/>
        <v>39.03846153846154</v>
      </c>
      <c r="L21" s="217">
        <f t="shared" si="14"/>
        <v>-2.5289987789987762</v>
      </c>
      <c r="N21" s="15">
        <v>52</v>
      </c>
      <c r="O21" s="15" t="s">
        <v>46</v>
      </c>
      <c r="P21" s="15" t="s">
        <v>50</v>
      </c>
      <c r="Q21" s="15" t="s">
        <v>48</v>
      </c>
      <c r="R21" s="91">
        <v>1.43</v>
      </c>
      <c r="S21" s="92">
        <v>21.5</v>
      </c>
      <c r="T21" s="16">
        <f t="shared" si="15"/>
        <v>6.6511627906976747</v>
      </c>
      <c r="U21" s="218">
        <v>2.04</v>
      </c>
      <c r="V21" s="53">
        <v>21.8</v>
      </c>
      <c r="W21" s="221">
        <f t="shared" si="16"/>
        <v>9.3577981651376145</v>
      </c>
      <c r="X21">
        <f t="shared" si="17"/>
        <v>2.7066353744399398</v>
      </c>
    </row>
    <row r="22" spans="1:24" ht="16">
      <c r="A22" s="97">
        <v>65</v>
      </c>
      <c r="B22" s="97" t="s">
        <v>51</v>
      </c>
      <c r="C22" s="97" t="s">
        <v>50</v>
      </c>
      <c r="D22" s="97" t="s">
        <v>333</v>
      </c>
      <c r="F22" s="98">
        <v>23.24</v>
      </c>
      <c r="G22" s="99">
        <v>56.5</v>
      </c>
      <c r="H22" s="16">
        <f t="shared" si="12"/>
        <v>41.13274336283186</v>
      </c>
      <c r="I22" s="219">
        <v>24.15</v>
      </c>
      <c r="J22" s="104">
        <v>57</v>
      </c>
      <c r="K22" s="224">
        <f t="shared" si="13"/>
        <v>42.368421052631575</v>
      </c>
      <c r="L22" s="217">
        <f t="shared" si="14"/>
        <v>1.235677689799715</v>
      </c>
      <c r="N22" s="15">
        <v>53</v>
      </c>
      <c r="O22" s="15" t="s">
        <v>46</v>
      </c>
      <c r="P22" s="15" t="s">
        <v>50</v>
      </c>
      <c r="Q22" s="15" t="s">
        <v>48</v>
      </c>
      <c r="R22" s="91">
        <v>1.56</v>
      </c>
      <c r="S22" s="92">
        <v>22.5</v>
      </c>
      <c r="T22" s="16">
        <f t="shared" si="15"/>
        <v>6.9333333333333327</v>
      </c>
      <c r="U22" s="218">
        <v>3.18</v>
      </c>
      <c r="V22" s="53">
        <v>24.3</v>
      </c>
      <c r="W22" s="221">
        <f t="shared" si="16"/>
        <v>13.086419753086421</v>
      </c>
      <c r="X22">
        <f t="shared" si="17"/>
        <v>6.1530864197530883</v>
      </c>
    </row>
    <row r="23" spans="1:24" ht="16">
      <c r="A23" s="15">
        <v>66</v>
      </c>
      <c r="B23" s="15" t="s">
        <v>51</v>
      </c>
      <c r="C23" s="15" t="s">
        <v>50</v>
      </c>
      <c r="D23" s="62" t="s">
        <v>48</v>
      </c>
      <c r="F23" s="91">
        <v>23.68</v>
      </c>
      <c r="G23" s="92">
        <v>54.5</v>
      </c>
      <c r="H23" s="16">
        <f t="shared" si="12"/>
        <v>43.449541284403672</v>
      </c>
      <c r="I23" s="218">
        <v>28.44</v>
      </c>
      <c r="J23" s="53">
        <v>61.6</v>
      </c>
      <c r="K23" s="221">
        <f t="shared" si="13"/>
        <v>46.168831168831169</v>
      </c>
      <c r="L23">
        <f t="shared" si="14"/>
        <v>2.7192898844274964</v>
      </c>
      <c r="N23" s="82">
        <v>54</v>
      </c>
      <c r="O23" s="82" t="s">
        <v>46</v>
      </c>
      <c r="P23" s="82" t="s">
        <v>50</v>
      </c>
      <c r="Q23" s="82" t="s">
        <v>333</v>
      </c>
      <c r="R23" s="83">
        <v>1.32</v>
      </c>
      <c r="S23" s="84">
        <v>22.4</v>
      </c>
      <c r="T23" s="16">
        <f t="shared" si="15"/>
        <v>5.8928571428571432</v>
      </c>
      <c r="U23" s="220">
        <v>1.99</v>
      </c>
      <c r="V23" s="89">
        <v>23.7</v>
      </c>
      <c r="W23" s="227">
        <f t="shared" si="16"/>
        <v>8.3966244725738388</v>
      </c>
      <c r="X23" s="216">
        <f t="shared" si="17"/>
        <v>2.5037673297166956</v>
      </c>
    </row>
    <row r="24" spans="1:24" ht="16">
      <c r="A24" s="15">
        <v>67</v>
      </c>
      <c r="B24" s="15" t="s">
        <v>51</v>
      </c>
      <c r="C24" s="15" t="s">
        <v>50</v>
      </c>
      <c r="D24" s="62" t="s">
        <v>48</v>
      </c>
      <c r="F24" s="91">
        <v>14.55</v>
      </c>
      <c r="G24" s="92">
        <v>41.7</v>
      </c>
      <c r="H24" s="16">
        <f t="shared" si="12"/>
        <v>34.89208633093525</v>
      </c>
      <c r="I24" s="218">
        <v>19.920000000000002</v>
      </c>
      <c r="J24" s="53">
        <v>47.1</v>
      </c>
      <c r="K24" s="221">
        <f t="shared" si="13"/>
        <v>42.29299363057325</v>
      </c>
      <c r="L24">
        <f t="shared" si="14"/>
        <v>7.4009072996379999</v>
      </c>
      <c r="N24" s="82">
        <v>55</v>
      </c>
      <c r="O24" s="82" t="s">
        <v>46</v>
      </c>
      <c r="P24" s="82" t="s">
        <v>50</v>
      </c>
      <c r="Q24" s="82" t="s">
        <v>333</v>
      </c>
      <c r="R24" s="83">
        <v>0.96</v>
      </c>
      <c r="S24" s="84">
        <v>22.8</v>
      </c>
      <c r="T24" s="16">
        <f t="shared" si="15"/>
        <v>4.2105263157894735</v>
      </c>
      <c r="U24" s="220">
        <v>1.28</v>
      </c>
      <c r="V24" s="89">
        <v>23.6</v>
      </c>
      <c r="W24" s="227">
        <f t="shared" si="16"/>
        <v>5.4237288135593218</v>
      </c>
      <c r="X24" s="216">
        <f t="shared" si="17"/>
        <v>1.2132024977698483</v>
      </c>
    </row>
    <row r="25" spans="1:24" ht="16">
      <c r="A25" s="15">
        <v>68</v>
      </c>
      <c r="B25" s="15" t="s">
        <v>51</v>
      </c>
      <c r="C25" s="15" t="s">
        <v>50</v>
      </c>
      <c r="D25" s="62" t="s">
        <v>48</v>
      </c>
      <c r="F25" s="91">
        <v>22.21</v>
      </c>
      <c r="G25" s="92">
        <v>51.5</v>
      </c>
      <c r="H25" s="16">
        <f t="shared" si="12"/>
        <v>43.126213592233007</v>
      </c>
      <c r="I25" s="218">
        <v>23.3</v>
      </c>
      <c r="J25" s="53">
        <v>54.4</v>
      </c>
      <c r="K25" s="221">
        <f t="shared" si="13"/>
        <v>42.830882352941181</v>
      </c>
      <c r="L25">
        <f t="shared" si="14"/>
        <v>-0.29533123929182636</v>
      </c>
      <c r="N25" s="15">
        <v>56</v>
      </c>
      <c r="O25" s="15" t="s">
        <v>46</v>
      </c>
      <c r="P25" s="15" t="s">
        <v>50</v>
      </c>
      <c r="Q25" s="15" t="s">
        <v>48</v>
      </c>
      <c r="R25" s="91">
        <v>1.63</v>
      </c>
      <c r="S25" s="92">
        <v>22</v>
      </c>
      <c r="T25" s="16">
        <f t="shared" si="15"/>
        <v>7.4090909090909083</v>
      </c>
      <c r="U25" s="218">
        <v>2.2599999999999998</v>
      </c>
      <c r="V25" s="53">
        <v>23</v>
      </c>
      <c r="W25" s="221">
        <f t="shared" si="16"/>
        <v>9.8260869565217384</v>
      </c>
      <c r="X25">
        <f t="shared" si="17"/>
        <v>2.4169960474308301</v>
      </c>
    </row>
    <row r="26" spans="1:24" ht="16">
      <c r="A26" s="97">
        <v>69</v>
      </c>
      <c r="B26" s="97" t="s">
        <v>51</v>
      </c>
      <c r="C26" s="97" t="s">
        <v>50</v>
      </c>
      <c r="D26" s="97" t="s">
        <v>333</v>
      </c>
      <c r="F26" s="98">
        <v>21</v>
      </c>
      <c r="G26" s="99">
        <v>49.9</v>
      </c>
      <c r="H26" s="16">
        <f t="shared" si="12"/>
        <v>42.084168336673351</v>
      </c>
      <c r="I26" s="219">
        <v>20.49</v>
      </c>
      <c r="J26" s="104">
        <v>49.4</v>
      </c>
      <c r="K26" s="224">
        <f t="shared" si="13"/>
        <v>41.477732793522264</v>
      </c>
      <c r="L26" s="217">
        <f t="shared" si="14"/>
        <v>-0.60643554315108616</v>
      </c>
      <c r="N26" s="15">
        <v>57</v>
      </c>
      <c r="O26" s="15" t="s">
        <v>46</v>
      </c>
      <c r="P26" s="15" t="s">
        <v>50</v>
      </c>
      <c r="Q26" s="15" t="s">
        <v>48</v>
      </c>
      <c r="R26" s="91">
        <v>0.86</v>
      </c>
      <c r="S26" s="92">
        <v>20.5</v>
      </c>
      <c r="T26" s="16">
        <f t="shared" si="15"/>
        <v>4.1951219512195124</v>
      </c>
      <c r="U26" s="218">
        <v>1.61</v>
      </c>
      <c r="V26" s="53">
        <v>22.3</v>
      </c>
      <c r="W26" s="221">
        <f t="shared" si="16"/>
        <v>7.2197309417040358</v>
      </c>
      <c r="X26">
        <f t="shared" si="17"/>
        <v>3.0246089904845235</v>
      </c>
    </row>
    <row r="27" spans="1:24" ht="16">
      <c r="A27" s="15">
        <v>70</v>
      </c>
      <c r="B27" s="15" t="s">
        <v>51</v>
      </c>
      <c r="C27" s="15" t="s">
        <v>50</v>
      </c>
      <c r="D27" s="62" t="s">
        <v>48</v>
      </c>
      <c r="F27" s="91">
        <v>16.95</v>
      </c>
      <c r="G27" s="92">
        <v>46.2</v>
      </c>
      <c r="H27" s="16">
        <f t="shared" si="12"/>
        <v>36.688311688311686</v>
      </c>
      <c r="I27" s="218">
        <v>19.73</v>
      </c>
      <c r="J27" s="53">
        <v>46.6</v>
      </c>
      <c r="K27" s="221">
        <f t="shared" si="13"/>
        <v>42.339055793991413</v>
      </c>
      <c r="L27">
        <f t="shared" si="14"/>
        <v>5.6507441056797276</v>
      </c>
      <c r="N27" s="82">
        <v>58</v>
      </c>
      <c r="O27" s="82" t="s">
        <v>46</v>
      </c>
      <c r="P27" s="82" t="s">
        <v>50</v>
      </c>
      <c r="Q27" s="82" t="s">
        <v>333</v>
      </c>
      <c r="R27" s="83">
        <v>1.54</v>
      </c>
      <c r="S27" s="84">
        <v>21.3</v>
      </c>
      <c r="T27" s="16">
        <f t="shared" si="15"/>
        <v>7.2300469483568079</v>
      </c>
      <c r="U27" s="220">
        <v>1.57</v>
      </c>
      <c r="V27" s="89">
        <v>22.2</v>
      </c>
      <c r="W27" s="227">
        <f t="shared" si="16"/>
        <v>7.0720720720720722</v>
      </c>
      <c r="X27" s="216">
        <f t="shared" si="17"/>
        <v>-0.15797487628473572</v>
      </c>
    </row>
    <row r="28" spans="1:24" ht="16">
      <c r="A28" s="107">
        <v>71</v>
      </c>
      <c r="B28" s="107" t="s">
        <v>51</v>
      </c>
      <c r="C28" s="97" t="s">
        <v>50</v>
      </c>
      <c r="D28" s="97" t="s">
        <v>333</v>
      </c>
      <c r="F28" s="98">
        <v>23.14</v>
      </c>
      <c r="G28" s="99">
        <v>54.9</v>
      </c>
      <c r="H28" s="16">
        <f t="shared" si="12"/>
        <v>42.149362477231335</v>
      </c>
      <c r="I28" s="219">
        <v>26.28</v>
      </c>
      <c r="J28" s="104">
        <v>57.3</v>
      </c>
      <c r="K28" s="224">
        <f t="shared" si="13"/>
        <v>45.863874345549746</v>
      </c>
      <c r="L28" s="217">
        <f t="shared" si="14"/>
        <v>3.7145118683184108</v>
      </c>
      <c r="N28" s="82">
        <v>59</v>
      </c>
      <c r="O28" s="82" t="s">
        <v>46</v>
      </c>
      <c r="P28" s="82" t="s">
        <v>50</v>
      </c>
      <c r="Q28" s="82" t="s">
        <v>333</v>
      </c>
      <c r="R28" s="83">
        <v>1.37</v>
      </c>
      <c r="S28" s="84">
        <v>21.3</v>
      </c>
      <c r="T28" s="16">
        <f t="shared" si="15"/>
        <v>6.4319248826291089</v>
      </c>
      <c r="U28" s="220">
        <v>1.47</v>
      </c>
      <c r="V28" s="89">
        <v>22.1</v>
      </c>
      <c r="W28" s="227">
        <f t="shared" si="16"/>
        <v>6.6515837104072402</v>
      </c>
      <c r="X28" s="216">
        <f t="shared" si="17"/>
        <v>0.21965882777813128</v>
      </c>
    </row>
    <row r="29" spans="1:24" ht="16">
      <c r="N29" s="82">
        <v>60</v>
      </c>
      <c r="O29" s="82" t="s">
        <v>46</v>
      </c>
      <c r="P29" s="82" t="s">
        <v>50</v>
      </c>
      <c r="Q29" s="82" t="s">
        <v>333</v>
      </c>
      <c r="R29" s="83">
        <v>1.07</v>
      </c>
      <c r="S29" s="84">
        <v>23</v>
      </c>
      <c r="T29" s="16">
        <f t="shared" si="15"/>
        <v>4.6521739130434785</v>
      </c>
      <c r="U29" s="220">
        <v>1.75</v>
      </c>
      <c r="V29" s="89">
        <v>24.1</v>
      </c>
      <c r="W29" s="227">
        <f t="shared" si="16"/>
        <v>7.2614107883817418</v>
      </c>
      <c r="X29" s="216">
        <f t="shared" si="17"/>
        <v>2.6092368753382633</v>
      </c>
    </row>
    <row r="34" spans="21:23">
      <c r="U34" s="15"/>
      <c r="V34" s="15"/>
      <c r="W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opLeftCell="A10" workbookViewId="0">
      <selection activeCell="G31" sqref="G31"/>
    </sheetView>
  </sheetViews>
  <sheetFormatPr baseColWidth="10" defaultColWidth="9.1640625" defaultRowHeight="15"/>
  <cols>
    <col min="8" max="8" width="11.1640625" customWidth="1"/>
  </cols>
  <sheetData>
    <row r="1" spans="1:16">
      <c r="A1" t="s">
        <v>336</v>
      </c>
    </row>
    <row r="3" spans="1:16" ht="64">
      <c r="A3" t="s">
        <v>328</v>
      </c>
      <c r="E3" s="2"/>
      <c r="F3" s="2" t="s">
        <v>340</v>
      </c>
      <c r="G3" s="6" t="s">
        <v>337</v>
      </c>
      <c r="H3" s="214" t="s">
        <v>341</v>
      </c>
      <c r="N3" s="2" t="s">
        <v>340</v>
      </c>
      <c r="O3" s="6" t="s">
        <v>337</v>
      </c>
      <c r="P3" s="214" t="s">
        <v>341</v>
      </c>
    </row>
    <row r="4" spans="1:16" ht="16">
      <c r="A4" s="15">
        <v>19</v>
      </c>
      <c r="B4" s="15" t="s">
        <v>51</v>
      </c>
      <c r="C4" s="15" t="s">
        <v>50</v>
      </c>
      <c r="D4" s="15" t="s">
        <v>48</v>
      </c>
      <c r="E4" s="16"/>
      <c r="F4" s="16">
        <v>15.43</v>
      </c>
      <c r="G4" s="21">
        <v>18.37</v>
      </c>
      <c r="H4">
        <f>G4-F4</f>
        <v>2.9400000000000013</v>
      </c>
      <c r="J4" s="15">
        <v>7</v>
      </c>
      <c r="K4" s="15" t="s">
        <v>46</v>
      </c>
      <c r="L4" s="15" t="s">
        <v>50</v>
      </c>
      <c r="M4" s="15" t="s">
        <v>48</v>
      </c>
      <c r="N4" s="16">
        <v>1.19</v>
      </c>
      <c r="O4" s="21">
        <v>1.45</v>
      </c>
      <c r="P4">
        <f>O4-N4</f>
        <v>0.26</v>
      </c>
    </row>
    <row r="5" spans="1:16" ht="16">
      <c r="A5" s="22">
        <v>20</v>
      </c>
      <c r="B5" s="22" t="s">
        <v>51</v>
      </c>
      <c r="C5" s="22" t="s">
        <v>50</v>
      </c>
      <c r="D5" s="22" t="s">
        <v>49</v>
      </c>
      <c r="E5" s="23"/>
      <c r="F5" s="23">
        <v>17.440000000000001</v>
      </c>
      <c r="G5" s="28">
        <v>17.98</v>
      </c>
      <c r="H5" s="215">
        <f t="shared" ref="H5:H9" si="0">G5-F5</f>
        <v>0.53999999999999915</v>
      </c>
      <c r="J5" s="22">
        <v>8</v>
      </c>
      <c r="K5" s="22" t="s">
        <v>46</v>
      </c>
      <c r="L5" s="22" t="s">
        <v>50</v>
      </c>
      <c r="M5" s="22" t="s">
        <v>49</v>
      </c>
      <c r="N5" s="23">
        <v>0.9</v>
      </c>
      <c r="O5" s="28">
        <v>1.2</v>
      </c>
      <c r="P5" s="215">
        <f t="shared" ref="P5:P9" si="1">O5-N5</f>
        <v>0.29999999999999993</v>
      </c>
    </row>
    <row r="6" spans="1:16" ht="16">
      <c r="A6" s="15">
        <v>21</v>
      </c>
      <c r="B6" s="15" t="s">
        <v>51</v>
      </c>
      <c r="C6" s="15" t="s">
        <v>50</v>
      </c>
      <c r="D6" s="15" t="s">
        <v>48</v>
      </c>
      <c r="E6" s="16"/>
      <c r="F6" s="16">
        <v>17.829999999999998</v>
      </c>
      <c r="G6" s="21">
        <v>23.41</v>
      </c>
      <c r="H6">
        <f t="shared" si="0"/>
        <v>5.5800000000000018</v>
      </c>
      <c r="J6" s="15">
        <v>9</v>
      </c>
      <c r="K6" s="15" t="s">
        <v>46</v>
      </c>
      <c r="L6" s="15" t="s">
        <v>50</v>
      </c>
      <c r="M6" s="15" t="s">
        <v>48</v>
      </c>
      <c r="N6" s="16">
        <v>0.84</v>
      </c>
      <c r="O6" s="21">
        <v>1.48</v>
      </c>
      <c r="P6">
        <f t="shared" si="1"/>
        <v>0.64</v>
      </c>
    </row>
    <row r="7" spans="1:16" ht="16">
      <c r="A7" s="22">
        <v>22</v>
      </c>
      <c r="B7" s="22" t="s">
        <v>51</v>
      </c>
      <c r="C7" s="22" t="s">
        <v>50</v>
      </c>
      <c r="D7" s="22" t="s">
        <v>49</v>
      </c>
      <c r="E7" s="23"/>
      <c r="F7" s="23">
        <v>10.95</v>
      </c>
      <c r="G7" s="28">
        <v>15.53</v>
      </c>
      <c r="H7" s="215">
        <f t="shared" si="0"/>
        <v>4.58</v>
      </c>
      <c r="J7" s="22">
        <v>10</v>
      </c>
      <c r="K7" s="22" t="s">
        <v>46</v>
      </c>
      <c r="L7" s="22" t="s">
        <v>50</v>
      </c>
      <c r="M7" s="22" t="s">
        <v>49</v>
      </c>
      <c r="N7" s="23">
        <v>1.22</v>
      </c>
      <c r="O7" s="28">
        <v>1.83</v>
      </c>
      <c r="P7" s="215">
        <f t="shared" si="1"/>
        <v>0.6100000000000001</v>
      </c>
    </row>
    <row r="8" spans="1:16" ht="16">
      <c r="A8" s="15">
        <v>23</v>
      </c>
      <c r="B8" s="15" t="s">
        <v>51</v>
      </c>
      <c r="C8" s="15" t="s">
        <v>50</v>
      </c>
      <c r="D8" s="15" t="s">
        <v>48</v>
      </c>
      <c r="E8" s="16"/>
      <c r="F8" s="16">
        <v>15.1</v>
      </c>
      <c r="G8" s="21">
        <v>27.45</v>
      </c>
      <c r="H8">
        <f t="shared" si="0"/>
        <v>12.35</v>
      </c>
      <c r="J8" s="15">
        <v>11</v>
      </c>
      <c r="K8" s="15" t="s">
        <v>46</v>
      </c>
      <c r="L8" s="15" t="s">
        <v>50</v>
      </c>
      <c r="M8" s="15" t="s">
        <v>48</v>
      </c>
      <c r="N8" s="16">
        <v>1.1299999999999999</v>
      </c>
      <c r="O8" s="21">
        <v>1.8</v>
      </c>
      <c r="P8">
        <f t="shared" si="1"/>
        <v>0.67000000000000015</v>
      </c>
    </row>
    <row r="9" spans="1:16" ht="16">
      <c r="A9" s="22">
        <v>24</v>
      </c>
      <c r="B9" s="22" t="s">
        <v>51</v>
      </c>
      <c r="C9" s="22" t="s">
        <v>50</v>
      </c>
      <c r="D9" s="22" t="s">
        <v>49</v>
      </c>
      <c r="E9" s="23"/>
      <c r="F9" s="23">
        <v>13.58</v>
      </c>
      <c r="G9" s="28">
        <v>17.510000000000002</v>
      </c>
      <c r="H9" s="215">
        <f t="shared" si="0"/>
        <v>3.9300000000000015</v>
      </c>
      <c r="J9" s="22">
        <v>12</v>
      </c>
      <c r="K9" s="22" t="s">
        <v>46</v>
      </c>
      <c r="L9" s="22" t="s">
        <v>50</v>
      </c>
      <c r="M9" s="22" t="s">
        <v>49</v>
      </c>
      <c r="N9" s="23">
        <v>1.47</v>
      </c>
      <c r="O9" s="28">
        <v>3.48</v>
      </c>
      <c r="P9" s="215">
        <f t="shared" si="1"/>
        <v>2.0099999999999998</v>
      </c>
    </row>
    <row r="10" spans="1:16" ht="64">
      <c r="F10" s="2" t="s">
        <v>342</v>
      </c>
      <c r="G10" s="42" t="s">
        <v>338</v>
      </c>
      <c r="H10" s="214" t="s">
        <v>343</v>
      </c>
      <c r="N10" s="2" t="s">
        <v>342</v>
      </c>
      <c r="O10" s="42" t="s">
        <v>338</v>
      </c>
      <c r="P10" s="214" t="s">
        <v>343</v>
      </c>
    </row>
    <row r="11" spans="1:16" ht="16">
      <c r="A11" s="15">
        <v>43</v>
      </c>
      <c r="B11" s="15" t="s">
        <v>51</v>
      </c>
      <c r="C11" s="15" t="s">
        <v>50</v>
      </c>
      <c r="D11" s="15" t="s">
        <v>48</v>
      </c>
      <c r="F11" s="21">
        <v>21.76</v>
      </c>
      <c r="G11" s="21">
        <v>27.19</v>
      </c>
      <c r="H11">
        <f>G11-F11</f>
        <v>5.43</v>
      </c>
      <c r="J11" s="15">
        <v>31</v>
      </c>
      <c r="K11" s="15" t="s">
        <v>46</v>
      </c>
      <c r="L11" s="15" t="s">
        <v>50</v>
      </c>
      <c r="M11" s="15" t="s">
        <v>48</v>
      </c>
      <c r="N11" s="21">
        <v>0.85</v>
      </c>
      <c r="O11" s="21">
        <v>1.25</v>
      </c>
      <c r="P11">
        <f>O11-N11</f>
        <v>0.4</v>
      </c>
    </row>
    <row r="12" spans="1:16" ht="16">
      <c r="A12" s="22">
        <v>44</v>
      </c>
      <c r="B12" s="22" t="s">
        <v>51</v>
      </c>
      <c r="C12" s="22" t="s">
        <v>50</v>
      </c>
      <c r="D12" s="22" t="s">
        <v>49</v>
      </c>
      <c r="F12" s="28">
        <v>18.899999999999999</v>
      </c>
      <c r="G12" s="28">
        <v>22.23</v>
      </c>
      <c r="H12" s="215">
        <f t="shared" ref="H12:H16" si="2">G12-F12</f>
        <v>3.3300000000000018</v>
      </c>
      <c r="J12" s="22">
        <v>32</v>
      </c>
      <c r="K12" s="22" t="s">
        <v>46</v>
      </c>
      <c r="L12" s="22" t="s">
        <v>50</v>
      </c>
      <c r="M12" s="22" t="s">
        <v>49</v>
      </c>
      <c r="N12" s="28">
        <v>0.8</v>
      </c>
      <c r="O12" s="28">
        <v>1.05</v>
      </c>
      <c r="P12" s="215">
        <f t="shared" ref="P12:P16" si="3">O12-N12</f>
        <v>0.25</v>
      </c>
    </row>
    <row r="13" spans="1:16" ht="16">
      <c r="A13" s="15">
        <v>45</v>
      </c>
      <c r="B13" s="15" t="s">
        <v>51</v>
      </c>
      <c r="C13" s="15" t="s">
        <v>50</v>
      </c>
      <c r="D13" s="15" t="s">
        <v>48</v>
      </c>
      <c r="F13" s="21">
        <v>19.43</v>
      </c>
      <c r="G13" s="21">
        <v>22.62</v>
      </c>
      <c r="H13">
        <f t="shared" si="2"/>
        <v>3.1900000000000013</v>
      </c>
      <c r="J13" s="15">
        <v>33</v>
      </c>
      <c r="K13" s="15" t="s">
        <v>46</v>
      </c>
      <c r="L13" s="15" t="s">
        <v>50</v>
      </c>
      <c r="M13" s="15" t="s">
        <v>48</v>
      </c>
      <c r="N13" s="21">
        <v>1.24</v>
      </c>
      <c r="O13" s="21">
        <v>1.52</v>
      </c>
      <c r="P13">
        <f t="shared" si="3"/>
        <v>0.28000000000000003</v>
      </c>
    </row>
    <row r="14" spans="1:16" ht="16">
      <c r="A14" s="22">
        <v>46</v>
      </c>
      <c r="B14" s="22" t="s">
        <v>51</v>
      </c>
      <c r="C14" s="22" t="s">
        <v>50</v>
      </c>
      <c r="D14" s="22" t="s">
        <v>49</v>
      </c>
      <c r="F14" s="28">
        <v>17.79</v>
      </c>
      <c r="G14" s="28">
        <v>20.37</v>
      </c>
      <c r="H14" s="215">
        <f t="shared" si="2"/>
        <v>2.5800000000000018</v>
      </c>
      <c r="J14" s="22">
        <v>34</v>
      </c>
      <c r="K14" s="22" t="s">
        <v>46</v>
      </c>
      <c r="L14" s="22" t="s">
        <v>50</v>
      </c>
      <c r="M14" s="22" t="s">
        <v>49</v>
      </c>
      <c r="N14" s="28">
        <v>1.28</v>
      </c>
      <c r="O14" s="28">
        <v>1.79</v>
      </c>
      <c r="P14" s="215">
        <f t="shared" si="3"/>
        <v>0.51</v>
      </c>
    </row>
    <row r="15" spans="1:16" ht="16">
      <c r="A15" s="59">
        <v>47</v>
      </c>
      <c r="B15" s="59" t="s">
        <v>51</v>
      </c>
      <c r="C15" s="59" t="s">
        <v>50</v>
      </c>
      <c r="D15" s="59" t="s">
        <v>49</v>
      </c>
      <c r="F15" s="60">
        <v>21.75</v>
      </c>
      <c r="G15" s="28">
        <v>28.85</v>
      </c>
      <c r="H15" s="215">
        <f t="shared" si="2"/>
        <v>7.1000000000000014</v>
      </c>
      <c r="J15" s="15">
        <v>35</v>
      </c>
      <c r="K15" s="15" t="s">
        <v>46</v>
      </c>
      <c r="L15" s="15" t="s">
        <v>50</v>
      </c>
      <c r="M15" s="15" t="s">
        <v>48</v>
      </c>
      <c r="N15" s="21">
        <v>1.93</v>
      </c>
      <c r="O15" s="21">
        <v>3.43</v>
      </c>
      <c r="P15">
        <f t="shared" si="3"/>
        <v>1.5000000000000002</v>
      </c>
    </row>
    <row r="16" spans="1:16" ht="16">
      <c r="A16" s="62">
        <v>48</v>
      </c>
      <c r="B16" s="62" t="s">
        <v>51</v>
      </c>
      <c r="C16" s="62" t="s">
        <v>50</v>
      </c>
      <c r="D16" s="62" t="s">
        <v>48</v>
      </c>
      <c r="F16" s="63">
        <v>16.77</v>
      </c>
      <c r="G16" s="21">
        <v>18.09</v>
      </c>
      <c r="H16">
        <f t="shared" si="2"/>
        <v>1.3200000000000003</v>
      </c>
      <c r="J16" s="22">
        <v>36</v>
      </c>
      <c r="K16" s="22" t="s">
        <v>46</v>
      </c>
      <c r="L16" s="22" t="s">
        <v>50</v>
      </c>
      <c r="M16" s="22" t="s">
        <v>49</v>
      </c>
      <c r="N16" s="28">
        <v>1.1000000000000001</v>
      </c>
      <c r="O16" s="28">
        <v>1.41</v>
      </c>
      <c r="P16" s="215">
        <f t="shared" si="3"/>
        <v>0.30999999999999983</v>
      </c>
    </row>
    <row r="17" spans="1:16" ht="64">
      <c r="F17" s="2" t="s">
        <v>344</v>
      </c>
      <c r="G17" s="80" t="s">
        <v>339</v>
      </c>
      <c r="H17" s="214" t="s">
        <v>345</v>
      </c>
      <c r="N17" s="2" t="s">
        <v>344</v>
      </c>
      <c r="O17" s="80" t="s">
        <v>339</v>
      </c>
      <c r="P17" s="214" t="s">
        <v>345</v>
      </c>
    </row>
    <row r="18" spans="1:16" ht="16">
      <c r="A18" s="15">
        <v>61</v>
      </c>
      <c r="B18" s="15" t="s">
        <v>51</v>
      </c>
      <c r="C18" s="15" t="s">
        <v>50</v>
      </c>
      <c r="D18" s="62" t="s">
        <v>48</v>
      </c>
      <c r="F18" s="91">
        <v>20.55</v>
      </c>
      <c r="G18" s="218">
        <v>21.89</v>
      </c>
      <c r="H18">
        <f>G18-F18</f>
        <v>1.3399999999999999</v>
      </c>
      <c r="J18" s="82">
        <v>49</v>
      </c>
      <c r="K18" s="82" t="s">
        <v>46</v>
      </c>
      <c r="L18" s="82" t="s">
        <v>50</v>
      </c>
      <c r="M18" s="82" t="s">
        <v>333</v>
      </c>
      <c r="N18" s="83">
        <v>1.19</v>
      </c>
      <c r="O18" s="220">
        <v>1.58</v>
      </c>
      <c r="P18" s="216">
        <f>O18-N18</f>
        <v>0.39000000000000012</v>
      </c>
    </row>
    <row r="19" spans="1:16" ht="16">
      <c r="A19" s="97">
        <v>62</v>
      </c>
      <c r="B19" s="97" t="s">
        <v>51</v>
      </c>
      <c r="C19" s="97" t="s">
        <v>50</v>
      </c>
      <c r="D19" s="97" t="s">
        <v>333</v>
      </c>
      <c r="F19" s="98">
        <v>20.46</v>
      </c>
      <c r="G19" s="219">
        <v>19.47</v>
      </c>
      <c r="H19" s="217">
        <f t="shared" ref="H19:H28" si="4">G19-F19</f>
        <v>-0.99000000000000199</v>
      </c>
      <c r="J19" s="15">
        <v>50</v>
      </c>
      <c r="K19" s="15" t="s">
        <v>46</v>
      </c>
      <c r="L19" s="15" t="s">
        <v>50</v>
      </c>
      <c r="M19" s="15" t="s">
        <v>48</v>
      </c>
      <c r="N19" s="91">
        <v>1.41</v>
      </c>
      <c r="O19" s="218">
        <v>2.37</v>
      </c>
      <c r="P19">
        <f t="shared" ref="P19:P29" si="5">O19-N19</f>
        <v>0.96000000000000019</v>
      </c>
    </row>
    <row r="20" spans="1:16" ht="16">
      <c r="A20" s="97">
        <v>63</v>
      </c>
      <c r="B20" s="97" t="s">
        <v>51</v>
      </c>
      <c r="C20" s="97" t="s">
        <v>50</v>
      </c>
      <c r="D20" s="97" t="s">
        <v>333</v>
      </c>
      <c r="F20" s="98">
        <v>22.04</v>
      </c>
      <c r="G20" s="219">
        <v>22.2</v>
      </c>
      <c r="H20" s="217">
        <f t="shared" si="4"/>
        <v>0.16000000000000014</v>
      </c>
      <c r="J20" s="15">
        <v>51</v>
      </c>
      <c r="K20" s="15" t="s">
        <v>46</v>
      </c>
      <c r="L20" s="15" t="s">
        <v>50</v>
      </c>
      <c r="M20" s="15" t="s">
        <v>48</v>
      </c>
      <c r="N20" s="91">
        <v>1.58</v>
      </c>
      <c r="O20" s="218">
        <v>2.95</v>
      </c>
      <c r="P20">
        <f t="shared" si="5"/>
        <v>1.37</v>
      </c>
    </row>
    <row r="21" spans="1:16" ht="16">
      <c r="A21" s="97">
        <v>64</v>
      </c>
      <c r="B21" s="97" t="s">
        <v>51</v>
      </c>
      <c r="C21" s="97" t="s">
        <v>50</v>
      </c>
      <c r="D21" s="97" t="s">
        <v>333</v>
      </c>
      <c r="F21" s="98">
        <v>20.95</v>
      </c>
      <c r="G21" s="219">
        <v>18.27</v>
      </c>
      <c r="H21" s="217">
        <f t="shared" si="4"/>
        <v>-2.6799999999999997</v>
      </c>
      <c r="J21" s="15">
        <v>52</v>
      </c>
      <c r="K21" s="15" t="s">
        <v>46</v>
      </c>
      <c r="L21" s="15" t="s">
        <v>50</v>
      </c>
      <c r="M21" s="15" t="s">
        <v>48</v>
      </c>
      <c r="N21" s="91">
        <v>1.43</v>
      </c>
      <c r="O21" s="218">
        <v>2.04</v>
      </c>
      <c r="P21">
        <f t="shared" si="5"/>
        <v>0.6100000000000001</v>
      </c>
    </row>
    <row r="22" spans="1:16" ht="16">
      <c r="A22" s="97">
        <v>65</v>
      </c>
      <c r="B22" s="97" t="s">
        <v>51</v>
      </c>
      <c r="C22" s="97" t="s">
        <v>50</v>
      </c>
      <c r="D22" s="97" t="s">
        <v>333</v>
      </c>
      <c r="F22" s="98">
        <v>23.24</v>
      </c>
      <c r="G22" s="219">
        <v>24.15</v>
      </c>
      <c r="H22" s="217">
        <f t="shared" si="4"/>
        <v>0.91000000000000014</v>
      </c>
      <c r="J22" s="15">
        <v>53</v>
      </c>
      <c r="K22" s="15" t="s">
        <v>46</v>
      </c>
      <c r="L22" s="15" t="s">
        <v>50</v>
      </c>
      <c r="M22" s="15" t="s">
        <v>48</v>
      </c>
      <c r="N22" s="91">
        <v>1.56</v>
      </c>
      <c r="O22" s="218">
        <v>3.18</v>
      </c>
      <c r="P22">
        <f t="shared" si="5"/>
        <v>1.62</v>
      </c>
    </row>
    <row r="23" spans="1:16" ht="16">
      <c r="A23" s="15">
        <v>66</v>
      </c>
      <c r="B23" s="15" t="s">
        <v>51</v>
      </c>
      <c r="C23" s="15" t="s">
        <v>50</v>
      </c>
      <c r="D23" s="62" t="s">
        <v>48</v>
      </c>
      <c r="F23" s="91">
        <v>23.68</v>
      </c>
      <c r="G23" s="218">
        <v>28.44</v>
      </c>
      <c r="H23">
        <f t="shared" si="4"/>
        <v>4.7600000000000016</v>
      </c>
      <c r="J23" s="82">
        <v>54</v>
      </c>
      <c r="K23" s="82" t="s">
        <v>46</v>
      </c>
      <c r="L23" s="82" t="s">
        <v>50</v>
      </c>
      <c r="M23" s="82" t="s">
        <v>333</v>
      </c>
      <c r="N23" s="83">
        <v>1.32</v>
      </c>
      <c r="O23" s="220">
        <v>1.99</v>
      </c>
      <c r="P23" s="216">
        <f t="shared" si="5"/>
        <v>0.66999999999999993</v>
      </c>
    </row>
    <row r="24" spans="1:16" ht="16">
      <c r="A24" s="15">
        <v>67</v>
      </c>
      <c r="B24" s="15" t="s">
        <v>51</v>
      </c>
      <c r="C24" s="15" t="s">
        <v>50</v>
      </c>
      <c r="D24" s="62" t="s">
        <v>48</v>
      </c>
      <c r="F24" s="91">
        <v>14.55</v>
      </c>
      <c r="G24" s="218">
        <v>19.920000000000002</v>
      </c>
      <c r="H24">
        <f t="shared" si="4"/>
        <v>5.370000000000001</v>
      </c>
      <c r="J24" s="82">
        <v>55</v>
      </c>
      <c r="K24" s="82" t="s">
        <v>46</v>
      </c>
      <c r="L24" s="82" t="s">
        <v>50</v>
      </c>
      <c r="M24" s="82" t="s">
        <v>333</v>
      </c>
      <c r="N24" s="83">
        <v>0.96</v>
      </c>
      <c r="O24" s="220">
        <v>1.28</v>
      </c>
      <c r="P24" s="216">
        <f t="shared" si="5"/>
        <v>0.32000000000000006</v>
      </c>
    </row>
    <row r="25" spans="1:16" ht="16">
      <c r="A25" s="15">
        <v>68</v>
      </c>
      <c r="B25" s="15" t="s">
        <v>51</v>
      </c>
      <c r="C25" s="15" t="s">
        <v>50</v>
      </c>
      <c r="D25" s="62" t="s">
        <v>48</v>
      </c>
      <c r="F25" s="91">
        <v>22.21</v>
      </c>
      <c r="G25" s="218">
        <v>23.3</v>
      </c>
      <c r="H25">
        <f t="shared" si="4"/>
        <v>1.0899999999999999</v>
      </c>
      <c r="J25" s="15">
        <v>56</v>
      </c>
      <c r="K25" s="15" t="s">
        <v>46</v>
      </c>
      <c r="L25" s="15" t="s">
        <v>50</v>
      </c>
      <c r="M25" s="15" t="s">
        <v>48</v>
      </c>
      <c r="N25" s="91">
        <v>1.63</v>
      </c>
      <c r="O25" s="218">
        <v>2.2599999999999998</v>
      </c>
      <c r="P25">
        <f t="shared" si="5"/>
        <v>0.62999999999999989</v>
      </c>
    </row>
    <row r="26" spans="1:16" ht="16">
      <c r="A26" s="97">
        <v>69</v>
      </c>
      <c r="B26" s="97" t="s">
        <v>51</v>
      </c>
      <c r="C26" s="97" t="s">
        <v>50</v>
      </c>
      <c r="D26" s="97" t="s">
        <v>333</v>
      </c>
      <c r="F26" s="98">
        <v>21</v>
      </c>
      <c r="G26" s="219">
        <v>20.49</v>
      </c>
      <c r="H26" s="217">
        <f t="shared" si="4"/>
        <v>-0.51000000000000156</v>
      </c>
      <c r="J26" s="15">
        <v>57</v>
      </c>
      <c r="K26" s="15" t="s">
        <v>46</v>
      </c>
      <c r="L26" s="15" t="s">
        <v>50</v>
      </c>
      <c r="M26" s="15" t="s">
        <v>48</v>
      </c>
      <c r="N26" s="91">
        <v>0.86</v>
      </c>
      <c r="O26" s="218">
        <v>1.61</v>
      </c>
      <c r="P26">
        <f t="shared" si="5"/>
        <v>0.75000000000000011</v>
      </c>
    </row>
    <row r="27" spans="1:16" ht="16">
      <c r="A27" s="15">
        <v>70</v>
      </c>
      <c r="B27" s="15" t="s">
        <v>51</v>
      </c>
      <c r="C27" s="15" t="s">
        <v>50</v>
      </c>
      <c r="D27" s="62" t="s">
        <v>48</v>
      </c>
      <c r="F27" s="91">
        <v>16.95</v>
      </c>
      <c r="G27" s="218">
        <v>19.73</v>
      </c>
      <c r="H27">
        <f t="shared" si="4"/>
        <v>2.7800000000000011</v>
      </c>
      <c r="J27" s="82">
        <v>58</v>
      </c>
      <c r="K27" s="82" t="s">
        <v>46</v>
      </c>
      <c r="L27" s="82" t="s">
        <v>50</v>
      </c>
      <c r="M27" s="82" t="s">
        <v>333</v>
      </c>
      <c r="N27" s="83">
        <v>1.54</v>
      </c>
      <c r="O27" s="220">
        <v>1.57</v>
      </c>
      <c r="P27" s="216">
        <f t="shared" si="5"/>
        <v>3.0000000000000027E-2</v>
      </c>
    </row>
    <row r="28" spans="1:16" ht="16">
      <c r="A28" s="107">
        <v>71</v>
      </c>
      <c r="B28" s="107" t="s">
        <v>51</v>
      </c>
      <c r="C28" s="97" t="s">
        <v>50</v>
      </c>
      <c r="D28" s="97" t="s">
        <v>333</v>
      </c>
      <c r="F28" s="98">
        <v>23.14</v>
      </c>
      <c r="G28" s="219">
        <v>26.28</v>
      </c>
      <c r="H28" s="217">
        <f t="shared" si="4"/>
        <v>3.1400000000000006</v>
      </c>
      <c r="J28" s="82">
        <v>59</v>
      </c>
      <c r="K28" s="82" t="s">
        <v>46</v>
      </c>
      <c r="L28" s="82" t="s">
        <v>50</v>
      </c>
      <c r="M28" s="82" t="s">
        <v>333</v>
      </c>
      <c r="N28" s="83">
        <v>1.37</v>
      </c>
      <c r="O28" s="220">
        <v>1.47</v>
      </c>
      <c r="P28" s="216">
        <f t="shared" si="5"/>
        <v>9.9999999999999867E-2</v>
      </c>
    </row>
    <row r="29" spans="1:16" ht="16">
      <c r="J29" s="82">
        <v>60</v>
      </c>
      <c r="K29" s="82" t="s">
        <v>46</v>
      </c>
      <c r="L29" s="82" t="s">
        <v>50</v>
      </c>
      <c r="M29" s="82" t="s">
        <v>333</v>
      </c>
      <c r="N29" s="83">
        <v>1.07</v>
      </c>
      <c r="O29" s="220">
        <v>1.75</v>
      </c>
      <c r="P29" s="216">
        <f t="shared" si="5"/>
        <v>0.67999999999999994</v>
      </c>
    </row>
    <row r="34" spans="15:15">
      <c r="O34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opLeftCell="B1" workbookViewId="0">
      <selection activeCell="O1" sqref="O1:O1048576"/>
    </sheetView>
  </sheetViews>
  <sheetFormatPr baseColWidth="10" defaultColWidth="8.83203125" defaultRowHeight="15"/>
  <cols>
    <col min="5" max="5" width="9.1640625"/>
    <col min="8" max="8" width="11.1640625" customWidth="1"/>
  </cols>
  <sheetData>
    <row r="1" spans="1:16">
      <c r="A1" t="s">
        <v>327</v>
      </c>
    </row>
    <row r="3" spans="1:16" ht="64">
      <c r="A3" t="s">
        <v>328</v>
      </c>
      <c r="E3" s="2" t="s">
        <v>12</v>
      </c>
      <c r="F3" s="2" t="s">
        <v>13</v>
      </c>
      <c r="G3" s="6" t="s">
        <v>329</v>
      </c>
      <c r="H3" s="214" t="s">
        <v>330</v>
      </c>
      <c r="N3" s="2" t="s">
        <v>13</v>
      </c>
      <c r="O3" s="6" t="s">
        <v>329</v>
      </c>
      <c r="P3" s="214" t="s">
        <v>330</v>
      </c>
    </row>
    <row r="4" spans="1:16" ht="16">
      <c r="A4" s="15">
        <v>19</v>
      </c>
      <c r="B4" s="15" t="s">
        <v>51</v>
      </c>
      <c r="C4" s="15" t="s">
        <v>50</v>
      </c>
      <c r="D4" s="15" t="s">
        <v>48</v>
      </c>
      <c r="E4" s="16">
        <v>42.9</v>
      </c>
      <c r="F4" s="16">
        <v>42.6</v>
      </c>
      <c r="G4" s="15">
        <v>46.6</v>
      </c>
      <c r="H4">
        <f>G4-F4</f>
        <v>4</v>
      </c>
      <c r="J4" s="15">
        <v>7</v>
      </c>
      <c r="K4" s="15" t="s">
        <v>46</v>
      </c>
      <c r="L4" s="15" t="s">
        <v>50</v>
      </c>
      <c r="M4" s="15" t="s">
        <v>48</v>
      </c>
      <c r="N4" s="16">
        <v>20.8</v>
      </c>
      <c r="O4" s="15">
        <v>21.7</v>
      </c>
      <c r="P4">
        <f>O4-N4</f>
        <v>0.89999999999999858</v>
      </c>
    </row>
    <row r="5" spans="1:16" ht="32">
      <c r="A5" s="22">
        <v>20</v>
      </c>
      <c r="B5" s="22" t="s">
        <v>51</v>
      </c>
      <c r="C5" s="22" t="s">
        <v>50</v>
      </c>
      <c r="D5" s="22" t="s">
        <v>49</v>
      </c>
      <c r="E5" s="23">
        <v>46.3</v>
      </c>
      <c r="F5" s="23">
        <v>46.1</v>
      </c>
      <c r="G5" s="22">
        <v>46.8</v>
      </c>
      <c r="H5" s="215">
        <f t="shared" ref="H5:H9" si="0">G5-F5</f>
        <v>0.69999999999999574</v>
      </c>
      <c r="J5" s="22">
        <v>8</v>
      </c>
      <c r="K5" s="22" t="s">
        <v>46</v>
      </c>
      <c r="L5" s="22" t="s">
        <v>50</v>
      </c>
      <c r="M5" s="22" t="s">
        <v>49</v>
      </c>
      <c r="N5" s="23">
        <v>21.7</v>
      </c>
      <c r="O5" s="22">
        <v>23.6</v>
      </c>
      <c r="P5" s="215">
        <f t="shared" ref="P5:P9" si="1">O5-N5</f>
        <v>1.9000000000000021</v>
      </c>
    </row>
    <row r="6" spans="1:16" ht="16">
      <c r="A6" s="15">
        <v>21</v>
      </c>
      <c r="B6" s="15" t="s">
        <v>51</v>
      </c>
      <c r="C6" s="15" t="s">
        <v>50</v>
      </c>
      <c r="D6" s="15" t="s">
        <v>48</v>
      </c>
      <c r="E6" s="16">
        <v>44.4</v>
      </c>
      <c r="F6" s="16">
        <v>45.9</v>
      </c>
      <c r="G6" s="15">
        <v>52.5</v>
      </c>
      <c r="H6">
        <f t="shared" si="0"/>
        <v>6.6000000000000014</v>
      </c>
      <c r="J6" s="15">
        <v>9</v>
      </c>
      <c r="K6" s="15" t="s">
        <v>46</v>
      </c>
      <c r="L6" s="15" t="s">
        <v>50</v>
      </c>
      <c r="M6" s="15" t="s">
        <v>48</v>
      </c>
      <c r="N6" s="16">
        <v>20.8</v>
      </c>
      <c r="O6" s="15">
        <v>22.6</v>
      </c>
      <c r="P6">
        <f t="shared" si="1"/>
        <v>1.8000000000000007</v>
      </c>
    </row>
    <row r="7" spans="1:16" ht="32">
      <c r="A7" s="22">
        <v>22</v>
      </c>
      <c r="B7" s="22" t="s">
        <v>51</v>
      </c>
      <c r="C7" s="22" t="s">
        <v>50</v>
      </c>
      <c r="D7" s="22" t="s">
        <v>49</v>
      </c>
      <c r="E7" s="23">
        <v>39.6</v>
      </c>
      <c r="F7" s="23">
        <v>39.5</v>
      </c>
      <c r="G7" s="22">
        <v>43.2</v>
      </c>
      <c r="H7" s="215">
        <f t="shared" si="0"/>
        <v>3.7000000000000028</v>
      </c>
      <c r="J7" s="22">
        <v>10</v>
      </c>
      <c r="K7" s="22" t="s">
        <v>46</v>
      </c>
      <c r="L7" s="22" t="s">
        <v>50</v>
      </c>
      <c r="M7" s="22" t="s">
        <v>49</v>
      </c>
      <c r="N7" s="23">
        <v>21.4</v>
      </c>
      <c r="O7" s="22">
        <v>22.8</v>
      </c>
      <c r="P7" s="215">
        <f t="shared" si="1"/>
        <v>1.4000000000000021</v>
      </c>
    </row>
    <row r="8" spans="1:16" ht="16">
      <c r="A8" s="15">
        <v>23</v>
      </c>
      <c r="B8" s="15" t="s">
        <v>51</v>
      </c>
      <c r="C8" s="15" t="s">
        <v>50</v>
      </c>
      <c r="D8" s="15" t="s">
        <v>48</v>
      </c>
      <c r="E8" s="16">
        <v>45.4</v>
      </c>
      <c r="F8" s="16">
        <v>46.3</v>
      </c>
      <c r="G8" s="15">
        <v>58.9</v>
      </c>
      <c r="H8">
        <f t="shared" si="0"/>
        <v>12.600000000000001</v>
      </c>
      <c r="J8" s="15">
        <v>11</v>
      </c>
      <c r="K8" s="15" t="s">
        <v>46</v>
      </c>
      <c r="L8" s="15" t="s">
        <v>50</v>
      </c>
      <c r="M8" s="15" t="s">
        <v>48</v>
      </c>
      <c r="N8" s="16">
        <v>22</v>
      </c>
      <c r="O8" s="15">
        <v>23.2</v>
      </c>
      <c r="P8">
        <f t="shared" si="1"/>
        <v>1.1999999999999993</v>
      </c>
    </row>
    <row r="9" spans="1:16" ht="32">
      <c r="A9" s="22">
        <v>24</v>
      </c>
      <c r="B9" s="22" t="s">
        <v>51</v>
      </c>
      <c r="C9" s="22" t="s">
        <v>50</v>
      </c>
      <c r="D9" s="22" t="s">
        <v>49</v>
      </c>
      <c r="E9" s="23">
        <v>43.8</v>
      </c>
      <c r="F9" s="23">
        <v>44.6</v>
      </c>
      <c r="G9" s="22">
        <v>47.4</v>
      </c>
      <c r="H9" s="215">
        <f t="shared" si="0"/>
        <v>2.7999999999999972</v>
      </c>
      <c r="J9" s="22">
        <v>12</v>
      </c>
      <c r="K9" s="22" t="s">
        <v>46</v>
      </c>
      <c r="L9" s="22" t="s">
        <v>50</v>
      </c>
      <c r="M9" s="22" t="s">
        <v>49</v>
      </c>
      <c r="N9" s="23">
        <v>23</v>
      </c>
      <c r="O9" s="22">
        <v>25.8</v>
      </c>
      <c r="P9" s="215">
        <f t="shared" si="1"/>
        <v>2.8000000000000007</v>
      </c>
    </row>
    <row r="10" spans="1:16" ht="80">
      <c r="F10" s="2" t="s">
        <v>66</v>
      </c>
      <c r="G10" s="42" t="s">
        <v>331</v>
      </c>
      <c r="H10" s="214" t="s">
        <v>332</v>
      </c>
      <c r="N10" s="2" t="s">
        <v>66</v>
      </c>
      <c r="O10" s="42" t="s">
        <v>331</v>
      </c>
      <c r="P10" s="214" t="s">
        <v>332</v>
      </c>
    </row>
    <row r="11" spans="1:16" ht="16">
      <c r="A11" s="15">
        <v>43</v>
      </c>
      <c r="B11" s="15" t="s">
        <v>51</v>
      </c>
      <c r="C11" s="15" t="s">
        <v>50</v>
      </c>
      <c r="D11" s="15" t="s">
        <v>48</v>
      </c>
      <c r="F11" s="15">
        <v>52.05</v>
      </c>
      <c r="G11" s="15">
        <v>59.5</v>
      </c>
      <c r="H11">
        <f>G11-F11</f>
        <v>7.4500000000000028</v>
      </c>
      <c r="J11" s="15">
        <v>31</v>
      </c>
      <c r="K11" s="15" t="s">
        <v>46</v>
      </c>
      <c r="L11" s="15" t="s">
        <v>50</v>
      </c>
      <c r="M11" s="15" t="s">
        <v>48</v>
      </c>
      <c r="N11" s="15">
        <v>19.95</v>
      </c>
      <c r="O11" s="15">
        <v>21.1</v>
      </c>
      <c r="P11">
        <f>O11-N11</f>
        <v>1.1500000000000021</v>
      </c>
    </row>
    <row r="12" spans="1:16" ht="32">
      <c r="A12" s="22">
        <v>44</v>
      </c>
      <c r="B12" s="22" t="s">
        <v>51</v>
      </c>
      <c r="C12" s="22" t="s">
        <v>50</v>
      </c>
      <c r="D12" s="22" t="s">
        <v>49</v>
      </c>
      <c r="F12" s="22">
        <v>47.39</v>
      </c>
      <c r="G12" s="22">
        <v>53.9</v>
      </c>
      <c r="H12" s="215">
        <f t="shared" ref="H12:H16" si="2">G12-F12</f>
        <v>6.509999999999998</v>
      </c>
      <c r="J12" s="22">
        <v>32</v>
      </c>
      <c r="K12" s="22" t="s">
        <v>46</v>
      </c>
      <c r="L12" s="22" t="s">
        <v>50</v>
      </c>
      <c r="M12" s="22" t="s">
        <v>49</v>
      </c>
      <c r="N12" s="22">
        <v>20.53</v>
      </c>
      <c r="O12" s="22">
        <v>20.7</v>
      </c>
      <c r="P12" s="215">
        <f t="shared" ref="P12:P16" si="3">O12-N12</f>
        <v>0.16999999999999815</v>
      </c>
    </row>
    <row r="13" spans="1:16" ht="16">
      <c r="A13" s="15">
        <v>45</v>
      </c>
      <c r="B13" s="15" t="s">
        <v>51</v>
      </c>
      <c r="C13" s="15" t="s">
        <v>50</v>
      </c>
      <c r="D13" s="15" t="s">
        <v>48</v>
      </c>
      <c r="F13" s="15">
        <v>48.92</v>
      </c>
      <c r="G13" s="15">
        <v>55.4</v>
      </c>
      <c r="H13">
        <f t="shared" si="2"/>
        <v>6.4799999999999969</v>
      </c>
      <c r="J13" s="15">
        <v>33</v>
      </c>
      <c r="K13" s="15" t="s">
        <v>46</v>
      </c>
      <c r="L13" s="15" t="s">
        <v>50</v>
      </c>
      <c r="M13" s="15" t="s">
        <v>48</v>
      </c>
      <c r="N13" s="15">
        <v>21.28</v>
      </c>
      <c r="O13" s="15">
        <v>21.7</v>
      </c>
      <c r="P13">
        <f t="shared" si="3"/>
        <v>0.41999999999999815</v>
      </c>
    </row>
    <row r="14" spans="1:16" ht="32">
      <c r="A14" s="22">
        <v>46</v>
      </c>
      <c r="B14" s="22" t="s">
        <v>51</v>
      </c>
      <c r="C14" s="22" t="s">
        <v>50</v>
      </c>
      <c r="D14" s="22" t="s">
        <v>49</v>
      </c>
      <c r="F14" s="22">
        <v>44.74</v>
      </c>
      <c r="G14" s="22">
        <v>51</v>
      </c>
      <c r="H14" s="215">
        <f t="shared" si="2"/>
        <v>6.259999999999998</v>
      </c>
      <c r="J14" s="22">
        <v>34</v>
      </c>
      <c r="K14" s="22" t="s">
        <v>46</v>
      </c>
      <c r="L14" s="22" t="s">
        <v>50</v>
      </c>
      <c r="M14" s="22" t="s">
        <v>49</v>
      </c>
      <c r="N14" s="22">
        <v>21.62</v>
      </c>
      <c r="O14" s="22">
        <v>23.1</v>
      </c>
      <c r="P14" s="215">
        <f t="shared" si="3"/>
        <v>1.4800000000000004</v>
      </c>
    </row>
    <row r="15" spans="1:16" ht="32">
      <c r="A15" s="59">
        <v>47</v>
      </c>
      <c r="B15" s="59" t="s">
        <v>51</v>
      </c>
      <c r="C15" s="59" t="s">
        <v>50</v>
      </c>
      <c r="D15" s="59" t="s">
        <v>49</v>
      </c>
      <c r="F15" s="59">
        <v>50.2</v>
      </c>
      <c r="G15" s="59">
        <v>60.4</v>
      </c>
      <c r="H15" s="215">
        <f t="shared" si="2"/>
        <v>10.199999999999996</v>
      </c>
      <c r="J15" s="15">
        <v>35</v>
      </c>
      <c r="K15" s="15" t="s">
        <v>46</v>
      </c>
      <c r="L15" s="15" t="s">
        <v>50</v>
      </c>
      <c r="M15" s="15" t="s">
        <v>48</v>
      </c>
      <c r="N15" s="15">
        <v>22.95</v>
      </c>
      <c r="O15" s="15">
        <v>24.6</v>
      </c>
      <c r="P15">
        <f t="shared" si="3"/>
        <v>1.6500000000000021</v>
      </c>
    </row>
    <row r="16" spans="1:16" ht="32">
      <c r="A16" s="62">
        <v>48</v>
      </c>
      <c r="B16" s="62" t="s">
        <v>51</v>
      </c>
      <c r="C16" s="62" t="s">
        <v>50</v>
      </c>
      <c r="D16" s="62" t="s">
        <v>48</v>
      </c>
      <c r="F16" s="62">
        <v>43</v>
      </c>
      <c r="G16" s="62">
        <v>46.4</v>
      </c>
      <c r="H16">
        <f t="shared" si="2"/>
        <v>3.3999999999999986</v>
      </c>
      <c r="J16" s="22">
        <v>36</v>
      </c>
      <c r="K16" s="22" t="s">
        <v>46</v>
      </c>
      <c r="L16" s="22" t="s">
        <v>50</v>
      </c>
      <c r="M16" s="22" t="s">
        <v>49</v>
      </c>
      <c r="N16" s="22">
        <v>21.85</v>
      </c>
      <c r="O16" s="22">
        <v>23.7</v>
      </c>
      <c r="P16" s="215">
        <f t="shared" si="3"/>
        <v>1.8499999999999979</v>
      </c>
    </row>
    <row r="17" spans="1:16" ht="64">
      <c r="F17" s="2" t="s">
        <v>119</v>
      </c>
      <c r="G17" s="80" t="s">
        <v>334</v>
      </c>
      <c r="H17" s="214" t="s">
        <v>335</v>
      </c>
      <c r="N17" s="2" t="s">
        <v>119</v>
      </c>
      <c r="O17" s="80" t="s">
        <v>334</v>
      </c>
      <c r="P17" s="214" t="s">
        <v>335</v>
      </c>
    </row>
    <row r="18" spans="1:16" ht="16">
      <c r="A18" s="15">
        <v>61</v>
      </c>
      <c r="B18" s="15" t="s">
        <v>51</v>
      </c>
      <c r="C18" s="15" t="s">
        <v>50</v>
      </c>
      <c r="D18" s="62" t="s">
        <v>48</v>
      </c>
      <c r="F18" s="92">
        <v>48.2</v>
      </c>
      <c r="G18" s="53">
        <v>50.4</v>
      </c>
      <c r="H18">
        <f>G18-F18</f>
        <v>2.1999999999999957</v>
      </c>
      <c r="J18" s="82">
        <v>49</v>
      </c>
      <c r="K18" s="82" t="s">
        <v>46</v>
      </c>
      <c r="L18" s="82" t="s">
        <v>50</v>
      </c>
      <c r="M18" s="82" t="s">
        <v>333</v>
      </c>
      <c r="N18" s="84">
        <v>21</v>
      </c>
      <c r="O18" s="89">
        <v>22.9</v>
      </c>
      <c r="P18" s="216">
        <f>O18-N18</f>
        <v>1.8999999999999986</v>
      </c>
    </row>
    <row r="19" spans="1:16" ht="16">
      <c r="A19" s="97">
        <v>62</v>
      </c>
      <c r="B19" s="97" t="s">
        <v>51</v>
      </c>
      <c r="C19" s="97" t="s">
        <v>50</v>
      </c>
      <c r="D19" s="97" t="s">
        <v>333</v>
      </c>
      <c r="F19" s="99">
        <v>49.8</v>
      </c>
      <c r="G19" s="104">
        <v>49.2</v>
      </c>
      <c r="H19" s="217">
        <f t="shared" ref="H19:H28" si="4">G19-F19</f>
        <v>-0.59999999999999432</v>
      </c>
      <c r="J19" s="15">
        <v>50</v>
      </c>
      <c r="K19" s="15" t="s">
        <v>46</v>
      </c>
      <c r="L19" s="15" t="s">
        <v>50</v>
      </c>
      <c r="M19" s="15" t="s">
        <v>48</v>
      </c>
      <c r="N19" s="92">
        <v>22.6</v>
      </c>
      <c r="O19" s="53">
        <v>23.5</v>
      </c>
      <c r="P19">
        <f t="shared" ref="P19:P29" si="5">O19-N19</f>
        <v>0.89999999999999858</v>
      </c>
    </row>
    <row r="20" spans="1:16" ht="16">
      <c r="A20" s="97">
        <v>63</v>
      </c>
      <c r="B20" s="97" t="s">
        <v>51</v>
      </c>
      <c r="C20" s="97" t="s">
        <v>50</v>
      </c>
      <c r="D20" s="97" t="s">
        <v>333</v>
      </c>
      <c r="F20" s="99">
        <v>49.3</v>
      </c>
      <c r="G20" s="104">
        <v>50.3</v>
      </c>
      <c r="H20" s="217">
        <f t="shared" si="4"/>
        <v>1</v>
      </c>
      <c r="J20" s="15">
        <v>51</v>
      </c>
      <c r="K20" s="15" t="s">
        <v>46</v>
      </c>
      <c r="L20" s="15" t="s">
        <v>50</v>
      </c>
      <c r="M20" s="15" t="s">
        <v>48</v>
      </c>
      <c r="N20" s="92">
        <v>20.8</v>
      </c>
      <c r="O20" s="53">
        <v>23</v>
      </c>
      <c r="P20">
        <f t="shared" si="5"/>
        <v>2.1999999999999993</v>
      </c>
    </row>
    <row r="21" spans="1:16" ht="16">
      <c r="A21" s="97">
        <v>64</v>
      </c>
      <c r="B21" s="97" t="s">
        <v>51</v>
      </c>
      <c r="C21" s="97" t="s">
        <v>50</v>
      </c>
      <c r="D21" s="97" t="s">
        <v>333</v>
      </c>
      <c r="F21" s="99">
        <v>50.4</v>
      </c>
      <c r="G21" s="104">
        <v>46.8</v>
      </c>
      <c r="H21" s="217">
        <f t="shared" si="4"/>
        <v>-3.6000000000000014</v>
      </c>
      <c r="J21" s="15">
        <v>52</v>
      </c>
      <c r="K21" s="15" t="s">
        <v>46</v>
      </c>
      <c r="L21" s="15" t="s">
        <v>50</v>
      </c>
      <c r="M21" s="15" t="s">
        <v>48</v>
      </c>
      <c r="N21" s="92">
        <v>21.5</v>
      </c>
      <c r="O21" s="53">
        <v>21.8</v>
      </c>
      <c r="P21">
        <f t="shared" si="5"/>
        <v>0.30000000000000071</v>
      </c>
    </row>
    <row r="22" spans="1:16" ht="16">
      <c r="A22" s="97">
        <v>65</v>
      </c>
      <c r="B22" s="97" t="s">
        <v>51</v>
      </c>
      <c r="C22" s="97" t="s">
        <v>50</v>
      </c>
      <c r="D22" s="97" t="s">
        <v>333</v>
      </c>
      <c r="F22" s="99">
        <v>56.5</v>
      </c>
      <c r="G22" s="104">
        <v>57</v>
      </c>
      <c r="H22" s="217">
        <f t="shared" si="4"/>
        <v>0.5</v>
      </c>
      <c r="J22" s="15">
        <v>53</v>
      </c>
      <c r="K22" s="15" t="s">
        <v>46</v>
      </c>
      <c r="L22" s="15" t="s">
        <v>50</v>
      </c>
      <c r="M22" s="15" t="s">
        <v>48</v>
      </c>
      <c r="N22" s="92">
        <v>22.5</v>
      </c>
      <c r="O22" s="53">
        <v>24.3</v>
      </c>
      <c r="P22">
        <f t="shared" si="5"/>
        <v>1.8000000000000007</v>
      </c>
    </row>
    <row r="23" spans="1:16" ht="16">
      <c r="A23" s="15">
        <v>66</v>
      </c>
      <c r="B23" s="15" t="s">
        <v>51</v>
      </c>
      <c r="C23" s="15" t="s">
        <v>50</v>
      </c>
      <c r="D23" s="62" t="s">
        <v>48</v>
      </c>
      <c r="F23" s="92">
        <v>54.5</v>
      </c>
      <c r="G23" s="53">
        <v>61.6</v>
      </c>
      <c r="H23">
        <f t="shared" si="4"/>
        <v>7.1000000000000014</v>
      </c>
      <c r="J23" s="82">
        <v>54</v>
      </c>
      <c r="K23" s="82" t="s">
        <v>46</v>
      </c>
      <c r="L23" s="82" t="s">
        <v>50</v>
      </c>
      <c r="M23" s="82" t="s">
        <v>333</v>
      </c>
      <c r="N23" s="84">
        <v>22.4</v>
      </c>
      <c r="O23" s="89">
        <v>23.7</v>
      </c>
      <c r="P23" s="216">
        <f t="shared" si="5"/>
        <v>1.3000000000000007</v>
      </c>
    </row>
    <row r="24" spans="1:16" ht="16">
      <c r="A24" s="15">
        <v>67</v>
      </c>
      <c r="B24" s="15" t="s">
        <v>51</v>
      </c>
      <c r="C24" s="15" t="s">
        <v>50</v>
      </c>
      <c r="D24" s="62" t="s">
        <v>48</v>
      </c>
      <c r="F24" s="92">
        <v>41.7</v>
      </c>
      <c r="G24" s="53">
        <v>47.1</v>
      </c>
      <c r="H24">
        <f t="shared" si="4"/>
        <v>5.3999999999999986</v>
      </c>
      <c r="J24" s="82">
        <v>55</v>
      </c>
      <c r="K24" s="82" t="s">
        <v>46</v>
      </c>
      <c r="L24" s="82" t="s">
        <v>50</v>
      </c>
      <c r="M24" s="82" t="s">
        <v>333</v>
      </c>
      <c r="N24" s="84">
        <v>22.8</v>
      </c>
      <c r="O24" s="89">
        <v>23.6</v>
      </c>
      <c r="P24" s="216">
        <f t="shared" si="5"/>
        <v>0.80000000000000071</v>
      </c>
    </row>
    <row r="25" spans="1:16" ht="16">
      <c r="A25" s="15">
        <v>68</v>
      </c>
      <c r="B25" s="15" t="s">
        <v>51</v>
      </c>
      <c r="C25" s="15" t="s">
        <v>50</v>
      </c>
      <c r="D25" s="62" t="s">
        <v>48</v>
      </c>
      <c r="F25" s="92">
        <v>51.5</v>
      </c>
      <c r="G25" s="53">
        <v>54.4</v>
      </c>
      <c r="H25">
        <f t="shared" si="4"/>
        <v>2.8999999999999986</v>
      </c>
      <c r="J25" s="15">
        <v>56</v>
      </c>
      <c r="K25" s="15" t="s">
        <v>46</v>
      </c>
      <c r="L25" s="15" t="s">
        <v>50</v>
      </c>
      <c r="M25" s="15" t="s">
        <v>48</v>
      </c>
      <c r="N25" s="92">
        <v>22</v>
      </c>
      <c r="O25" s="53">
        <v>23</v>
      </c>
      <c r="P25">
        <f t="shared" si="5"/>
        <v>1</v>
      </c>
    </row>
    <row r="26" spans="1:16" ht="16">
      <c r="A26" s="97">
        <v>69</v>
      </c>
      <c r="B26" s="97" t="s">
        <v>51</v>
      </c>
      <c r="C26" s="97" t="s">
        <v>50</v>
      </c>
      <c r="D26" s="97" t="s">
        <v>333</v>
      </c>
      <c r="F26" s="99">
        <v>49.9</v>
      </c>
      <c r="G26" s="104">
        <v>49.4</v>
      </c>
      <c r="H26" s="217">
        <f t="shared" si="4"/>
        <v>-0.5</v>
      </c>
      <c r="J26" s="15">
        <v>57</v>
      </c>
      <c r="K26" s="15" t="s">
        <v>46</v>
      </c>
      <c r="L26" s="15" t="s">
        <v>50</v>
      </c>
      <c r="M26" s="15" t="s">
        <v>48</v>
      </c>
      <c r="N26" s="92">
        <v>20.5</v>
      </c>
      <c r="O26" s="53">
        <v>22.3</v>
      </c>
      <c r="P26">
        <f t="shared" si="5"/>
        <v>1.8000000000000007</v>
      </c>
    </row>
    <row r="27" spans="1:16" ht="16">
      <c r="A27" s="15">
        <v>70</v>
      </c>
      <c r="B27" s="15" t="s">
        <v>51</v>
      </c>
      <c r="C27" s="15" t="s">
        <v>50</v>
      </c>
      <c r="D27" s="62" t="s">
        <v>48</v>
      </c>
      <c r="F27" s="92">
        <v>46.2</v>
      </c>
      <c r="G27" s="53">
        <v>46.6</v>
      </c>
      <c r="H27">
        <f t="shared" si="4"/>
        <v>0.39999999999999858</v>
      </c>
      <c r="J27" s="82">
        <v>58</v>
      </c>
      <c r="K27" s="82" t="s">
        <v>46</v>
      </c>
      <c r="L27" s="82" t="s">
        <v>50</v>
      </c>
      <c r="M27" s="82" t="s">
        <v>333</v>
      </c>
      <c r="N27" s="84">
        <v>21.3</v>
      </c>
      <c r="O27" s="89">
        <v>22.2</v>
      </c>
      <c r="P27" s="216">
        <f t="shared" si="5"/>
        <v>0.89999999999999858</v>
      </c>
    </row>
    <row r="28" spans="1:16" ht="16">
      <c r="A28" s="107">
        <v>71</v>
      </c>
      <c r="B28" s="107" t="s">
        <v>51</v>
      </c>
      <c r="C28" s="97" t="s">
        <v>50</v>
      </c>
      <c r="D28" s="97" t="s">
        <v>333</v>
      </c>
      <c r="F28" s="99">
        <v>54.9</v>
      </c>
      <c r="G28" s="104">
        <v>57.3</v>
      </c>
      <c r="H28" s="217">
        <f t="shared" si="4"/>
        <v>2.3999999999999986</v>
      </c>
      <c r="J28" s="82">
        <v>59</v>
      </c>
      <c r="K28" s="82" t="s">
        <v>46</v>
      </c>
      <c r="L28" s="82" t="s">
        <v>50</v>
      </c>
      <c r="M28" s="82" t="s">
        <v>333</v>
      </c>
      <c r="N28" s="84">
        <v>21.3</v>
      </c>
      <c r="O28" s="89">
        <v>22.1</v>
      </c>
      <c r="P28" s="216">
        <f t="shared" si="5"/>
        <v>0.80000000000000071</v>
      </c>
    </row>
    <row r="29" spans="1:16" ht="16">
      <c r="J29" s="82">
        <v>60</v>
      </c>
      <c r="K29" s="82" t="s">
        <v>46</v>
      </c>
      <c r="L29" s="82" t="s">
        <v>50</v>
      </c>
      <c r="M29" s="82" t="s">
        <v>333</v>
      </c>
      <c r="N29" s="84">
        <v>23</v>
      </c>
      <c r="O29" s="89">
        <v>24.1</v>
      </c>
      <c r="P29" s="216">
        <f t="shared" si="5"/>
        <v>1.1000000000000014</v>
      </c>
    </row>
    <row r="34" spans="15:15">
      <c r="O3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Y39"/>
  <sheetViews>
    <sheetView workbookViewId="0"/>
  </sheetViews>
  <sheetFormatPr baseColWidth="10" defaultColWidth="14.5" defaultRowHeight="15" customHeight="1"/>
  <sheetData>
    <row r="2" spans="1:51">
      <c r="A2" s="254" t="s">
        <v>141</v>
      </c>
      <c r="B2" s="229"/>
      <c r="C2" s="229"/>
      <c r="D2" s="244"/>
      <c r="E2" s="255" t="s">
        <v>142</v>
      </c>
      <c r="F2" s="229"/>
      <c r="G2" s="229"/>
      <c r="H2" s="244"/>
      <c r="I2" s="256" t="s">
        <v>143</v>
      </c>
      <c r="J2" s="229"/>
      <c r="K2" s="229"/>
      <c r="L2" s="244"/>
      <c r="M2" s="243" t="s">
        <v>144</v>
      </c>
      <c r="N2" s="229"/>
      <c r="O2" s="229"/>
      <c r="P2" s="244"/>
      <c r="Q2" s="245" t="s">
        <v>145</v>
      </c>
      <c r="R2" s="229"/>
      <c r="S2" s="229"/>
      <c r="T2" s="244"/>
      <c r="U2" s="246" t="s">
        <v>146</v>
      </c>
      <c r="V2" s="229"/>
      <c r="W2" s="229"/>
      <c r="X2" s="244"/>
      <c r="Y2" s="247" t="s">
        <v>147</v>
      </c>
      <c r="Z2" s="229"/>
      <c r="AA2" s="229"/>
      <c r="AB2" s="244"/>
      <c r="AC2" s="248" t="s">
        <v>148</v>
      </c>
      <c r="AD2" s="229"/>
      <c r="AE2" s="229"/>
      <c r="AF2" s="230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</row>
    <row r="3" spans="1:51">
      <c r="A3" s="109" t="s">
        <v>149</v>
      </c>
      <c r="B3" s="110" t="s">
        <v>150</v>
      </c>
      <c r="C3" s="111" t="s">
        <v>151</v>
      </c>
      <c r="D3" s="112" t="s">
        <v>152</v>
      </c>
      <c r="E3" s="109" t="s">
        <v>149</v>
      </c>
      <c r="F3" s="110" t="s">
        <v>150</v>
      </c>
      <c r="G3" s="111" t="s">
        <v>151</v>
      </c>
      <c r="H3" s="112" t="s">
        <v>152</v>
      </c>
      <c r="I3" s="109" t="s">
        <v>149</v>
      </c>
      <c r="J3" s="110" t="s">
        <v>150</v>
      </c>
      <c r="K3" s="111" t="s">
        <v>151</v>
      </c>
      <c r="L3" s="112" t="s">
        <v>152</v>
      </c>
      <c r="M3" s="109" t="s">
        <v>149</v>
      </c>
      <c r="N3" s="110" t="s">
        <v>150</v>
      </c>
      <c r="O3" s="111" t="s">
        <v>151</v>
      </c>
      <c r="P3" s="112" t="s">
        <v>152</v>
      </c>
      <c r="Q3" s="109" t="s">
        <v>149</v>
      </c>
      <c r="R3" s="110" t="s">
        <v>150</v>
      </c>
      <c r="S3" s="111" t="s">
        <v>151</v>
      </c>
      <c r="T3" s="112" t="s">
        <v>152</v>
      </c>
      <c r="U3" s="109" t="s">
        <v>149</v>
      </c>
      <c r="V3" s="110" t="s">
        <v>150</v>
      </c>
      <c r="W3" s="111" t="s">
        <v>151</v>
      </c>
      <c r="X3" s="112" t="s">
        <v>152</v>
      </c>
      <c r="Y3" s="109" t="s">
        <v>149</v>
      </c>
      <c r="Z3" s="110" t="s">
        <v>150</v>
      </c>
      <c r="AA3" s="111" t="s">
        <v>151</v>
      </c>
      <c r="AB3" s="112" t="s">
        <v>152</v>
      </c>
      <c r="AC3" s="109" t="s">
        <v>149</v>
      </c>
      <c r="AD3" s="110" t="s">
        <v>150</v>
      </c>
      <c r="AE3" s="111" t="s">
        <v>151</v>
      </c>
      <c r="AF3" s="112" t="s">
        <v>152</v>
      </c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</row>
    <row r="4" spans="1:51">
      <c r="A4" s="114">
        <v>28.95</v>
      </c>
      <c r="B4" s="115">
        <v>22.23</v>
      </c>
      <c r="C4" s="115">
        <v>20.41</v>
      </c>
      <c r="D4" s="116">
        <v>0.18</v>
      </c>
      <c r="E4" s="114">
        <v>30.71</v>
      </c>
      <c r="F4" s="115">
        <v>27.19</v>
      </c>
      <c r="G4" s="115">
        <v>21.71</v>
      </c>
      <c r="H4" s="116">
        <v>0.25</v>
      </c>
      <c r="I4" s="114">
        <v>34.54</v>
      </c>
      <c r="J4" s="115">
        <v>1.76</v>
      </c>
      <c r="K4" s="115">
        <v>25.18</v>
      </c>
      <c r="L4" s="116">
        <v>0.97</v>
      </c>
      <c r="M4" s="114">
        <v>36.43</v>
      </c>
      <c r="N4" s="115">
        <v>6.56</v>
      </c>
      <c r="O4" s="115">
        <v>26.05</v>
      </c>
      <c r="P4" s="116">
        <v>0.54</v>
      </c>
      <c r="Q4" s="114">
        <v>18.91</v>
      </c>
      <c r="R4" s="115">
        <v>1.05</v>
      </c>
      <c r="S4" s="115">
        <v>14.37</v>
      </c>
      <c r="T4" s="116">
        <v>0.09</v>
      </c>
      <c r="U4" s="114">
        <v>18.71</v>
      </c>
      <c r="V4" s="115">
        <v>1.25</v>
      </c>
      <c r="W4" s="115">
        <v>14.31</v>
      </c>
      <c r="X4" s="116">
        <v>0.1</v>
      </c>
      <c r="Y4" s="114">
        <v>28.18</v>
      </c>
      <c r="Z4" s="115">
        <v>4.6100000000000003</v>
      </c>
      <c r="AA4" s="115">
        <v>19.989999999999998</v>
      </c>
      <c r="AB4" s="116">
        <v>0.24</v>
      </c>
      <c r="AC4" s="114">
        <v>27.78</v>
      </c>
      <c r="AD4" s="115">
        <v>4.54</v>
      </c>
      <c r="AE4" s="115">
        <v>19.91</v>
      </c>
      <c r="AF4" s="116">
        <v>0.09</v>
      </c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</row>
    <row r="5" spans="1:51">
      <c r="A5" s="114">
        <v>28.77</v>
      </c>
      <c r="B5" s="115">
        <v>20.37</v>
      </c>
      <c r="C5" s="115">
        <v>19.98</v>
      </c>
      <c r="D5" s="116">
        <v>0.24</v>
      </c>
      <c r="E5" s="114">
        <v>30.7</v>
      </c>
      <c r="F5" s="115">
        <v>22.62</v>
      </c>
      <c r="G5" s="115">
        <v>22.25</v>
      </c>
      <c r="H5" s="116">
        <v>0.27</v>
      </c>
      <c r="I5" s="114">
        <v>33.700000000000003</v>
      </c>
      <c r="J5" s="115">
        <v>2.82</v>
      </c>
      <c r="K5" s="115">
        <v>24.45</v>
      </c>
      <c r="L5" s="116">
        <v>0.71</v>
      </c>
      <c r="M5" s="114">
        <v>37.590000000000003</v>
      </c>
      <c r="N5" s="115">
        <v>4.07</v>
      </c>
      <c r="O5" s="115">
        <v>27.39</v>
      </c>
      <c r="P5" s="116">
        <v>0.96</v>
      </c>
      <c r="Q5" s="114">
        <v>20.07</v>
      </c>
      <c r="R5" s="115">
        <v>1.79</v>
      </c>
      <c r="S5" s="115">
        <v>14.8</v>
      </c>
      <c r="T5" s="116">
        <v>0.08</v>
      </c>
      <c r="U5" s="114">
        <v>19.510000000000002</v>
      </c>
      <c r="V5" s="115">
        <v>1.52</v>
      </c>
      <c r="W5" s="115">
        <v>15.1</v>
      </c>
      <c r="X5" s="116">
        <v>0.09</v>
      </c>
      <c r="Y5" s="114">
        <v>24.37</v>
      </c>
      <c r="Z5" s="115">
        <v>3.98</v>
      </c>
      <c r="AA5" s="115">
        <v>18.11</v>
      </c>
      <c r="AB5" s="116">
        <v>0.1</v>
      </c>
      <c r="AC5" s="114">
        <v>26.4</v>
      </c>
      <c r="AD5" s="115">
        <v>2.95</v>
      </c>
      <c r="AE5" s="115">
        <v>18.93</v>
      </c>
      <c r="AF5" s="116">
        <v>0.19</v>
      </c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</row>
    <row r="6" spans="1:51">
      <c r="A6" s="118">
        <v>31.01</v>
      </c>
      <c r="B6" s="115">
        <v>28.85</v>
      </c>
      <c r="C6" s="119">
        <v>21.08</v>
      </c>
      <c r="D6" s="120">
        <v>0.41</v>
      </c>
      <c r="E6" s="118">
        <v>26.78</v>
      </c>
      <c r="F6" s="119">
        <v>18.09</v>
      </c>
      <c r="G6" s="119">
        <v>18.86</v>
      </c>
      <c r="H6" s="120">
        <v>0.26</v>
      </c>
      <c r="I6" s="118">
        <v>31.78</v>
      </c>
      <c r="J6" s="119">
        <v>18.14</v>
      </c>
      <c r="K6" s="119">
        <v>23.06</v>
      </c>
      <c r="L6" s="120">
        <v>0.32</v>
      </c>
      <c r="M6" s="118">
        <v>37.31</v>
      </c>
      <c r="N6" s="119">
        <v>2.48</v>
      </c>
      <c r="O6" s="119">
        <v>28</v>
      </c>
      <c r="P6" s="120">
        <v>1.19</v>
      </c>
      <c r="Q6" s="118">
        <v>21.55</v>
      </c>
      <c r="R6" s="119">
        <v>1.41</v>
      </c>
      <c r="S6" s="119">
        <v>15.61</v>
      </c>
      <c r="T6" s="120">
        <v>0.16</v>
      </c>
      <c r="U6" s="118">
        <v>20.2</v>
      </c>
      <c r="V6" s="119">
        <v>3.43</v>
      </c>
      <c r="W6" s="119">
        <v>15.17</v>
      </c>
      <c r="X6" s="120">
        <v>0.05</v>
      </c>
      <c r="Y6" s="118">
        <v>25.92</v>
      </c>
      <c r="Z6" s="119">
        <v>2.4900000000000002</v>
      </c>
      <c r="AA6" s="119">
        <v>18.260000000000002</v>
      </c>
      <c r="AB6" s="120">
        <v>0.17</v>
      </c>
      <c r="AC6" s="118">
        <v>23.21</v>
      </c>
      <c r="AD6" s="119">
        <v>5.7</v>
      </c>
      <c r="AE6" s="119">
        <v>16.07</v>
      </c>
      <c r="AF6" s="120">
        <v>0.14000000000000001</v>
      </c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</row>
    <row r="7" spans="1:51">
      <c r="A7" s="121"/>
      <c r="B7" s="122"/>
      <c r="C7" s="122"/>
      <c r="D7" s="122"/>
      <c r="E7" s="121"/>
      <c r="F7" s="122"/>
      <c r="G7" s="122"/>
      <c r="H7" s="122"/>
      <c r="I7" s="121"/>
      <c r="J7" s="122"/>
      <c r="K7" s="122"/>
      <c r="L7" s="122"/>
      <c r="M7" s="121"/>
      <c r="N7" s="122"/>
      <c r="O7" s="122"/>
      <c r="P7" s="122"/>
      <c r="Q7" s="121"/>
      <c r="R7" s="122"/>
      <c r="S7" s="122"/>
      <c r="T7" s="122"/>
      <c r="U7" s="121"/>
      <c r="V7" s="122"/>
      <c r="W7" s="122"/>
      <c r="X7" s="122"/>
      <c r="Y7" s="121"/>
      <c r="Z7" s="122"/>
      <c r="AA7" s="122"/>
      <c r="AB7" s="122"/>
      <c r="AC7" s="121"/>
      <c r="AD7" s="122"/>
      <c r="AE7" s="122"/>
      <c r="AF7" s="122"/>
    </row>
    <row r="8" spans="1:51">
      <c r="A8" s="121">
        <f t="shared" ref="A8:AF8" si="0">AVERAGE(A4:A6)</f>
        <v>29.576666666666668</v>
      </c>
      <c r="B8" s="121">
        <f t="shared" si="0"/>
        <v>23.816666666666666</v>
      </c>
      <c r="C8" s="121">
        <f t="shared" si="0"/>
        <v>20.49</v>
      </c>
      <c r="D8" s="121">
        <f t="shared" si="0"/>
        <v>0.27666666666666667</v>
      </c>
      <c r="E8" s="121">
        <f t="shared" si="0"/>
        <v>29.396666666666665</v>
      </c>
      <c r="F8" s="121">
        <f t="shared" si="0"/>
        <v>22.633333333333336</v>
      </c>
      <c r="G8" s="121">
        <f t="shared" si="0"/>
        <v>20.94</v>
      </c>
      <c r="H8" s="121">
        <f t="shared" si="0"/>
        <v>0.26</v>
      </c>
      <c r="I8" s="121">
        <f t="shared" si="0"/>
        <v>33.340000000000003</v>
      </c>
      <c r="J8" s="121">
        <f t="shared" si="0"/>
        <v>7.5733333333333333</v>
      </c>
      <c r="K8" s="121">
        <f t="shared" si="0"/>
        <v>24.23</v>
      </c>
      <c r="L8" s="121">
        <f t="shared" si="0"/>
        <v>0.66666666666666663</v>
      </c>
      <c r="M8" s="121">
        <f t="shared" si="0"/>
        <v>37.110000000000007</v>
      </c>
      <c r="N8" s="121">
        <f t="shared" si="0"/>
        <v>4.37</v>
      </c>
      <c r="O8" s="121">
        <f t="shared" si="0"/>
        <v>27.146666666666665</v>
      </c>
      <c r="P8" s="121">
        <f t="shared" si="0"/>
        <v>0.89666666666666661</v>
      </c>
      <c r="Q8" s="121">
        <f t="shared" si="0"/>
        <v>20.176666666666666</v>
      </c>
      <c r="R8" s="121">
        <f t="shared" si="0"/>
        <v>1.4166666666666667</v>
      </c>
      <c r="S8" s="121">
        <f t="shared" si="0"/>
        <v>14.926666666666668</v>
      </c>
      <c r="T8" s="121">
        <f t="shared" si="0"/>
        <v>0.10999999999999999</v>
      </c>
      <c r="U8" s="121">
        <f t="shared" si="0"/>
        <v>19.473333333333333</v>
      </c>
      <c r="V8" s="121">
        <f t="shared" si="0"/>
        <v>2.0666666666666669</v>
      </c>
      <c r="W8" s="121">
        <f t="shared" si="0"/>
        <v>14.86</v>
      </c>
      <c r="X8" s="121">
        <f t="shared" si="0"/>
        <v>0.08</v>
      </c>
      <c r="Y8" s="121">
        <f t="shared" si="0"/>
        <v>26.156666666666666</v>
      </c>
      <c r="Z8" s="121">
        <f t="shared" si="0"/>
        <v>3.6933333333333334</v>
      </c>
      <c r="AA8" s="121">
        <f t="shared" si="0"/>
        <v>18.786666666666665</v>
      </c>
      <c r="AB8" s="121">
        <f t="shared" si="0"/>
        <v>0.17</v>
      </c>
      <c r="AC8" s="121">
        <f t="shared" si="0"/>
        <v>25.796666666666667</v>
      </c>
      <c r="AD8" s="121">
        <f t="shared" si="0"/>
        <v>4.3966666666666674</v>
      </c>
      <c r="AE8" s="121">
        <f t="shared" si="0"/>
        <v>18.303333333333335</v>
      </c>
      <c r="AF8" s="121">
        <f t="shared" si="0"/>
        <v>0.14000000000000001</v>
      </c>
    </row>
    <row r="9" spans="1:51">
      <c r="A9" s="121"/>
      <c r="B9" s="122"/>
      <c r="C9" s="122"/>
      <c r="D9" s="122"/>
      <c r="E9" s="121"/>
      <c r="F9" s="122"/>
      <c r="G9" s="122"/>
      <c r="H9" s="122"/>
      <c r="I9" s="121"/>
      <c r="J9" s="122"/>
      <c r="K9" s="122"/>
      <c r="L9" s="122"/>
      <c r="M9" s="121"/>
      <c r="N9" s="122"/>
      <c r="O9" s="122"/>
      <c r="P9" s="122"/>
      <c r="Q9" s="121"/>
      <c r="R9" s="122"/>
      <c r="S9" s="122"/>
      <c r="T9" s="122"/>
      <c r="U9" s="121"/>
      <c r="V9" s="122"/>
      <c r="W9" s="122"/>
      <c r="X9" s="122"/>
      <c r="Y9" s="121"/>
      <c r="Z9" s="122"/>
      <c r="AA9" s="122"/>
      <c r="AB9" s="122"/>
      <c r="AC9" s="121"/>
      <c r="AD9" s="122"/>
      <c r="AE9" s="122"/>
      <c r="AF9" s="122"/>
    </row>
    <row r="10" spans="1:51">
      <c r="A10" s="121"/>
      <c r="B10" s="122"/>
      <c r="C10" s="122"/>
      <c r="D10" s="122"/>
      <c r="E10" s="121"/>
      <c r="F10" s="122"/>
      <c r="G10" s="122"/>
      <c r="H10" s="122"/>
      <c r="I10" s="121"/>
      <c r="J10" s="122"/>
      <c r="K10" s="122"/>
      <c r="L10" s="122"/>
      <c r="M10" s="121"/>
      <c r="N10" s="122"/>
      <c r="O10" s="122"/>
      <c r="P10" s="122"/>
      <c r="Q10" s="121"/>
      <c r="R10" s="122"/>
      <c r="S10" s="122"/>
      <c r="T10" s="122"/>
      <c r="U10" s="121"/>
      <c r="V10" s="122"/>
      <c r="W10" s="122"/>
      <c r="X10" s="122"/>
      <c r="Y10" s="121"/>
      <c r="Z10" s="122"/>
      <c r="AA10" s="122"/>
      <c r="AB10" s="122"/>
      <c r="AC10" s="121"/>
      <c r="AD10" s="122"/>
      <c r="AE10" s="122"/>
      <c r="AF10" s="122"/>
    </row>
    <row r="11" spans="1:51">
      <c r="A11" s="121"/>
      <c r="B11" s="122"/>
      <c r="C11" s="122"/>
      <c r="D11" s="122"/>
      <c r="E11" s="121"/>
      <c r="F11" s="122"/>
      <c r="G11" s="122"/>
      <c r="H11" s="122"/>
      <c r="I11" s="121"/>
      <c r="J11" s="122"/>
      <c r="K11" s="122"/>
      <c r="L11" s="122"/>
      <c r="M11" s="121"/>
      <c r="N11" s="122"/>
      <c r="O11" s="122"/>
      <c r="P11" s="122"/>
      <c r="Q11" s="121"/>
      <c r="R11" s="122"/>
      <c r="S11" s="122"/>
      <c r="T11" s="122"/>
      <c r="U11" s="121"/>
      <c r="V11" s="122"/>
      <c r="W11" s="122"/>
      <c r="X11" s="122"/>
      <c r="Y11" s="121"/>
      <c r="Z11" s="122"/>
      <c r="AA11" s="122"/>
      <c r="AB11" s="122"/>
      <c r="AC11" s="121"/>
      <c r="AD11" s="122"/>
      <c r="AE11" s="122"/>
      <c r="AF11" s="122"/>
    </row>
    <row r="12" spans="1:51">
      <c r="A12" s="121"/>
      <c r="B12" s="122"/>
      <c r="C12" s="122"/>
      <c r="D12" s="122"/>
      <c r="E12" s="121"/>
      <c r="F12" s="122"/>
      <c r="G12" s="122"/>
      <c r="H12" s="122"/>
      <c r="I12" s="121"/>
      <c r="J12" s="122"/>
      <c r="K12" s="122"/>
      <c r="L12" s="122"/>
      <c r="M12" s="121"/>
      <c r="N12" s="122"/>
      <c r="O12" s="122"/>
      <c r="P12" s="122"/>
      <c r="Q12" s="121"/>
      <c r="R12" s="122"/>
      <c r="S12" s="122"/>
      <c r="T12" s="122"/>
      <c r="U12" s="121"/>
      <c r="V12" s="122"/>
      <c r="W12" s="122"/>
      <c r="X12" s="122"/>
      <c r="Y12" s="121"/>
      <c r="Z12" s="122"/>
      <c r="AA12" s="122"/>
      <c r="AB12" s="122"/>
      <c r="AC12" s="121"/>
      <c r="AD12" s="122"/>
      <c r="AE12" s="122"/>
      <c r="AF12" s="122"/>
    </row>
    <row r="13" spans="1:51">
      <c r="A13" s="254" t="s">
        <v>141</v>
      </c>
      <c r="B13" s="229"/>
      <c r="C13" s="229"/>
      <c r="D13" s="244"/>
      <c r="E13" s="255" t="s">
        <v>142</v>
      </c>
      <c r="F13" s="229"/>
      <c r="G13" s="229"/>
      <c r="H13" s="244"/>
      <c r="I13" s="256" t="s">
        <v>143</v>
      </c>
      <c r="J13" s="229"/>
      <c r="K13" s="229"/>
      <c r="L13" s="244"/>
      <c r="M13" s="243" t="s">
        <v>144</v>
      </c>
      <c r="N13" s="229"/>
      <c r="O13" s="229"/>
      <c r="P13" s="244"/>
      <c r="Q13" s="245" t="s">
        <v>145</v>
      </c>
      <c r="R13" s="229"/>
      <c r="S13" s="229"/>
      <c r="T13" s="244"/>
      <c r="U13" s="246" t="s">
        <v>146</v>
      </c>
      <c r="V13" s="229"/>
      <c r="W13" s="229"/>
      <c r="X13" s="244"/>
      <c r="Y13" s="247" t="s">
        <v>147</v>
      </c>
      <c r="Z13" s="229"/>
      <c r="AA13" s="229"/>
      <c r="AB13" s="244"/>
      <c r="AC13" s="248" t="s">
        <v>148</v>
      </c>
      <c r="AD13" s="229"/>
      <c r="AE13" s="229"/>
      <c r="AF13" s="230"/>
    </row>
    <row r="14" spans="1:51">
      <c r="A14" s="109" t="s">
        <v>149</v>
      </c>
      <c r="B14" s="110" t="s">
        <v>150</v>
      </c>
      <c r="C14" s="111" t="s">
        <v>151</v>
      </c>
      <c r="D14" s="112" t="s">
        <v>152</v>
      </c>
      <c r="E14" s="109" t="s">
        <v>149</v>
      </c>
      <c r="F14" s="110" t="s">
        <v>150</v>
      </c>
      <c r="G14" s="111" t="s">
        <v>151</v>
      </c>
      <c r="H14" s="112" t="s">
        <v>152</v>
      </c>
      <c r="I14" s="109" t="s">
        <v>149</v>
      </c>
      <c r="J14" s="110" t="s">
        <v>150</v>
      </c>
      <c r="K14" s="111" t="s">
        <v>151</v>
      </c>
      <c r="L14" s="112" t="s">
        <v>152</v>
      </c>
      <c r="M14" s="109" t="s">
        <v>149</v>
      </c>
      <c r="N14" s="110" t="s">
        <v>150</v>
      </c>
      <c r="O14" s="111" t="s">
        <v>151</v>
      </c>
      <c r="P14" s="112" t="s">
        <v>152</v>
      </c>
      <c r="Q14" s="109" t="s">
        <v>149</v>
      </c>
      <c r="R14" s="110" t="s">
        <v>150</v>
      </c>
      <c r="S14" s="111" t="s">
        <v>151</v>
      </c>
      <c r="T14" s="112" t="s">
        <v>152</v>
      </c>
      <c r="U14" s="109" t="s">
        <v>149</v>
      </c>
      <c r="V14" s="110" t="s">
        <v>150</v>
      </c>
      <c r="W14" s="111" t="s">
        <v>151</v>
      </c>
      <c r="X14" s="112" t="s">
        <v>152</v>
      </c>
      <c r="Y14" s="109" t="s">
        <v>149</v>
      </c>
      <c r="Z14" s="110" t="s">
        <v>150</v>
      </c>
      <c r="AA14" s="111" t="s">
        <v>151</v>
      </c>
      <c r="AB14" s="112" t="s">
        <v>152</v>
      </c>
      <c r="AC14" s="109" t="s">
        <v>149</v>
      </c>
      <c r="AD14" s="110" t="s">
        <v>150</v>
      </c>
      <c r="AE14" s="111" t="s">
        <v>151</v>
      </c>
      <c r="AF14" s="112" t="s">
        <v>152</v>
      </c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</row>
    <row r="15" spans="1:51">
      <c r="B15" s="122"/>
      <c r="C15" s="122"/>
      <c r="D15" s="122"/>
      <c r="E15" s="121"/>
      <c r="F15" s="122"/>
      <c r="G15" s="122"/>
      <c r="H15" s="122"/>
      <c r="I15" s="121"/>
      <c r="J15" s="122"/>
      <c r="K15" s="122"/>
      <c r="L15" s="122"/>
      <c r="M15" s="121"/>
      <c r="N15" s="122"/>
      <c r="O15" s="122"/>
      <c r="P15" s="122"/>
      <c r="Q15" s="121"/>
      <c r="R15" s="122"/>
      <c r="S15" s="122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</row>
    <row r="16" spans="1:51">
      <c r="A16" s="117">
        <v>28.12</v>
      </c>
      <c r="B16" s="117">
        <v>18.899999999999999</v>
      </c>
      <c r="C16" s="117">
        <v>20.440000000000001</v>
      </c>
      <c r="D16" s="117">
        <v>0.18</v>
      </c>
      <c r="E16" s="117">
        <v>30</v>
      </c>
      <c r="F16" s="117">
        <v>21.76</v>
      </c>
      <c r="G16" s="117">
        <v>20.9</v>
      </c>
      <c r="H16" s="117">
        <v>0.34</v>
      </c>
      <c r="I16" s="117">
        <v>33.979999999999997</v>
      </c>
      <c r="J16" s="117">
        <v>12.46</v>
      </c>
      <c r="K16" s="117">
        <v>25.01</v>
      </c>
      <c r="L16" s="117">
        <v>0.19</v>
      </c>
      <c r="M16" s="117">
        <v>36.03</v>
      </c>
      <c r="N16" s="117">
        <v>15.73</v>
      </c>
      <c r="O16" s="117">
        <v>26.42</v>
      </c>
      <c r="P16" s="117">
        <v>0.16</v>
      </c>
      <c r="Q16" s="117">
        <v>18.62</v>
      </c>
      <c r="R16" s="117">
        <v>0.8</v>
      </c>
      <c r="S16" s="117">
        <v>13.69</v>
      </c>
      <c r="T16" s="117">
        <v>0.04</v>
      </c>
      <c r="U16" s="117">
        <v>18.170000000000002</v>
      </c>
      <c r="V16" s="117">
        <v>0.85</v>
      </c>
      <c r="W16" s="117">
        <v>13.41</v>
      </c>
      <c r="X16" s="117">
        <v>0.1</v>
      </c>
      <c r="Y16" s="117">
        <v>28.55</v>
      </c>
      <c r="Z16" s="117">
        <v>2.33</v>
      </c>
      <c r="AA16" s="117">
        <v>20.399999999999999</v>
      </c>
      <c r="AB16" s="117">
        <v>0.11</v>
      </c>
      <c r="AC16" s="117">
        <v>28.3</v>
      </c>
      <c r="AD16" s="117">
        <v>2.16</v>
      </c>
      <c r="AE16" s="117">
        <v>20.18</v>
      </c>
      <c r="AF16" s="117">
        <v>0.08</v>
      </c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</row>
    <row r="17" spans="1:51">
      <c r="A17" s="117">
        <v>27.37</v>
      </c>
      <c r="B17" s="117">
        <v>17.79</v>
      </c>
      <c r="C17" s="117">
        <v>18.96</v>
      </c>
      <c r="D17" s="117">
        <v>0.19</v>
      </c>
      <c r="E17" s="117">
        <v>30.75</v>
      </c>
      <c r="F17" s="117">
        <v>19.43</v>
      </c>
      <c r="G17" s="117">
        <v>21.26</v>
      </c>
      <c r="H17" s="117">
        <v>0.28000000000000003</v>
      </c>
      <c r="I17" s="117">
        <v>31.97</v>
      </c>
      <c r="J17" s="117">
        <v>15.09</v>
      </c>
      <c r="K17" s="117">
        <v>22.83</v>
      </c>
      <c r="L17" s="117">
        <v>0.14000000000000001</v>
      </c>
      <c r="M17" s="117">
        <v>37.229999999999997</v>
      </c>
      <c r="N17" s="117">
        <v>14.16</v>
      </c>
      <c r="O17" s="117">
        <v>26.2</v>
      </c>
      <c r="P17" s="117">
        <v>0.16</v>
      </c>
      <c r="Q17" s="117">
        <v>19.260000000000002</v>
      </c>
      <c r="R17" s="117">
        <v>1.28</v>
      </c>
      <c r="S17" s="117">
        <v>14.5</v>
      </c>
      <c r="T17" s="117">
        <v>0.1</v>
      </c>
      <c r="U17" s="117">
        <v>18.61</v>
      </c>
      <c r="V17" s="117">
        <v>1.24</v>
      </c>
      <c r="W17" s="117">
        <v>14.07</v>
      </c>
      <c r="X17" s="117">
        <v>7.0000000000000007E-2</v>
      </c>
      <c r="Y17" s="117">
        <v>24.12</v>
      </c>
      <c r="Z17" s="117">
        <v>2.72</v>
      </c>
      <c r="AA17" s="117">
        <v>16.87</v>
      </c>
      <c r="AB17" s="117">
        <v>7.0000000000000007E-2</v>
      </c>
      <c r="AC17" s="117">
        <v>27.09</v>
      </c>
      <c r="AD17" s="117">
        <v>1.65</v>
      </c>
      <c r="AE17" s="117">
        <v>20.27</v>
      </c>
      <c r="AF17" s="117">
        <v>0.06</v>
      </c>
    </row>
    <row r="18" spans="1:51">
      <c r="A18" s="117">
        <v>30.03</v>
      </c>
      <c r="B18" s="117">
        <v>21.75</v>
      </c>
      <c r="C18" s="117">
        <v>21.03</v>
      </c>
      <c r="D18" s="117">
        <v>0.27</v>
      </c>
      <c r="E18" s="117">
        <v>25.17</v>
      </c>
      <c r="F18" s="117">
        <v>16.77</v>
      </c>
      <c r="G18" s="117">
        <v>18.440000000000001</v>
      </c>
      <c r="H18" s="117">
        <v>0.26</v>
      </c>
      <c r="I18" s="117">
        <v>29.57</v>
      </c>
      <c r="J18" s="117">
        <v>16.329999999999998</v>
      </c>
      <c r="K18" s="117">
        <v>21.51</v>
      </c>
      <c r="L18" s="117">
        <v>0.21</v>
      </c>
      <c r="M18" s="117">
        <v>34.39</v>
      </c>
      <c r="N18" s="117">
        <v>15.15</v>
      </c>
      <c r="O18" s="117">
        <v>23.81</v>
      </c>
      <c r="P18" s="117">
        <v>0.28999999999999998</v>
      </c>
      <c r="Q18" s="117">
        <v>20.18</v>
      </c>
      <c r="R18" s="117">
        <v>1.1000000000000001</v>
      </c>
      <c r="S18" s="117">
        <v>15.3</v>
      </c>
      <c r="T18" s="117">
        <v>0.06</v>
      </c>
      <c r="U18" s="117">
        <v>20.21</v>
      </c>
      <c r="V18" s="117">
        <v>1.93</v>
      </c>
      <c r="W18" s="117">
        <v>15.24</v>
      </c>
      <c r="X18" s="117">
        <v>0.05</v>
      </c>
      <c r="Y18" s="117">
        <v>26.12</v>
      </c>
      <c r="Z18" s="117">
        <v>1.59</v>
      </c>
      <c r="AA18" s="117">
        <v>19.13</v>
      </c>
      <c r="AB18" s="117">
        <v>0.16</v>
      </c>
      <c r="AC18" s="117">
        <v>23.63</v>
      </c>
      <c r="AD18" s="117">
        <v>3.86</v>
      </c>
      <c r="AE18" s="117">
        <v>16.829999999999998</v>
      </c>
      <c r="AF18" s="117">
        <v>0.14000000000000001</v>
      </c>
    </row>
    <row r="19" spans="1:51">
      <c r="A19" s="121"/>
      <c r="B19" s="122"/>
      <c r="C19" s="122"/>
      <c r="D19" s="122"/>
      <c r="E19" s="121"/>
      <c r="F19" s="122"/>
      <c r="G19" s="122"/>
      <c r="H19" s="122"/>
      <c r="I19" s="121"/>
      <c r="J19" s="122"/>
      <c r="K19" s="122"/>
      <c r="L19" s="122"/>
      <c r="M19" s="121"/>
      <c r="N19" s="122"/>
      <c r="O19" s="122"/>
      <c r="P19" s="122"/>
      <c r="Q19" s="121"/>
      <c r="R19" s="122"/>
      <c r="S19" s="122"/>
      <c r="T19" s="122"/>
      <c r="U19" s="121"/>
      <c r="V19" s="122"/>
      <c r="W19" s="122"/>
      <c r="X19" s="122"/>
      <c r="Y19" s="121"/>
      <c r="Z19" s="122"/>
      <c r="AA19" s="122"/>
      <c r="AB19" s="122"/>
      <c r="AC19" s="121"/>
      <c r="AD19" s="122"/>
      <c r="AE19" s="122"/>
      <c r="AF19" s="122"/>
    </row>
    <row r="20" spans="1:51">
      <c r="A20" s="121">
        <f t="shared" ref="A20:AF20" si="1">AVERAGE(A16:A18)</f>
        <v>28.506666666666671</v>
      </c>
      <c r="B20" s="121">
        <f t="shared" si="1"/>
        <v>19.48</v>
      </c>
      <c r="C20" s="121">
        <f t="shared" si="1"/>
        <v>20.143333333333334</v>
      </c>
      <c r="D20" s="121">
        <f t="shared" si="1"/>
        <v>0.21333333333333335</v>
      </c>
      <c r="E20" s="121">
        <f t="shared" si="1"/>
        <v>28.64</v>
      </c>
      <c r="F20" s="121">
        <f t="shared" si="1"/>
        <v>19.319999999999997</v>
      </c>
      <c r="G20" s="121">
        <f t="shared" si="1"/>
        <v>20.2</v>
      </c>
      <c r="H20" s="121">
        <f t="shared" si="1"/>
        <v>0.29333333333333339</v>
      </c>
      <c r="I20" s="121">
        <f t="shared" si="1"/>
        <v>31.839999999999993</v>
      </c>
      <c r="J20" s="121">
        <f t="shared" si="1"/>
        <v>14.626666666666665</v>
      </c>
      <c r="K20" s="121">
        <f t="shared" si="1"/>
        <v>23.116666666666671</v>
      </c>
      <c r="L20" s="121">
        <f t="shared" si="1"/>
        <v>0.18000000000000002</v>
      </c>
      <c r="M20" s="121">
        <f t="shared" si="1"/>
        <v>35.883333333333333</v>
      </c>
      <c r="N20" s="121">
        <f t="shared" si="1"/>
        <v>15.013333333333334</v>
      </c>
      <c r="O20" s="121">
        <f t="shared" si="1"/>
        <v>25.47666666666667</v>
      </c>
      <c r="P20" s="121">
        <f t="shared" si="1"/>
        <v>0.20333333333333334</v>
      </c>
      <c r="Q20" s="121">
        <f t="shared" si="1"/>
        <v>19.353333333333335</v>
      </c>
      <c r="R20" s="121">
        <f t="shared" si="1"/>
        <v>1.06</v>
      </c>
      <c r="S20" s="121">
        <f t="shared" si="1"/>
        <v>14.496666666666664</v>
      </c>
      <c r="T20" s="121">
        <f t="shared" si="1"/>
        <v>6.6666666666666666E-2</v>
      </c>
      <c r="U20" s="121">
        <f t="shared" si="1"/>
        <v>18.996666666666666</v>
      </c>
      <c r="V20" s="121">
        <f t="shared" si="1"/>
        <v>1.3399999999999999</v>
      </c>
      <c r="W20" s="121">
        <f t="shared" si="1"/>
        <v>14.24</v>
      </c>
      <c r="X20" s="121">
        <f t="shared" si="1"/>
        <v>7.3333333333333348E-2</v>
      </c>
      <c r="Y20" s="121">
        <f t="shared" si="1"/>
        <v>26.263333333333335</v>
      </c>
      <c r="Z20" s="121">
        <f t="shared" si="1"/>
        <v>2.2133333333333334</v>
      </c>
      <c r="AA20" s="121">
        <f t="shared" si="1"/>
        <v>18.799999999999997</v>
      </c>
      <c r="AB20" s="121">
        <f t="shared" si="1"/>
        <v>0.11333333333333333</v>
      </c>
      <c r="AC20" s="121">
        <f t="shared" si="1"/>
        <v>26.34</v>
      </c>
      <c r="AD20" s="121">
        <f t="shared" si="1"/>
        <v>2.5566666666666666</v>
      </c>
      <c r="AE20" s="121">
        <f t="shared" si="1"/>
        <v>19.093333333333334</v>
      </c>
      <c r="AF20" s="121">
        <f t="shared" si="1"/>
        <v>9.3333333333333338E-2</v>
      </c>
    </row>
    <row r="21" spans="1:51">
      <c r="A21" s="121"/>
      <c r="B21" s="122"/>
      <c r="C21" s="122"/>
      <c r="D21" s="122"/>
      <c r="E21" s="121"/>
      <c r="F21" s="122"/>
      <c r="G21" s="122"/>
      <c r="H21" s="122"/>
      <c r="I21" s="121"/>
      <c r="J21" s="122"/>
      <c r="K21" s="122"/>
      <c r="L21" s="122"/>
      <c r="M21" s="121"/>
      <c r="N21" s="122"/>
      <c r="O21" s="122"/>
      <c r="P21" s="122"/>
      <c r="Q21" s="121"/>
      <c r="R21" s="122"/>
      <c r="S21" s="122"/>
      <c r="T21" s="122"/>
      <c r="U21" s="121"/>
      <c r="V21" s="122"/>
      <c r="W21" s="122"/>
      <c r="X21" s="122"/>
      <c r="Y21" s="121"/>
      <c r="Z21" s="122"/>
      <c r="AA21" s="122"/>
      <c r="AB21" s="122"/>
      <c r="AC21" s="121"/>
      <c r="AD21" s="122"/>
      <c r="AE21" s="122"/>
      <c r="AF21" s="122"/>
    </row>
    <row r="22" spans="1:51">
      <c r="A22" s="121"/>
      <c r="B22" s="122"/>
      <c r="C22" s="122"/>
      <c r="D22" s="122"/>
      <c r="E22" s="121"/>
      <c r="F22" s="122"/>
      <c r="G22" s="122"/>
      <c r="H22" s="122"/>
      <c r="I22" s="121"/>
      <c r="J22" s="122"/>
      <c r="K22" s="122"/>
      <c r="L22" s="122"/>
      <c r="M22" s="121"/>
      <c r="N22" s="122"/>
      <c r="O22" s="122"/>
      <c r="P22" s="122"/>
      <c r="Q22" s="121"/>
      <c r="R22" s="122"/>
      <c r="S22" s="122"/>
      <c r="T22" s="122"/>
      <c r="U22" s="121"/>
      <c r="V22" s="122"/>
      <c r="W22" s="122"/>
      <c r="X22" s="122"/>
      <c r="Y22" s="121"/>
      <c r="Z22" s="122"/>
      <c r="AA22" s="122"/>
      <c r="AB22" s="122"/>
      <c r="AC22" s="121"/>
      <c r="AD22" s="122"/>
      <c r="AE22" s="122"/>
      <c r="AF22" s="122"/>
    </row>
    <row r="23" spans="1:51">
      <c r="A23" s="121"/>
      <c r="B23" s="122"/>
      <c r="C23" s="122"/>
      <c r="D23" s="122"/>
      <c r="E23" s="121"/>
      <c r="F23" s="122"/>
      <c r="G23" s="122"/>
      <c r="H23" s="122"/>
      <c r="I23" s="121"/>
      <c r="J23" s="122"/>
      <c r="K23" s="122"/>
      <c r="L23" s="122"/>
      <c r="M23" s="121"/>
      <c r="N23" s="122"/>
      <c r="O23" s="122"/>
      <c r="P23" s="122"/>
      <c r="Q23" s="121"/>
      <c r="R23" s="122"/>
      <c r="S23" s="122"/>
      <c r="T23" s="122"/>
      <c r="U23" s="121"/>
      <c r="V23" s="122"/>
      <c r="W23" s="122"/>
      <c r="X23" s="122"/>
      <c r="Y23" s="121"/>
      <c r="Z23" s="122"/>
      <c r="AA23" s="122"/>
      <c r="AB23" s="122"/>
      <c r="AC23" s="121"/>
      <c r="AD23" s="122"/>
      <c r="AE23" s="122"/>
      <c r="AF23" s="122"/>
    </row>
    <row r="24" spans="1:51">
      <c r="A24" s="121"/>
      <c r="B24" s="122"/>
      <c r="C24" s="122"/>
      <c r="D24" s="122"/>
      <c r="E24" s="121"/>
      <c r="F24" s="122"/>
      <c r="G24" s="122"/>
      <c r="H24" s="122"/>
      <c r="I24" s="121"/>
      <c r="J24" s="122"/>
      <c r="K24" s="122"/>
      <c r="L24" s="122"/>
      <c r="M24" s="121"/>
      <c r="N24" s="122"/>
      <c r="O24" s="122"/>
      <c r="P24" s="122"/>
      <c r="Q24" s="121"/>
      <c r="R24" s="122"/>
      <c r="S24" s="122"/>
      <c r="T24" s="122"/>
      <c r="U24" s="121"/>
      <c r="V24" s="122"/>
      <c r="W24" s="122"/>
      <c r="X24" s="122"/>
      <c r="Y24" s="121"/>
      <c r="Z24" s="122"/>
      <c r="AA24" s="122"/>
      <c r="AB24" s="122"/>
      <c r="AC24" s="121"/>
      <c r="AD24" s="122"/>
      <c r="AE24" s="122"/>
      <c r="AF24" s="122"/>
    </row>
    <row r="25" spans="1:51">
      <c r="A25" s="121"/>
      <c r="B25" s="122"/>
      <c r="C25" s="122"/>
      <c r="D25" s="122"/>
      <c r="E25" s="121"/>
      <c r="F25" s="122"/>
      <c r="G25" s="122"/>
      <c r="H25" s="122"/>
      <c r="I25" s="121"/>
      <c r="J25" s="122"/>
      <c r="K25" s="122"/>
      <c r="L25" s="122"/>
      <c r="M25" s="121"/>
      <c r="N25" s="122"/>
      <c r="O25" s="122"/>
      <c r="P25" s="122"/>
      <c r="Q25" s="121"/>
      <c r="R25" s="122"/>
      <c r="S25" s="122"/>
      <c r="T25" s="122"/>
      <c r="U25" s="121"/>
      <c r="V25" s="122"/>
      <c r="W25" s="122"/>
      <c r="X25" s="122"/>
      <c r="Y25" s="121"/>
      <c r="Z25" s="122"/>
      <c r="AA25" s="122"/>
      <c r="AB25" s="122"/>
      <c r="AC25" s="121"/>
      <c r="AD25" s="122"/>
      <c r="AE25" s="122"/>
      <c r="AF25" s="122"/>
    </row>
    <row r="26" spans="1:51">
      <c r="A26" s="121"/>
      <c r="B26" s="122"/>
      <c r="C26" s="122"/>
      <c r="D26" s="122"/>
      <c r="E26" s="121"/>
      <c r="F26" s="122"/>
      <c r="G26" s="122"/>
      <c r="H26" s="122"/>
      <c r="I26" s="121"/>
      <c r="J26" s="122"/>
      <c r="K26" s="122"/>
      <c r="L26" s="122"/>
      <c r="M26" s="121"/>
      <c r="N26" s="122"/>
      <c r="O26" s="122"/>
      <c r="P26" s="122"/>
      <c r="Q26" s="121"/>
      <c r="R26" s="122"/>
      <c r="S26" s="122"/>
      <c r="T26" s="122"/>
      <c r="U26" s="121"/>
      <c r="V26" s="122"/>
      <c r="W26" s="122"/>
      <c r="X26" s="122"/>
      <c r="Y26" s="121"/>
      <c r="Z26" s="122"/>
      <c r="AA26" s="122"/>
      <c r="AB26" s="122"/>
      <c r="AC26" s="121"/>
      <c r="AD26" s="122"/>
      <c r="AE26" s="122"/>
      <c r="AF26" s="122"/>
    </row>
    <row r="27" spans="1:51">
      <c r="A27" s="121"/>
      <c r="B27" s="122"/>
      <c r="C27" s="122"/>
      <c r="D27" s="122"/>
      <c r="E27" s="121"/>
      <c r="F27" s="122"/>
      <c r="G27" s="122"/>
      <c r="H27" s="122"/>
      <c r="I27" s="121"/>
      <c r="J27" s="122"/>
      <c r="K27" s="122"/>
      <c r="L27" s="122"/>
      <c r="M27" s="121"/>
      <c r="N27" s="122"/>
      <c r="O27" s="122"/>
      <c r="P27" s="122"/>
      <c r="Q27" s="121"/>
      <c r="R27" s="122"/>
      <c r="S27" s="122"/>
      <c r="T27" s="122"/>
      <c r="U27" s="121"/>
      <c r="V27" s="122"/>
      <c r="W27" s="122"/>
      <c r="X27" s="122"/>
      <c r="Y27" s="121"/>
      <c r="Z27" s="122"/>
      <c r="AA27" s="122"/>
      <c r="AB27" s="122"/>
      <c r="AC27" s="121"/>
      <c r="AD27" s="122"/>
      <c r="AE27" s="122"/>
      <c r="AF27" s="122"/>
    </row>
    <row r="28" spans="1:51">
      <c r="A28" s="121"/>
      <c r="B28" s="122"/>
      <c r="C28" s="122"/>
      <c r="D28" s="122"/>
      <c r="E28" s="121"/>
      <c r="F28" s="122"/>
      <c r="G28" s="122"/>
      <c r="H28" s="122"/>
      <c r="I28" s="121"/>
      <c r="J28" s="122"/>
      <c r="K28" s="122"/>
      <c r="L28" s="122"/>
      <c r="M28" s="121"/>
      <c r="N28" s="122"/>
      <c r="O28" s="122"/>
      <c r="P28" s="122"/>
      <c r="Q28" s="121"/>
      <c r="R28" s="122"/>
      <c r="S28" s="122"/>
      <c r="T28" s="122"/>
      <c r="U28" s="121"/>
      <c r="V28" s="122"/>
      <c r="W28" s="122"/>
      <c r="X28" s="122"/>
      <c r="Y28" s="121"/>
      <c r="Z28" s="122"/>
      <c r="AA28" s="122"/>
      <c r="AB28" s="122"/>
      <c r="AC28" s="121"/>
      <c r="AD28" s="122"/>
      <c r="AE28" s="122"/>
      <c r="AF28" s="122"/>
    </row>
    <row r="29" spans="1:51">
      <c r="A29" s="249" t="s">
        <v>141</v>
      </c>
      <c r="B29" s="250"/>
      <c r="C29" s="250"/>
      <c r="D29" s="250"/>
      <c r="E29" s="251" t="s">
        <v>142</v>
      </c>
      <c r="F29" s="250"/>
      <c r="G29" s="250"/>
      <c r="H29" s="250"/>
      <c r="I29" s="252" t="s">
        <v>145</v>
      </c>
      <c r="J29" s="250"/>
      <c r="K29" s="250"/>
      <c r="L29" s="250"/>
      <c r="M29" s="253" t="s">
        <v>146</v>
      </c>
      <c r="N29" s="250"/>
      <c r="O29" s="250"/>
      <c r="P29" s="250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</row>
    <row r="30" spans="1:51">
      <c r="A30" s="124" t="s">
        <v>149</v>
      </c>
      <c r="B30" s="125" t="s">
        <v>150</v>
      </c>
      <c r="C30" s="126" t="s">
        <v>151</v>
      </c>
      <c r="D30" s="127" t="s">
        <v>152</v>
      </c>
      <c r="E30" s="128" t="s">
        <v>149</v>
      </c>
      <c r="F30" s="125" t="s">
        <v>150</v>
      </c>
      <c r="G30" s="126" t="s">
        <v>151</v>
      </c>
      <c r="H30" s="127" t="s">
        <v>152</v>
      </c>
      <c r="I30" s="128" t="s">
        <v>149</v>
      </c>
      <c r="J30" s="125" t="s">
        <v>150</v>
      </c>
      <c r="K30" s="126" t="s">
        <v>151</v>
      </c>
      <c r="L30" s="127" t="s">
        <v>152</v>
      </c>
      <c r="M30" s="128" t="s">
        <v>149</v>
      </c>
      <c r="N30" s="125" t="s">
        <v>150</v>
      </c>
      <c r="O30" s="126" t="s">
        <v>151</v>
      </c>
      <c r="P30" s="127" t="s">
        <v>152</v>
      </c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30"/>
    </row>
    <row r="31" spans="1:51">
      <c r="A31" s="117"/>
      <c r="B31" s="117"/>
      <c r="C31" s="117"/>
      <c r="D31" s="117"/>
      <c r="E31" s="117"/>
      <c r="F31" s="117"/>
      <c r="G31" s="117"/>
      <c r="H31" s="117"/>
      <c r="L31" s="117"/>
      <c r="M31" s="117"/>
      <c r="N31" s="117"/>
      <c r="O31" s="117"/>
      <c r="P31" s="117"/>
    </row>
    <row r="32" spans="1:5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1:16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</row>
    <row r="34" spans="1:16">
      <c r="I34" s="117"/>
      <c r="J34" s="117"/>
      <c r="K34" s="117"/>
      <c r="L34" s="117"/>
      <c r="M34" s="117"/>
      <c r="N34" s="117"/>
      <c r="O34" s="117"/>
      <c r="P34" s="117"/>
    </row>
    <row r="37" spans="1:16">
      <c r="A37" s="121"/>
      <c r="B37" s="122"/>
      <c r="C37" s="122"/>
      <c r="D37" s="122"/>
      <c r="E37" s="121"/>
      <c r="F37" s="122"/>
      <c r="G37" s="122"/>
      <c r="H37" s="122"/>
      <c r="I37" s="121"/>
      <c r="J37" s="122"/>
      <c r="K37" s="122"/>
      <c r="L37" s="122"/>
      <c r="M37" s="121"/>
      <c r="N37" s="122"/>
      <c r="O37" s="122"/>
      <c r="P37" s="122"/>
    </row>
    <row r="38" spans="1:16">
      <c r="A38" s="121"/>
      <c r="B38" s="122"/>
      <c r="C38" s="122"/>
      <c r="D38" s="122"/>
      <c r="E38" s="121"/>
      <c r="F38" s="122"/>
      <c r="G38" s="122"/>
      <c r="H38" s="122"/>
      <c r="I38" s="121"/>
      <c r="J38" s="122"/>
      <c r="K38" s="122"/>
      <c r="L38" s="122"/>
      <c r="M38" s="121"/>
      <c r="N38" s="122"/>
      <c r="O38" s="122"/>
      <c r="P38" s="122"/>
    </row>
    <row r="39" spans="1:16">
      <c r="A39" s="121"/>
      <c r="B39" s="122"/>
      <c r="C39" s="122"/>
      <c r="D39" s="122"/>
      <c r="E39" s="121"/>
      <c r="F39" s="122"/>
      <c r="G39" s="122"/>
      <c r="H39" s="122"/>
      <c r="I39" s="121"/>
      <c r="J39" s="122"/>
      <c r="K39" s="122"/>
      <c r="L39" s="122"/>
      <c r="M39" s="121"/>
      <c r="N39" s="122"/>
      <c r="O39" s="122"/>
      <c r="P39" s="122"/>
    </row>
  </sheetData>
  <mergeCells count="20">
    <mergeCell ref="A2:D2"/>
    <mergeCell ref="A13:D13"/>
    <mergeCell ref="E13:H13"/>
    <mergeCell ref="I13:L13"/>
    <mergeCell ref="M13:P13"/>
    <mergeCell ref="E2:H2"/>
    <mergeCell ref="I2:L2"/>
    <mergeCell ref="Y13:AB13"/>
    <mergeCell ref="AC13:AF13"/>
    <mergeCell ref="A29:D29"/>
    <mergeCell ref="E29:H29"/>
    <mergeCell ref="I29:L29"/>
    <mergeCell ref="M29:P29"/>
    <mergeCell ref="Q13:T13"/>
    <mergeCell ref="U13:X13"/>
    <mergeCell ref="M2:P2"/>
    <mergeCell ref="Q2:T2"/>
    <mergeCell ref="U2:X2"/>
    <mergeCell ref="Y2:AB2"/>
    <mergeCell ref="AC2:A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6"/>
  <sheetViews>
    <sheetView workbookViewId="0"/>
  </sheetViews>
  <sheetFormatPr baseColWidth="10" defaultColWidth="14.5" defaultRowHeight="15" customHeight="1"/>
  <cols>
    <col min="5" max="5" width="16.5" customWidth="1"/>
  </cols>
  <sheetData>
    <row r="1" spans="1:26" ht="30" customHeight="1">
      <c r="A1" s="234" t="s">
        <v>59</v>
      </c>
      <c r="B1" s="234" t="s">
        <v>0</v>
      </c>
      <c r="C1" s="234" t="s">
        <v>1</v>
      </c>
      <c r="D1" s="234" t="s">
        <v>2</v>
      </c>
      <c r="E1" s="257" t="s">
        <v>153</v>
      </c>
    </row>
    <row r="2" spans="1:26" ht="27" customHeight="1">
      <c r="A2" s="235"/>
      <c r="B2" s="235"/>
      <c r="C2" s="235"/>
      <c r="D2" s="235"/>
      <c r="E2" s="235"/>
    </row>
    <row r="3" spans="1:26" ht="16">
      <c r="A3" s="15">
        <v>1</v>
      </c>
      <c r="B3" s="15" t="s">
        <v>46</v>
      </c>
      <c r="C3" s="15" t="s">
        <v>47</v>
      </c>
      <c r="D3" s="15" t="s">
        <v>48</v>
      </c>
      <c r="E3" s="131">
        <v>540.70000000000005</v>
      </c>
    </row>
    <row r="4" spans="1:26" ht="16">
      <c r="A4" s="22">
        <v>2</v>
      </c>
      <c r="B4" s="22" t="s">
        <v>46</v>
      </c>
      <c r="C4" s="22" t="s">
        <v>47</v>
      </c>
      <c r="D4" s="22" t="s">
        <v>49</v>
      </c>
      <c r="E4" s="132">
        <v>438.9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spans="1:26" ht="16">
      <c r="A5" s="15">
        <v>3</v>
      </c>
      <c r="B5" s="15" t="s">
        <v>46</v>
      </c>
      <c r="C5" s="15" t="s">
        <v>47</v>
      </c>
      <c r="D5" s="15" t="s">
        <v>48</v>
      </c>
      <c r="E5" s="131">
        <v>664</v>
      </c>
    </row>
    <row r="6" spans="1:26" ht="16">
      <c r="A6" s="22">
        <v>4</v>
      </c>
      <c r="B6" s="22" t="s">
        <v>46</v>
      </c>
      <c r="C6" s="22" t="s">
        <v>47</v>
      </c>
      <c r="D6" s="22" t="s">
        <v>49</v>
      </c>
      <c r="E6" s="132">
        <v>383.9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spans="1:26" ht="16">
      <c r="A7" s="15">
        <v>5</v>
      </c>
      <c r="B7" s="15" t="s">
        <v>46</v>
      </c>
      <c r="C7" s="15" t="s">
        <v>47</v>
      </c>
      <c r="D7" s="15" t="s">
        <v>48</v>
      </c>
      <c r="E7" s="131">
        <v>440</v>
      </c>
    </row>
    <row r="8" spans="1:26" ht="16">
      <c r="A8" s="22">
        <v>6</v>
      </c>
      <c r="B8" s="22" t="s">
        <v>46</v>
      </c>
      <c r="C8" s="22" t="s">
        <v>47</v>
      </c>
      <c r="D8" s="22" t="s">
        <v>49</v>
      </c>
      <c r="E8" s="132">
        <v>641.9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spans="1:26" ht="16">
      <c r="A9" s="15">
        <v>7</v>
      </c>
      <c r="B9" s="15" t="s">
        <v>46</v>
      </c>
      <c r="C9" s="15" t="s">
        <v>50</v>
      </c>
      <c r="D9" s="15" t="s">
        <v>48</v>
      </c>
      <c r="E9" s="131">
        <v>575.79999999999995</v>
      </c>
    </row>
    <row r="10" spans="1:26" ht="16">
      <c r="A10" s="22">
        <v>8</v>
      </c>
      <c r="B10" s="22" t="s">
        <v>46</v>
      </c>
      <c r="C10" s="22" t="s">
        <v>50</v>
      </c>
      <c r="D10" s="22" t="s">
        <v>49</v>
      </c>
      <c r="E10" s="132">
        <v>662.6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16">
      <c r="A11" s="15">
        <v>9</v>
      </c>
      <c r="B11" s="15" t="s">
        <v>46</v>
      </c>
      <c r="C11" s="15" t="s">
        <v>50</v>
      </c>
      <c r="D11" s="15" t="s">
        <v>48</v>
      </c>
      <c r="E11" s="131">
        <v>592.5</v>
      </c>
    </row>
    <row r="12" spans="1:26" ht="16">
      <c r="A12" s="22">
        <v>10</v>
      </c>
      <c r="B12" s="22" t="s">
        <v>46</v>
      </c>
      <c r="C12" s="22" t="s">
        <v>50</v>
      </c>
      <c r="D12" s="22" t="s">
        <v>49</v>
      </c>
      <c r="E12" s="132">
        <v>543.29999999999995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16">
      <c r="A13" s="15">
        <v>11</v>
      </c>
      <c r="B13" s="15" t="s">
        <v>46</v>
      </c>
      <c r="C13" s="15" t="s">
        <v>50</v>
      </c>
      <c r="D13" s="15" t="s">
        <v>48</v>
      </c>
      <c r="E13" s="131">
        <v>571</v>
      </c>
    </row>
    <row r="14" spans="1:26" ht="16">
      <c r="A14" s="22">
        <v>12</v>
      </c>
      <c r="B14" s="22" t="s">
        <v>46</v>
      </c>
      <c r="C14" s="22" t="s">
        <v>50</v>
      </c>
      <c r="D14" s="22" t="s">
        <v>49</v>
      </c>
      <c r="E14" s="132">
        <v>866.4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16">
      <c r="A15" s="15">
        <v>13</v>
      </c>
      <c r="B15" s="15" t="s">
        <v>51</v>
      </c>
      <c r="C15" s="15" t="s">
        <v>47</v>
      </c>
      <c r="D15" s="15" t="s">
        <v>48</v>
      </c>
      <c r="E15" s="131">
        <v>244.8</v>
      </c>
    </row>
    <row r="16" spans="1:26" ht="16">
      <c r="A16" s="22">
        <v>14</v>
      </c>
      <c r="B16" s="22" t="s">
        <v>51</v>
      </c>
      <c r="C16" s="22" t="s">
        <v>47</v>
      </c>
      <c r="D16" s="22" t="s">
        <v>49</v>
      </c>
      <c r="E16" s="132">
        <v>470.5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16">
      <c r="A17" s="15">
        <v>15</v>
      </c>
      <c r="B17" s="15" t="s">
        <v>51</v>
      </c>
      <c r="C17" s="15" t="s">
        <v>47</v>
      </c>
      <c r="D17" s="15" t="s">
        <v>48</v>
      </c>
      <c r="E17" s="131">
        <v>476.9</v>
      </c>
    </row>
    <row r="18" spans="1:26" ht="16">
      <c r="A18" s="22">
        <v>16</v>
      </c>
      <c r="B18" s="22" t="s">
        <v>51</v>
      </c>
      <c r="C18" s="22" t="s">
        <v>47</v>
      </c>
      <c r="D18" s="22" t="s">
        <v>49</v>
      </c>
      <c r="E18" s="132">
        <v>422.6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6">
      <c r="A19" s="15">
        <v>17</v>
      </c>
      <c r="B19" s="15" t="s">
        <v>51</v>
      </c>
      <c r="C19" s="15" t="s">
        <v>47</v>
      </c>
      <c r="D19" s="15" t="s">
        <v>48</v>
      </c>
      <c r="E19" s="131">
        <v>254.5</v>
      </c>
    </row>
    <row r="20" spans="1:26" ht="16">
      <c r="A20" s="22">
        <v>18</v>
      </c>
      <c r="B20" s="22" t="s">
        <v>51</v>
      </c>
      <c r="C20" s="22" t="s">
        <v>47</v>
      </c>
      <c r="D20" s="22" t="s">
        <v>49</v>
      </c>
      <c r="E20" s="132">
        <v>749.6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16">
      <c r="A21" s="15">
        <v>19</v>
      </c>
      <c r="B21" s="15" t="s">
        <v>51</v>
      </c>
      <c r="C21" s="15" t="s">
        <v>50</v>
      </c>
      <c r="D21" s="15" t="s">
        <v>48</v>
      </c>
      <c r="E21" s="131">
        <v>502.8</v>
      </c>
    </row>
    <row r="22" spans="1:26" ht="16">
      <c r="A22" s="22">
        <v>20</v>
      </c>
      <c r="B22" s="22" t="s">
        <v>51</v>
      </c>
      <c r="C22" s="22" t="s">
        <v>50</v>
      </c>
      <c r="D22" s="22" t="s">
        <v>49</v>
      </c>
      <c r="E22" s="132">
        <v>634.1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16">
      <c r="A23" s="15">
        <v>21</v>
      </c>
      <c r="B23" s="15" t="s">
        <v>51</v>
      </c>
      <c r="C23" s="15" t="s">
        <v>50</v>
      </c>
      <c r="D23" s="15" t="s">
        <v>48</v>
      </c>
      <c r="E23" s="131">
        <v>610</v>
      </c>
    </row>
    <row r="24" spans="1:26" ht="16">
      <c r="A24" s="22">
        <v>22</v>
      </c>
      <c r="B24" s="22" t="s">
        <v>51</v>
      </c>
      <c r="C24" s="22" t="s">
        <v>50</v>
      </c>
      <c r="D24" s="22" t="s">
        <v>49</v>
      </c>
      <c r="E24" s="132">
        <v>753.7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16">
      <c r="A25" s="15">
        <v>23</v>
      </c>
      <c r="B25" s="15" t="s">
        <v>51</v>
      </c>
      <c r="C25" s="15" t="s">
        <v>50</v>
      </c>
      <c r="D25" s="15" t="s">
        <v>48</v>
      </c>
      <c r="E25" s="131">
        <v>719.7</v>
      </c>
    </row>
    <row r="26" spans="1:26" ht="16">
      <c r="A26" s="22">
        <v>24</v>
      </c>
      <c r="B26" s="22" t="s">
        <v>51</v>
      </c>
      <c r="C26" s="22" t="s">
        <v>50</v>
      </c>
      <c r="D26" s="22" t="s">
        <v>49</v>
      </c>
      <c r="E26" s="132">
        <v>767.7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I1002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5" defaultRowHeight="15" customHeight="1"/>
  <cols>
    <col min="5" max="5" width="15.6640625" customWidth="1"/>
    <col min="9" max="9" width="15.6640625" customWidth="1"/>
    <col min="12" max="12" width="10.6640625" customWidth="1"/>
    <col min="13" max="13" width="16" customWidth="1"/>
    <col min="17" max="17" width="17.6640625" customWidth="1"/>
    <col min="21" max="21" width="16.6640625" customWidth="1"/>
    <col min="25" max="25" width="15.83203125" customWidth="1"/>
    <col min="29" max="29" width="17.33203125" customWidth="1"/>
    <col min="33" max="33" width="16.33203125" customWidth="1"/>
    <col min="34" max="35" width="16.1640625" customWidth="1"/>
    <col min="36" max="36" width="18.6640625" customWidth="1"/>
    <col min="37" max="37" width="17.6640625" customWidth="1"/>
    <col min="38" max="38" width="16.83203125" customWidth="1"/>
    <col min="39" max="39" width="15.83203125" customWidth="1"/>
    <col min="41" max="41" width="16.1640625" customWidth="1"/>
    <col min="42" max="42" width="16.33203125" customWidth="1"/>
    <col min="43" max="43" width="16.1640625" customWidth="1"/>
    <col min="45" max="45" width="16.83203125" customWidth="1"/>
    <col min="46" max="46" width="16" customWidth="1"/>
    <col min="47" max="47" width="15.83203125" customWidth="1"/>
    <col min="49" max="49" width="20" customWidth="1"/>
    <col min="50" max="50" width="18.6640625" customWidth="1"/>
  </cols>
  <sheetData>
    <row r="1" spans="1:61" ht="42.75" customHeight="1">
      <c r="A1" s="134" t="s">
        <v>154</v>
      </c>
      <c r="B1" s="134"/>
      <c r="C1" s="135"/>
      <c r="D1" s="263" t="s">
        <v>3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136"/>
      <c r="Q1" s="265" t="s">
        <v>155</v>
      </c>
      <c r="R1" s="264"/>
      <c r="S1" s="264"/>
      <c r="T1" s="264"/>
      <c r="U1" s="264"/>
      <c r="V1" s="264"/>
      <c r="W1" s="264"/>
      <c r="X1" s="136"/>
      <c r="Y1" s="266" t="s">
        <v>156</v>
      </c>
      <c r="Z1" s="264"/>
      <c r="AA1" s="264"/>
      <c r="AB1" s="264"/>
      <c r="AC1" s="264"/>
      <c r="AD1" s="264"/>
      <c r="AE1" s="264"/>
      <c r="AF1" s="137"/>
      <c r="AG1" s="267" t="s">
        <v>157</v>
      </c>
      <c r="AH1" s="264"/>
      <c r="AI1" s="264"/>
      <c r="AJ1" s="264"/>
      <c r="AK1" s="264"/>
      <c r="AL1" s="264"/>
      <c r="AM1" s="264"/>
      <c r="AN1" s="137"/>
      <c r="AO1" s="268" t="s">
        <v>158</v>
      </c>
      <c r="AP1" s="264"/>
      <c r="AQ1" s="264"/>
      <c r="AR1" s="264"/>
      <c r="AS1" s="264"/>
      <c r="AT1" s="264"/>
      <c r="AU1" s="264"/>
      <c r="AV1" s="137"/>
      <c r="AW1" s="266" t="s">
        <v>159</v>
      </c>
      <c r="AX1" s="264"/>
      <c r="AY1" s="264"/>
      <c r="AZ1" s="137"/>
      <c r="BA1" s="137"/>
      <c r="BB1" s="137"/>
      <c r="BC1" s="137"/>
      <c r="BD1" s="137"/>
      <c r="BE1" s="137"/>
      <c r="BF1" s="137"/>
      <c r="BG1" s="137"/>
      <c r="BH1" s="137"/>
      <c r="BI1" s="137"/>
    </row>
    <row r="2" spans="1:61">
      <c r="A2" s="234" t="s">
        <v>160</v>
      </c>
      <c r="B2" s="234" t="s">
        <v>0</v>
      </c>
      <c r="C2" s="234" t="s">
        <v>1</v>
      </c>
      <c r="D2" s="234" t="s">
        <v>2</v>
      </c>
      <c r="E2" s="259" t="s">
        <v>161</v>
      </c>
      <c r="F2" s="259" t="s">
        <v>162</v>
      </c>
      <c r="G2" s="258" t="s">
        <v>163</v>
      </c>
      <c r="H2" s="138"/>
      <c r="I2" s="259" t="s">
        <v>164</v>
      </c>
      <c r="J2" s="259" t="s">
        <v>165</v>
      </c>
      <c r="K2" s="258" t="s">
        <v>166</v>
      </c>
      <c r="L2" s="136"/>
      <c r="M2" s="259" t="s">
        <v>167</v>
      </c>
      <c r="N2" s="259" t="s">
        <v>168</v>
      </c>
      <c r="O2" s="258" t="s">
        <v>169</v>
      </c>
      <c r="P2" s="136"/>
      <c r="Q2" s="259" t="s">
        <v>170</v>
      </c>
      <c r="R2" s="259" t="s">
        <v>171</v>
      </c>
      <c r="S2" s="258" t="s">
        <v>172</v>
      </c>
      <c r="T2" s="136"/>
      <c r="U2" s="259" t="s">
        <v>173</v>
      </c>
      <c r="V2" s="259" t="s">
        <v>174</v>
      </c>
      <c r="W2" s="258" t="s">
        <v>175</v>
      </c>
      <c r="X2" s="136"/>
      <c r="Y2" s="259" t="s">
        <v>176</v>
      </c>
      <c r="Z2" s="259" t="s">
        <v>177</v>
      </c>
      <c r="AA2" s="258" t="s">
        <v>178</v>
      </c>
      <c r="AB2" s="136"/>
      <c r="AC2" s="259" t="s">
        <v>179</v>
      </c>
      <c r="AD2" s="259" t="s">
        <v>180</v>
      </c>
      <c r="AE2" s="258" t="s">
        <v>181</v>
      </c>
      <c r="AF2" s="139"/>
      <c r="AG2" s="259" t="s">
        <v>182</v>
      </c>
      <c r="AH2" s="259" t="s">
        <v>183</v>
      </c>
      <c r="AI2" s="258" t="s">
        <v>184</v>
      </c>
      <c r="AJ2" s="139"/>
      <c r="AK2" s="259" t="s">
        <v>185</v>
      </c>
      <c r="AL2" s="259" t="s">
        <v>186</v>
      </c>
      <c r="AM2" s="258" t="s">
        <v>187</v>
      </c>
      <c r="AN2" s="139"/>
      <c r="AO2" s="259" t="s">
        <v>188</v>
      </c>
      <c r="AP2" s="259" t="s">
        <v>189</v>
      </c>
      <c r="AQ2" s="258" t="s">
        <v>190</v>
      </c>
      <c r="AR2" s="139"/>
      <c r="AS2" s="259" t="s">
        <v>191</v>
      </c>
      <c r="AT2" s="259" t="s">
        <v>192</v>
      </c>
      <c r="AU2" s="258" t="s">
        <v>193</v>
      </c>
      <c r="AV2" s="139"/>
      <c r="AW2" s="260" t="s">
        <v>194</v>
      </c>
      <c r="AX2" s="261" t="s">
        <v>195</v>
      </c>
      <c r="AY2" s="261" t="s">
        <v>196</v>
      </c>
      <c r="AZ2" s="140"/>
      <c r="BA2" s="140"/>
      <c r="BB2" s="140"/>
      <c r="BC2" s="140"/>
      <c r="BD2" s="140"/>
      <c r="BE2" s="140"/>
      <c r="BF2" s="140"/>
      <c r="BG2" s="140"/>
      <c r="BH2" s="140"/>
      <c r="BI2" s="140"/>
    </row>
    <row r="3" spans="1:61">
      <c r="A3" s="235"/>
      <c r="B3" s="235"/>
      <c r="C3" s="235"/>
      <c r="D3" s="235"/>
      <c r="E3" s="235"/>
      <c r="F3" s="235"/>
      <c r="G3" s="235"/>
      <c r="H3" s="138"/>
      <c r="I3" s="235"/>
      <c r="J3" s="235"/>
      <c r="K3" s="235"/>
      <c r="L3" s="136"/>
      <c r="M3" s="235"/>
      <c r="N3" s="235"/>
      <c r="O3" s="235"/>
      <c r="P3" s="136"/>
      <c r="Q3" s="235"/>
      <c r="R3" s="235"/>
      <c r="S3" s="235"/>
      <c r="T3" s="136"/>
      <c r="U3" s="235"/>
      <c r="V3" s="235"/>
      <c r="W3" s="235"/>
      <c r="X3" s="136"/>
      <c r="Y3" s="235"/>
      <c r="Z3" s="235"/>
      <c r="AA3" s="235"/>
      <c r="AB3" s="136"/>
      <c r="AC3" s="235"/>
      <c r="AD3" s="235"/>
      <c r="AE3" s="235"/>
      <c r="AF3" s="139"/>
      <c r="AG3" s="235"/>
      <c r="AH3" s="235"/>
      <c r="AI3" s="235"/>
      <c r="AJ3" s="139"/>
      <c r="AK3" s="235"/>
      <c r="AL3" s="235"/>
      <c r="AM3" s="235"/>
      <c r="AN3" s="139"/>
      <c r="AO3" s="235"/>
      <c r="AP3" s="235"/>
      <c r="AQ3" s="235"/>
      <c r="AR3" s="139"/>
      <c r="AS3" s="235"/>
      <c r="AT3" s="235"/>
      <c r="AU3" s="235"/>
      <c r="AV3" s="139"/>
      <c r="AW3" s="235"/>
      <c r="AX3" s="262"/>
      <c r="AY3" s="262"/>
      <c r="AZ3" s="139"/>
      <c r="BA3" s="139"/>
      <c r="BB3" s="139"/>
      <c r="BC3" s="139"/>
      <c r="BD3" s="139"/>
      <c r="BE3" s="139"/>
      <c r="BF3" s="139"/>
      <c r="BG3" s="139"/>
      <c r="BH3" s="139"/>
      <c r="BI3" s="139"/>
    </row>
    <row r="4" spans="1:61" ht="16">
      <c r="A4" s="15">
        <v>1</v>
      </c>
      <c r="B4" s="15" t="s">
        <v>46</v>
      </c>
      <c r="C4" s="15" t="s">
        <v>47</v>
      </c>
      <c r="D4" s="15" t="s">
        <v>48</v>
      </c>
      <c r="E4" s="131">
        <v>262.33</v>
      </c>
      <c r="F4" s="131">
        <v>246.85</v>
      </c>
      <c r="G4" s="131">
        <f t="shared" ref="G4:G27" si="0">(E4-F4)/3</f>
        <v>5.1599999999999966</v>
      </c>
      <c r="H4" s="138"/>
      <c r="I4" s="131">
        <v>246.85</v>
      </c>
      <c r="J4" s="131">
        <v>213.21</v>
      </c>
      <c r="K4" s="18">
        <f t="shared" ref="K4:K27" si="1">(I4-J4)/4</f>
        <v>8.4099999999999966</v>
      </c>
      <c r="L4" s="136"/>
      <c r="M4" s="131">
        <v>281.17</v>
      </c>
      <c r="N4" s="131">
        <v>265.85000000000002</v>
      </c>
      <c r="O4" s="18">
        <f t="shared" ref="O4:O27" si="2">(M4-N4)/3</f>
        <v>5.1066666666666647</v>
      </c>
      <c r="P4" s="136"/>
      <c r="Q4" s="131">
        <v>265.85000000000002</v>
      </c>
      <c r="R4" s="131">
        <v>253.99</v>
      </c>
      <c r="S4" s="18">
        <f t="shared" ref="S4:S27" si="3">(Q4-R4)/3</f>
        <v>3.953333333333338</v>
      </c>
      <c r="T4" s="136"/>
      <c r="U4" s="131">
        <v>253.99</v>
      </c>
      <c r="V4" s="131">
        <v>234.68</v>
      </c>
      <c r="W4" s="18">
        <f t="shared" ref="W4:W27" si="4">(U4-V4)/4</f>
        <v>4.8275000000000006</v>
      </c>
      <c r="X4" s="136"/>
      <c r="Y4" s="131">
        <v>234.68</v>
      </c>
      <c r="Z4" s="131">
        <v>221.22</v>
      </c>
      <c r="AA4" s="18">
        <f t="shared" ref="AA4:AA27" si="5">(Y4-Z4)/3</f>
        <v>4.486666666666669</v>
      </c>
      <c r="AB4" s="136"/>
      <c r="AC4" s="131">
        <v>221.22</v>
      </c>
      <c r="AD4" s="131">
        <v>204.4</v>
      </c>
      <c r="AE4" s="18">
        <f t="shared" ref="AE4:AE27" si="6">(AC4-AD4)/4</f>
        <v>4.2049999999999983</v>
      </c>
      <c r="AF4" s="136"/>
      <c r="AG4" s="131">
        <v>204.4</v>
      </c>
      <c r="AH4" s="131">
        <v>191</v>
      </c>
      <c r="AI4" s="18">
        <f t="shared" ref="AI4:AI27" si="7">(AG4-AH4)/3</f>
        <v>4.4666666666666686</v>
      </c>
      <c r="AJ4" s="136"/>
      <c r="AK4" s="131">
        <v>357.15</v>
      </c>
      <c r="AL4" s="131">
        <v>293.94</v>
      </c>
      <c r="AM4" s="18">
        <f t="shared" ref="AM4:AM27" si="8">(AK4-AL4)/4</f>
        <v>15.802499999999995</v>
      </c>
      <c r="AN4" s="136"/>
      <c r="AO4" s="131">
        <v>293.94</v>
      </c>
      <c r="AP4" s="131">
        <v>262.35000000000002</v>
      </c>
      <c r="AQ4" s="18">
        <f t="shared" ref="AQ4:AQ27" si="9">(AO4-AP4)/3</f>
        <v>10.529999999999992</v>
      </c>
      <c r="AR4" s="136"/>
      <c r="AS4" s="131">
        <v>262.35000000000002</v>
      </c>
      <c r="AT4" s="131">
        <v>234.84</v>
      </c>
      <c r="AU4" s="131">
        <f t="shared" ref="AU4:AU27" si="10">(AS4-AT4)/4</f>
        <v>6.8775000000000048</v>
      </c>
      <c r="AV4" s="136"/>
      <c r="AW4" s="131">
        <v>207.81</v>
      </c>
      <c r="AX4" s="131">
        <v>202.14</v>
      </c>
      <c r="AY4" s="131">
        <f t="shared" ref="AY4:AY27" si="11">(AW4-AX4)/2</f>
        <v>2.835000000000008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</row>
    <row r="5" spans="1:61" ht="16">
      <c r="A5" s="22">
        <v>2</v>
      </c>
      <c r="B5" s="22" t="s">
        <v>46</v>
      </c>
      <c r="C5" s="22" t="s">
        <v>47</v>
      </c>
      <c r="D5" s="22" t="s">
        <v>49</v>
      </c>
      <c r="E5" s="132">
        <v>344.34</v>
      </c>
      <c r="F5" s="132">
        <v>326</v>
      </c>
      <c r="G5" s="25">
        <f t="shared" si="0"/>
        <v>6.1133333333333253</v>
      </c>
      <c r="H5" s="141"/>
      <c r="I5" s="132">
        <v>326</v>
      </c>
      <c r="J5" s="132">
        <v>299.42</v>
      </c>
      <c r="K5" s="25">
        <f t="shared" si="1"/>
        <v>6.644999999999996</v>
      </c>
      <c r="L5" s="142"/>
      <c r="M5" s="132">
        <v>235.65</v>
      </c>
      <c r="N5" s="132">
        <v>220.35</v>
      </c>
      <c r="O5" s="25">
        <f t="shared" si="2"/>
        <v>5.1000000000000041</v>
      </c>
      <c r="P5" s="142"/>
      <c r="Q5" s="132">
        <v>220.35</v>
      </c>
      <c r="R5" s="132">
        <v>209.96</v>
      </c>
      <c r="S5" s="25">
        <f t="shared" si="3"/>
        <v>3.4633333333333289</v>
      </c>
      <c r="T5" s="142"/>
      <c r="U5" s="132">
        <v>209.96</v>
      </c>
      <c r="V5" s="132">
        <v>193.7</v>
      </c>
      <c r="W5" s="25">
        <f t="shared" si="4"/>
        <v>4.0650000000000048</v>
      </c>
      <c r="X5" s="142"/>
      <c r="Y5" s="132">
        <v>193.7</v>
      </c>
      <c r="Z5" s="132">
        <v>181.09</v>
      </c>
      <c r="AA5" s="25">
        <f t="shared" si="5"/>
        <v>4.2033333333333287</v>
      </c>
      <c r="AB5" s="142"/>
      <c r="AC5" s="132">
        <v>181.09</v>
      </c>
      <c r="AD5" s="132">
        <v>163.92</v>
      </c>
      <c r="AE5" s="25">
        <f t="shared" si="6"/>
        <v>4.292500000000004</v>
      </c>
      <c r="AF5" s="142"/>
      <c r="AG5" s="132">
        <v>163.92</v>
      </c>
      <c r="AH5" s="132">
        <v>151.5</v>
      </c>
      <c r="AI5" s="25">
        <f t="shared" si="7"/>
        <v>4.1399999999999961</v>
      </c>
      <c r="AJ5" s="142"/>
      <c r="AK5" s="132">
        <v>314.94</v>
      </c>
      <c r="AL5" s="132">
        <v>289.51</v>
      </c>
      <c r="AM5" s="25">
        <f t="shared" si="8"/>
        <v>6.3575000000000017</v>
      </c>
      <c r="AN5" s="142"/>
      <c r="AO5" s="132">
        <v>289.51</v>
      </c>
      <c r="AP5" s="132">
        <v>275.24</v>
      </c>
      <c r="AQ5" s="25">
        <f t="shared" si="9"/>
        <v>4.7566666666666606</v>
      </c>
      <c r="AR5" s="142"/>
      <c r="AS5" s="132">
        <v>275.24</v>
      </c>
      <c r="AT5" s="132">
        <v>258.20999999999998</v>
      </c>
      <c r="AU5" s="132">
        <f t="shared" si="10"/>
        <v>4.2575000000000074</v>
      </c>
      <c r="AV5" s="142"/>
      <c r="AW5" s="132">
        <v>296.95</v>
      </c>
      <c r="AX5" s="132">
        <v>290.92</v>
      </c>
      <c r="AY5" s="132">
        <f t="shared" si="11"/>
        <v>3.0149999999999864</v>
      </c>
      <c r="AZ5" s="142"/>
      <c r="BA5" s="142"/>
      <c r="BB5" s="142"/>
      <c r="BC5" s="142"/>
      <c r="BD5" s="142"/>
      <c r="BE5" s="142"/>
      <c r="BF5" s="142"/>
      <c r="BG5" s="142"/>
      <c r="BH5" s="142"/>
      <c r="BI5" s="142"/>
    </row>
    <row r="6" spans="1:61" ht="16">
      <c r="A6" s="15">
        <v>3</v>
      </c>
      <c r="B6" s="15" t="s">
        <v>46</v>
      </c>
      <c r="C6" s="15" t="s">
        <v>47</v>
      </c>
      <c r="D6" s="15" t="s">
        <v>48</v>
      </c>
      <c r="E6" s="131">
        <v>291.39999999999998</v>
      </c>
      <c r="F6" s="131">
        <v>271.49</v>
      </c>
      <c r="G6" s="18">
        <f t="shared" si="0"/>
        <v>6.6366666666666561</v>
      </c>
      <c r="H6" s="138"/>
      <c r="I6" s="131">
        <v>271.49</v>
      </c>
      <c r="J6" s="131">
        <v>250.21</v>
      </c>
      <c r="K6" s="18">
        <f t="shared" si="1"/>
        <v>5.32</v>
      </c>
      <c r="L6" s="136"/>
      <c r="M6" s="131">
        <v>352.5</v>
      </c>
      <c r="N6" s="131">
        <v>336.12</v>
      </c>
      <c r="O6" s="18">
        <f t="shared" si="2"/>
        <v>5.4599999999999982</v>
      </c>
      <c r="P6" s="136"/>
      <c r="Q6" s="131">
        <v>336.12</v>
      </c>
      <c r="R6" s="131">
        <v>321.91000000000003</v>
      </c>
      <c r="S6" s="18">
        <f t="shared" si="3"/>
        <v>4.7366666666666601</v>
      </c>
      <c r="T6" s="136"/>
      <c r="U6" s="131">
        <v>321.91000000000003</v>
      </c>
      <c r="V6" s="131">
        <v>298.72000000000003</v>
      </c>
      <c r="W6" s="18">
        <f t="shared" si="4"/>
        <v>5.7974999999999994</v>
      </c>
      <c r="X6" s="136"/>
      <c r="Y6" s="131">
        <v>298.72000000000003</v>
      </c>
      <c r="Z6" s="131">
        <v>279.20999999999998</v>
      </c>
      <c r="AA6" s="18">
        <f t="shared" si="5"/>
        <v>6.503333333333349</v>
      </c>
      <c r="AB6" s="136"/>
      <c r="AC6" s="131">
        <v>279.20999999999998</v>
      </c>
      <c r="AD6" s="131">
        <v>253</v>
      </c>
      <c r="AE6" s="18">
        <f t="shared" si="6"/>
        <v>6.5524999999999949</v>
      </c>
      <c r="AF6" s="136"/>
      <c r="AG6" s="131">
        <v>253</v>
      </c>
      <c r="AH6" s="131">
        <v>236.95</v>
      </c>
      <c r="AI6" s="18">
        <f t="shared" si="7"/>
        <v>5.3500000000000041</v>
      </c>
      <c r="AJ6" s="136"/>
      <c r="AK6" s="131">
        <v>324.74</v>
      </c>
      <c r="AL6" s="131">
        <v>292.39</v>
      </c>
      <c r="AM6" s="18">
        <f t="shared" si="8"/>
        <v>8.0875000000000057</v>
      </c>
      <c r="AN6" s="136"/>
      <c r="AO6" s="131">
        <v>292.39</v>
      </c>
      <c r="AP6" s="131">
        <v>277.52</v>
      </c>
      <c r="AQ6" s="18">
        <f t="shared" si="9"/>
        <v>4.9566666666666679</v>
      </c>
      <c r="AR6" s="136"/>
      <c r="AS6" s="131">
        <v>277.52</v>
      </c>
      <c r="AT6" s="131">
        <v>257.48</v>
      </c>
      <c r="AU6" s="131">
        <f t="shared" si="10"/>
        <v>5.0099999999999909</v>
      </c>
      <c r="AV6" s="136"/>
      <c r="AW6" s="131">
        <v>218.68</v>
      </c>
      <c r="AX6" s="131">
        <v>210.64</v>
      </c>
      <c r="AY6" s="131">
        <f t="shared" si="11"/>
        <v>4.0200000000000102</v>
      </c>
      <c r="AZ6" s="136"/>
      <c r="BA6" s="136"/>
      <c r="BB6" s="136"/>
      <c r="BC6" s="136"/>
      <c r="BD6" s="136"/>
      <c r="BE6" s="136"/>
      <c r="BF6" s="136"/>
      <c r="BG6" s="136"/>
      <c r="BH6" s="136"/>
      <c r="BI6" s="136"/>
    </row>
    <row r="7" spans="1:61" ht="16">
      <c r="A7" s="22">
        <v>4</v>
      </c>
      <c r="B7" s="22" t="s">
        <v>46</v>
      </c>
      <c r="C7" s="22" t="s">
        <v>47</v>
      </c>
      <c r="D7" s="22" t="s">
        <v>49</v>
      </c>
      <c r="E7" s="132">
        <v>332.05</v>
      </c>
      <c r="F7" s="132">
        <v>313.91000000000003</v>
      </c>
      <c r="G7" s="25">
        <f t="shared" si="0"/>
        <v>6.0466666666666624</v>
      </c>
      <c r="H7" s="141"/>
      <c r="I7" s="132">
        <v>313.91000000000003</v>
      </c>
      <c r="J7" s="132">
        <v>294.18</v>
      </c>
      <c r="K7" s="25">
        <f t="shared" si="1"/>
        <v>4.9325000000000045</v>
      </c>
      <c r="L7" s="142"/>
      <c r="M7" s="132">
        <v>371.55</v>
      </c>
      <c r="N7" s="132">
        <v>354.57</v>
      </c>
      <c r="O7" s="25">
        <f t="shared" si="2"/>
        <v>5.6600000000000064</v>
      </c>
      <c r="P7" s="142"/>
      <c r="Q7" s="132">
        <v>354.57</v>
      </c>
      <c r="R7" s="132">
        <v>344.08</v>
      </c>
      <c r="S7" s="25">
        <f t="shared" si="3"/>
        <v>3.4966666666666697</v>
      </c>
      <c r="T7" s="142"/>
      <c r="U7" s="132">
        <v>344.08</v>
      </c>
      <c r="V7" s="132">
        <v>324.83999999999997</v>
      </c>
      <c r="W7" s="25">
        <f t="shared" si="4"/>
        <v>4.8100000000000023</v>
      </c>
      <c r="X7" s="142"/>
      <c r="Y7" s="132">
        <v>324.83999999999997</v>
      </c>
      <c r="Z7" s="132">
        <v>310.57</v>
      </c>
      <c r="AA7" s="25">
        <f t="shared" si="5"/>
        <v>4.7566666666666606</v>
      </c>
      <c r="AB7" s="142"/>
      <c r="AC7" s="132">
        <v>310.57</v>
      </c>
      <c r="AD7" s="132">
        <v>294.11</v>
      </c>
      <c r="AE7" s="25">
        <f t="shared" si="6"/>
        <v>4.1149999999999949</v>
      </c>
      <c r="AF7" s="142"/>
      <c r="AG7" s="132">
        <v>294.11</v>
      </c>
      <c r="AH7" s="132">
        <v>281.10000000000002</v>
      </c>
      <c r="AI7" s="25">
        <f t="shared" si="7"/>
        <v>4.3366666666666633</v>
      </c>
      <c r="AJ7" s="142"/>
      <c r="AK7" s="132">
        <v>306.06</v>
      </c>
      <c r="AL7" s="132">
        <v>280.45</v>
      </c>
      <c r="AM7" s="25">
        <f t="shared" si="8"/>
        <v>6.4025000000000034</v>
      </c>
      <c r="AN7" s="142"/>
      <c r="AO7" s="132">
        <v>280.45</v>
      </c>
      <c r="AP7" s="132">
        <v>266.01</v>
      </c>
      <c r="AQ7" s="25">
        <f t="shared" si="9"/>
        <v>4.8133333333333326</v>
      </c>
      <c r="AR7" s="142"/>
      <c r="AS7" s="132">
        <v>266.01</v>
      </c>
      <c r="AT7" s="132">
        <v>249.17</v>
      </c>
      <c r="AU7" s="132">
        <f t="shared" si="10"/>
        <v>4.2100000000000009</v>
      </c>
      <c r="AV7" s="142"/>
      <c r="AW7" s="132">
        <v>301.95999999999998</v>
      </c>
      <c r="AX7" s="132">
        <v>292.39</v>
      </c>
      <c r="AY7" s="132">
        <f t="shared" si="11"/>
        <v>4.7849999999999966</v>
      </c>
      <c r="AZ7" s="142"/>
      <c r="BA7" s="142"/>
      <c r="BB7" s="142"/>
      <c r="BC7" s="142"/>
      <c r="BD7" s="142"/>
      <c r="BE7" s="142"/>
      <c r="BF7" s="142"/>
      <c r="BG7" s="142"/>
      <c r="BH7" s="142"/>
      <c r="BI7" s="142"/>
    </row>
    <row r="8" spans="1:61" ht="16">
      <c r="A8" s="15">
        <v>5</v>
      </c>
      <c r="B8" s="15" t="s">
        <v>46</v>
      </c>
      <c r="C8" s="15" t="s">
        <v>47</v>
      </c>
      <c r="D8" s="15" t="s">
        <v>48</v>
      </c>
      <c r="E8" s="131">
        <v>339.99</v>
      </c>
      <c r="F8" s="131">
        <v>323.95</v>
      </c>
      <c r="G8" s="18">
        <f t="shared" si="0"/>
        <v>5.3466666666666738</v>
      </c>
      <c r="H8" s="138"/>
      <c r="I8" s="131">
        <v>323.95</v>
      </c>
      <c r="J8" s="131">
        <v>304.87</v>
      </c>
      <c r="K8" s="18">
        <f t="shared" si="1"/>
        <v>4.769999999999996</v>
      </c>
      <c r="L8" s="136"/>
      <c r="M8" s="131">
        <v>285.97000000000003</v>
      </c>
      <c r="N8" s="131">
        <v>272.52999999999997</v>
      </c>
      <c r="O8" s="18">
        <f t="shared" si="2"/>
        <v>4.4800000000000182</v>
      </c>
      <c r="P8" s="136"/>
      <c r="Q8" s="131">
        <v>272.52999999999997</v>
      </c>
      <c r="R8" s="131">
        <v>259.36</v>
      </c>
      <c r="S8" s="18">
        <f t="shared" si="3"/>
        <v>4.3899999999999864</v>
      </c>
      <c r="T8" s="136"/>
      <c r="U8" s="131">
        <v>259.36</v>
      </c>
      <c r="V8" s="131">
        <v>240.81</v>
      </c>
      <c r="W8" s="18">
        <f t="shared" si="4"/>
        <v>4.6375000000000028</v>
      </c>
      <c r="X8" s="136"/>
      <c r="Y8" s="131">
        <v>240.81</v>
      </c>
      <c r="Z8" s="131">
        <v>227.94</v>
      </c>
      <c r="AA8" s="18">
        <f t="shared" si="5"/>
        <v>4.2900000000000018</v>
      </c>
      <c r="AB8" s="136"/>
      <c r="AC8" s="131">
        <v>227.94</v>
      </c>
      <c r="AD8" s="131">
        <v>212.06</v>
      </c>
      <c r="AE8" s="18">
        <f t="shared" si="6"/>
        <v>3.9699999999999989</v>
      </c>
      <c r="AF8" s="136"/>
      <c r="AG8" s="131">
        <v>212.06</v>
      </c>
      <c r="AH8" s="131">
        <v>201.62</v>
      </c>
      <c r="AI8" s="18">
        <f t="shared" si="7"/>
        <v>3.4799999999999991</v>
      </c>
      <c r="AJ8" s="136"/>
      <c r="AK8" s="131">
        <v>310.72000000000003</v>
      </c>
      <c r="AL8" s="131">
        <v>284.31</v>
      </c>
      <c r="AM8" s="18">
        <f t="shared" si="8"/>
        <v>6.6025000000000063</v>
      </c>
      <c r="AN8" s="136"/>
      <c r="AO8" s="131">
        <v>284.31</v>
      </c>
      <c r="AP8" s="131">
        <v>270.02</v>
      </c>
      <c r="AQ8" s="18">
        <f t="shared" si="9"/>
        <v>4.7633333333333399</v>
      </c>
      <c r="AR8" s="136"/>
      <c r="AS8" s="131">
        <v>270.02</v>
      </c>
      <c r="AT8" s="131">
        <v>252.5</v>
      </c>
      <c r="AU8" s="131">
        <f t="shared" si="10"/>
        <v>4.3799999999999955</v>
      </c>
      <c r="AV8" s="136"/>
      <c r="AW8" s="131">
        <v>234.91</v>
      </c>
      <c r="AX8" s="131">
        <v>228.74</v>
      </c>
      <c r="AY8" s="131">
        <f t="shared" si="11"/>
        <v>3.0849999999999937</v>
      </c>
      <c r="AZ8" s="136"/>
      <c r="BA8" s="136"/>
      <c r="BB8" s="136"/>
      <c r="BC8" s="136"/>
      <c r="BD8" s="136"/>
      <c r="BE8" s="136"/>
      <c r="BF8" s="136"/>
      <c r="BG8" s="136"/>
      <c r="BH8" s="136"/>
      <c r="BI8" s="136"/>
    </row>
    <row r="9" spans="1:61" ht="16">
      <c r="A9" s="22">
        <v>6</v>
      </c>
      <c r="B9" s="22" t="s">
        <v>46</v>
      </c>
      <c r="C9" s="22" t="s">
        <v>47</v>
      </c>
      <c r="D9" s="22" t="s">
        <v>49</v>
      </c>
      <c r="E9" s="132">
        <v>217.59</v>
      </c>
      <c r="F9" s="132">
        <v>200.34</v>
      </c>
      <c r="G9" s="132">
        <f t="shared" si="0"/>
        <v>5.75</v>
      </c>
      <c r="H9" s="141"/>
      <c r="I9" s="132">
        <v>200.34</v>
      </c>
      <c r="J9" s="132">
        <v>173.38</v>
      </c>
      <c r="K9" s="25">
        <f t="shared" si="1"/>
        <v>6.740000000000002</v>
      </c>
      <c r="L9" s="142"/>
      <c r="M9" s="132">
        <v>295.82</v>
      </c>
      <c r="N9" s="132">
        <v>269.35000000000002</v>
      </c>
      <c r="O9" s="25">
        <f t="shared" si="2"/>
        <v>8.8233333333333235</v>
      </c>
      <c r="P9" s="142"/>
      <c r="Q9" s="132">
        <v>269.35000000000002</v>
      </c>
      <c r="R9" s="132">
        <v>247.99</v>
      </c>
      <c r="S9" s="25">
        <f t="shared" si="3"/>
        <v>7.1200000000000045</v>
      </c>
      <c r="T9" s="142"/>
      <c r="U9" s="132">
        <v>247.99</v>
      </c>
      <c r="V9" s="132">
        <v>233.2</v>
      </c>
      <c r="W9" s="25">
        <f t="shared" si="4"/>
        <v>3.6975000000000051</v>
      </c>
      <c r="X9" s="142"/>
      <c r="Y9" s="132">
        <v>233.2</v>
      </c>
      <c r="Z9" s="132">
        <v>220.67</v>
      </c>
      <c r="AA9" s="25">
        <f t="shared" si="5"/>
        <v>4.1766666666666667</v>
      </c>
      <c r="AB9" s="142"/>
      <c r="AC9" s="132">
        <v>220.67</v>
      </c>
      <c r="AD9" s="132">
        <v>202.52</v>
      </c>
      <c r="AE9" s="25">
        <f t="shared" si="6"/>
        <v>4.5374999999999943</v>
      </c>
      <c r="AF9" s="142"/>
      <c r="AG9" s="132">
        <v>202.52</v>
      </c>
      <c r="AH9" s="132">
        <v>192.8</v>
      </c>
      <c r="AI9" s="25">
        <f t="shared" si="7"/>
        <v>3.2399999999999998</v>
      </c>
      <c r="AJ9" s="142"/>
      <c r="AK9" s="132">
        <v>349.26</v>
      </c>
      <c r="AL9" s="132">
        <v>281.58</v>
      </c>
      <c r="AM9" s="25">
        <f t="shared" si="8"/>
        <v>16.920000000000002</v>
      </c>
      <c r="AN9" s="142"/>
      <c r="AO9" s="132">
        <v>281.58</v>
      </c>
      <c r="AP9" s="132">
        <v>261.70999999999998</v>
      </c>
      <c r="AQ9" s="25">
        <f t="shared" si="9"/>
        <v>6.6233333333333348</v>
      </c>
      <c r="AR9" s="142"/>
      <c r="AS9" s="132">
        <v>261.70999999999998</v>
      </c>
      <c r="AT9" s="132">
        <v>247.43</v>
      </c>
      <c r="AU9" s="132">
        <f t="shared" si="10"/>
        <v>3.5699999999999932</v>
      </c>
      <c r="AV9" s="142"/>
      <c r="AW9" s="132">
        <v>253.61</v>
      </c>
      <c r="AX9" s="132">
        <v>247.67</v>
      </c>
      <c r="AY9" s="132">
        <f t="shared" si="11"/>
        <v>2.9700000000000131</v>
      </c>
      <c r="AZ9" s="142"/>
      <c r="BA9" s="142"/>
      <c r="BB9" s="142"/>
      <c r="BC9" s="142"/>
      <c r="BD9" s="142"/>
      <c r="BE9" s="142"/>
      <c r="BF9" s="142"/>
      <c r="BG9" s="142"/>
      <c r="BH9" s="142"/>
      <c r="BI9" s="142"/>
    </row>
    <row r="10" spans="1:61" ht="16">
      <c r="A10" s="15">
        <v>7</v>
      </c>
      <c r="B10" s="15" t="s">
        <v>46</v>
      </c>
      <c r="C10" s="15" t="s">
        <v>50</v>
      </c>
      <c r="D10" s="15" t="s">
        <v>48</v>
      </c>
      <c r="E10" s="131">
        <v>324.37</v>
      </c>
      <c r="F10" s="131">
        <v>305.22000000000003</v>
      </c>
      <c r="G10" s="18">
        <f t="shared" si="0"/>
        <v>6.3833333333333258</v>
      </c>
      <c r="H10" s="138"/>
      <c r="I10" s="131">
        <v>305.22000000000003</v>
      </c>
      <c r="J10" s="131">
        <v>249.25</v>
      </c>
      <c r="K10" s="18">
        <f t="shared" si="1"/>
        <v>13.992500000000007</v>
      </c>
      <c r="L10" s="136"/>
      <c r="M10" s="131">
        <v>283.63</v>
      </c>
      <c r="N10" s="131">
        <v>260.58999999999997</v>
      </c>
      <c r="O10" s="18">
        <f t="shared" si="2"/>
        <v>7.6800000000000068</v>
      </c>
      <c r="P10" s="136"/>
      <c r="Q10" s="131">
        <v>260.58999999999997</v>
      </c>
      <c r="R10" s="131">
        <v>240.21</v>
      </c>
      <c r="S10" s="18">
        <f t="shared" si="3"/>
        <v>6.7933333333333223</v>
      </c>
      <c r="T10" s="136"/>
      <c r="U10" s="131">
        <v>240.21</v>
      </c>
      <c r="V10" s="131">
        <v>208.99</v>
      </c>
      <c r="W10" s="18">
        <f t="shared" si="4"/>
        <v>7.8049999999999997</v>
      </c>
      <c r="X10" s="136"/>
      <c r="Y10" s="131">
        <v>208.99</v>
      </c>
      <c r="Z10" s="131">
        <v>187.44</v>
      </c>
      <c r="AA10" s="18">
        <f t="shared" si="5"/>
        <v>7.1833333333333371</v>
      </c>
      <c r="AB10" s="136"/>
      <c r="AC10" s="131">
        <v>187.44</v>
      </c>
      <c r="AD10" s="131">
        <v>161.33000000000001</v>
      </c>
      <c r="AE10" s="18">
        <f t="shared" si="6"/>
        <v>6.5274999999999963</v>
      </c>
      <c r="AF10" s="136"/>
      <c r="AG10" s="131">
        <v>161.33000000000001</v>
      </c>
      <c r="AH10" s="131">
        <v>139.05000000000001</v>
      </c>
      <c r="AI10" s="18">
        <f t="shared" si="7"/>
        <v>7.4266666666666667</v>
      </c>
      <c r="AJ10" s="136"/>
      <c r="AK10" s="131">
        <v>307.89999999999998</v>
      </c>
      <c r="AL10" s="131">
        <v>222.92</v>
      </c>
      <c r="AM10" s="18">
        <f t="shared" si="8"/>
        <v>21.244999999999997</v>
      </c>
      <c r="AN10" s="136"/>
      <c r="AO10" s="131">
        <v>222.92</v>
      </c>
      <c r="AP10" s="131">
        <v>184.04</v>
      </c>
      <c r="AQ10" s="18">
        <f t="shared" si="9"/>
        <v>12.959999999999999</v>
      </c>
      <c r="AR10" s="136"/>
      <c r="AS10" s="131">
        <v>184.04</v>
      </c>
      <c r="AT10" s="131">
        <v>154.41</v>
      </c>
      <c r="AU10" s="131">
        <f t="shared" si="10"/>
        <v>7.4074999999999989</v>
      </c>
      <c r="AV10" s="136"/>
      <c r="AW10" s="131">
        <v>246.61</v>
      </c>
      <c r="AX10" s="131">
        <v>227.63</v>
      </c>
      <c r="AY10" s="131">
        <f t="shared" si="11"/>
        <v>9.4900000000000091</v>
      </c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</row>
    <row r="11" spans="1:61" ht="16">
      <c r="A11" s="22">
        <v>8</v>
      </c>
      <c r="B11" s="22" t="s">
        <v>46</v>
      </c>
      <c r="C11" s="22" t="s">
        <v>50</v>
      </c>
      <c r="D11" s="22" t="s">
        <v>49</v>
      </c>
      <c r="E11" s="132">
        <v>284.83999999999997</v>
      </c>
      <c r="F11" s="132">
        <v>270.58</v>
      </c>
      <c r="G11" s="25">
        <f t="shared" si="0"/>
        <v>4.7533333333333303</v>
      </c>
      <c r="H11" s="141"/>
      <c r="I11" s="132">
        <v>270.58</v>
      </c>
      <c r="J11" s="132">
        <v>254.33</v>
      </c>
      <c r="K11" s="25">
        <f t="shared" si="1"/>
        <v>4.0624999999999929</v>
      </c>
      <c r="L11" s="142"/>
      <c r="M11" s="132">
        <v>335.15</v>
      </c>
      <c r="N11" s="132">
        <v>321.45</v>
      </c>
      <c r="O11" s="25">
        <f t="shared" si="2"/>
        <v>4.5666666666666629</v>
      </c>
      <c r="P11" s="142"/>
      <c r="Q11" s="132">
        <v>321.45</v>
      </c>
      <c r="R11" s="132">
        <v>311.56</v>
      </c>
      <c r="S11" s="25">
        <f t="shared" si="3"/>
        <v>3.296666666666662</v>
      </c>
      <c r="T11" s="142"/>
      <c r="U11" s="132">
        <v>311.56</v>
      </c>
      <c r="V11" s="132">
        <v>296.02999999999997</v>
      </c>
      <c r="W11" s="25">
        <f t="shared" si="4"/>
        <v>3.8825000000000074</v>
      </c>
      <c r="X11" s="142"/>
      <c r="Y11" s="132">
        <v>296.02999999999997</v>
      </c>
      <c r="Z11" s="132">
        <v>283.88</v>
      </c>
      <c r="AA11" s="25">
        <f t="shared" si="5"/>
        <v>4.0499999999999927</v>
      </c>
      <c r="AB11" s="142"/>
      <c r="AC11" s="132">
        <v>283.88</v>
      </c>
      <c r="AD11" s="132">
        <v>268.92</v>
      </c>
      <c r="AE11" s="25">
        <f t="shared" si="6"/>
        <v>3.7399999999999949</v>
      </c>
      <c r="AF11" s="142"/>
      <c r="AG11" s="132">
        <v>268.92</v>
      </c>
      <c r="AH11" s="132">
        <v>257.89999999999998</v>
      </c>
      <c r="AI11" s="25">
        <f t="shared" si="7"/>
        <v>3.6733333333333462</v>
      </c>
      <c r="AJ11" s="142"/>
      <c r="AK11" s="132">
        <v>310.55</v>
      </c>
      <c r="AL11" s="132">
        <v>288.83999999999997</v>
      </c>
      <c r="AM11" s="25">
        <f t="shared" si="8"/>
        <v>5.4275000000000091</v>
      </c>
      <c r="AN11" s="142"/>
      <c r="AO11" s="132">
        <v>288.83999999999997</v>
      </c>
      <c r="AP11" s="132">
        <v>275.77</v>
      </c>
      <c r="AQ11" s="25">
        <f t="shared" si="9"/>
        <v>4.3566666666666647</v>
      </c>
      <c r="AR11" s="142"/>
      <c r="AS11" s="132">
        <v>275.77</v>
      </c>
      <c r="AT11" s="132">
        <v>259.89999999999998</v>
      </c>
      <c r="AU11" s="132">
        <f t="shared" si="10"/>
        <v>3.9675000000000011</v>
      </c>
      <c r="AV11" s="142"/>
      <c r="AW11" s="132">
        <v>230.36</v>
      </c>
      <c r="AX11" s="132">
        <v>224.02</v>
      </c>
      <c r="AY11" s="132">
        <f t="shared" si="11"/>
        <v>3.1700000000000017</v>
      </c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</row>
    <row r="12" spans="1:61" ht="16">
      <c r="A12" s="15">
        <v>9</v>
      </c>
      <c r="B12" s="15" t="s">
        <v>46</v>
      </c>
      <c r="C12" s="15" t="s">
        <v>50</v>
      </c>
      <c r="D12" s="15" t="s">
        <v>48</v>
      </c>
      <c r="E12" s="131">
        <v>307.12</v>
      </c>
      <c r="F12" s="131">
        <v>288.85000000000002</v>
      </c>
      <c r="G12" s="131">
        <f t="shared" si="0"/>
        <v>6.0899999999999936</v>
      </c>
      <c r="H12" s="138"/>
      <c r="I12" s="131">
        <v>288.85000000000002</v>
      </c>
      <c r="J12" s="131">
        <v>264.57</v>
      </c>
      <c r="K12" s="18">
        <f t="shared" si="1"/>
        <v>6.0700000000000074</v>
      </c>
      <c r="L12" s="136"/>
      <c r="M12" s="131">
        <v>294.26</v>
      </c>
      <c r="N12" s="131">
        <v>275.56</v>
      </c>
      <c r="O12" s="18">
        <f t="shared" si="2"/>
        <v>6.2333333333333298</v>
      </c>
      <c r="P12" s="136"/>
      <c r="Q12" s="131">
        <v>275.56</v>
      </c>
      <c r="R12" s="131">
        <v>263.13</v>
      </c>
      <c r="S12" s="18">
        <f t="shared" si="3"/>
        <v>4.1433333333333353</v>
      </c>
      <c r="T12" s="136"/>
      <c r="U12" s="131">
        <v>263.13</v>
      </c>
      <c r="V12" s="131">
        <v>245.8</v>
      </c>
      <c r="W12" s="18">
        <f t="shared" si="4"/>
        <v>4.332499999999996</v>
      </c>
      <c r="X12" s="136"/>
      <c r="Y12" s="131">
        <v>245.8</v>
      </c>
      <c r="Z12" s="131">
        <v>233.08</v>
      </c>
      <c r="AA12" s="18">
        <f t="shared" si="5"/>
        <v>4.2399999999999993</v>
      </c>
      <c r="AB12" s="136"/>
      <c r="AC12" s="131">
        <v>233.08</v>
      </c>
      <c r="AD12" s="131">
        <v>217.48</v>
      </c>
      <c r="AE12" s="18">
        <f t="shared" si="6"/>
        <v>3.9000000000000057</v>
      </c>
      <c r="AF12" s="136"/>
      <c r="AG12" s="131">
        <v>217.48</v>
      </c>
      <c r="AH12" s="131">
        <v>207.04</v>
      </c>
      <c r="AI12" s="18">
        <f t="shared" si="7"/>
        <v>3.4799999999999991</v>
      </c>
      <c r="AJ12" s="136"/>
      <c r="AK12" s="131">
        <v>273.87</v>
      </c>
      <c r="AL12" s="131">
        <v>253.15</v>
      </c>
      <c r="AM12" s="18">
        <f t="shared" si="8"/>
        <v>5.18</v>
      </c>
      <c r="AN12" s="136"/>
      <c r="AO12" s="131">
        <v>253.15</v>
      </c>
      <c r="AP12" s="131">
        <v>237.63</v>
      </c>
      <c r="AQ12" s="18">
        <f t="shared" si="9"/>
        <v>5.1733333333333364</v>
      </c>
      <c r="AR12" s="136"/>
      <c r="AS12" s="131">
        <v>237.63</v>
      </c>
      <c r="AT12" s="131">
        <v>218.51</v>
      </c>
      <c r="AU12" s="131">
        <f t="shared" si="10"/>
        <v>4.7800000000000011</v>
      </c>
      <c r="AV12" s="136"/>
      <c r="AW12" s="131">
        <v>204.44</v>
      </c>
      <c r="AX12" s="131">
        <v>199.55</v>
      </c>
      <c r="AY12" s="131">
        <f t="shared" si="11"/>
        <v>2.4449999999999932</v>
      </c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</row>
    <row r="13" spans="1:61" ht="16">
      <c r="A13" s="22">
        <v>10</v>
      </c>
      <c r="B13" s="22" t="s">
        <v>46</v>
      </c>
      <c r="C13" s="22" t="s">
        <v>50</v>
      </c>
      <c r="D13" s="22" t="s">
        <v>49</v>
      </c>
      <c r="E13" s="132">
        <v>323.41000000000003</v>
      </c>
      <c r="F13" s="132">
        <v>302.89</v>
      </c>
      <c r="G13" s="132">
        <f t="shared" si="0"/>
        <v>6.8400000000000132</v>
      </c>
      <c r="H13" s="141"/>
      <c r="I13" s="132">
        <v>302.89</v>
      </c>
      <c r="J13" s="132">
        <v>274.93</v>
      </c>
      <c r="K13" s="25">
        <f t="shared" si="1"/>
        <v>6.9899999999999949</v>
      </c>
      <c r="L13" s="142"/>
      <c r="M13" s="132">
        <v>347</v>
      </c>
      <c r="N13" s="132">
        <v>330.82</v>
      </c>
      <c r="O13" s="25">
        <f t="shared" si="2"/>
        <v>5.3933333333333353</v>
      </c>
      <c r="P13" s="142"/>
      <c r="Q13" s="132">
        <v>330.82</v>
      </c>
      <c r="R13" s="132">
        <v>321.04000000000002</v>
      </c>
      <c r="S13" s="25">
        <f t="shared" si="3"/>
        <v>3.2599999999999909</v>
      </c>
      <c r="T13" s="142"/>
      <c r="U13" s="132">
        <v>321.04000000000002</v>
      </c>
      <c r="V13" s="132">
        <v>296.22000000000003</v>
      </c>
      <c r="W13" s="25">
        <f t="shared" si="4"/>
        <v>6.2049999999999983</v>
      </c>
      <c r="X13" s="142"/>
      <c r="Y13" s="132">
        <v>296.22000000000003</v>
      </c>
      <c r="Z13" s="132">
        <v>281.33</v>
      </c>
      <c r="AA13" s="25">
        <f t="shared" si="5"/>
        <v>4.963333333333348</v>
      </c>
      <c r="AB13" s="142"/>
      <c r="AC13" s="132">
        <v>281.33</v>
      </c>
      <c r="AD13" s="132">
        <v>264.98</v>
      </c>
      <c r="AE13" s="25">
        <f t="shared" si="6"/>
        <v>4.0874999999999915</v>
      </c>
      <c r="AF13" s="142"/>
      <c r="AG13" s="132">
        <v>264.98</v>
      </c>
      <c r="AH13" s="132">
        <v>251.08</v>
      </c>
      <c r="AI13" s="25">
        <f t="shared" si="7"/>
        <v>4.6333333333333355</v>
      </c>
      <c r="AJ13" s="142"/>
      <c r="AK13" s="132">
        <v>351.57</v>
      </c>
      <c r="AL13" s="132">
        <v>307.88</v>
      </c>
      <c r="AM13" s="25">
        <f t="shared" si="8"/>
        <v>10.922499999999999</v>
      </c>
      <c r="AN13" s="142"/>
      <c r="AO13" s="132">
        <v>307.88</v>
      </c>
      <c r="AP13" s="132">
        <v>289.43</v>
      </c>
      <c r="AQ13" s="25">
        <f t="shared" si="9"/>
        <v>6.1499999999999959</v>
      </c>
      <c r="AR13" s="142"/>
      <c r="AS13" s="132">
        <v>289.43</v>
      </c>
      <c r="AT13" s="132">
        <v>265.88</v>
      </c>
      <c r="AU13" s="132">
        <f t="shared" si="10"/>
        <v>5.8875000000000028</v>
      </c>
      <c r="AV13" s="142"/>
      <c r="AW13" s="132">
        <v>251.7</v>
      </c>
      <c r="AX13" s="132">
        <v>245.77</v>
      </c>
      <c r="AY13" s="132">
        <f t="shared" si="11"/>
        <v>2.9649999999999892</v>
      </c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</row>
    <row r="14" spans="1:61" ht="16">
      <c r="A14" s="15">
        <v>11</v>
      </c>
      <c r="B14" s="15" t="s">
        <v>46</v>
      </c>
      <c r="C14" s="15" t="s">
        <v>50</v>
      </c>
      <c r="D14" s="15" t="s">
        <v>48</v>
      </c>
      <c r="E14" s="131">
        <v>343.14</v>
      </c>
      <c r="F14" s="131">
        <v>314.18</v>
      </c>
      <c r="G14" s="18">
        <f t="shared" si="0"/>
        <v>9.6533333333333271</v>
      </c>
      <c r="H14" s="138"/>
      <c r="I14" s="131">
        <v>314.18</v>
      </c>
      <c r="J14" s="131">
        <v>277.81</v>
      </c>
      <c r="K14" s="18">
        <f t="shared" si="1"/>
        <v>9.0925000000000011</v>
      </c>
      <c r="L14" s="136"/>
      <c r="M14" s="131">
        <v>337.21</v>
      </c>
      <c r="N14" s="131">
        <v>307.2</v>
      </c>
      <c r="O14" s="18">
        <f t="shared" si="2"/>
        <v>10.00333333333333</v>
      </c>
      <c r="P14" s="136"/>
      <c r="Q14" s="131">
        <v>307.2</v>
      </c>
      <c r="R14" s="131">
        <v>281.39999999999998</v>
      </c>
      <c r="S14" s="18">
        <f t="shared" si="3"/>
        <v>8.6000000000000032</v>
      </c>
      <c r="T14" s="136"/>
      <c r="U14" s="131">
        <v>281.39999999999998</v>
      </c>
      <c r="V14" s="131">
        <v>243.24</v>
      </c>
      <c r="W14" s="18">
        <f t="shared" si="4"/>
        <v>9.539999999999992</v>
      </c>
      <c r="X14" s="136"/>
      <c r="Y14" s="131">
        <v>243.24</v>
      </c>
      <c r="Z14" s="131">
        <v>208.88</v>
      </c>
      <c r="AA14" s="18">
        <f t="shared" si="5"/>
        <v>11.453333333333338</v>
      </c>
      <c r="AB14" s="136"/>
      <c r="AC14" s="131">
        <v>208.88</v>
      </c>
      <c r="AD14" s="131">
        <v>183.16</v>
      </c>
      <c r="AE14" s="18">
        <f t="shared" si="6"/>
        <v>6.43</v>
      </c>
      <c r="AF14" s="136"/>
      <c r="AG14" s="131">
        <v>183.16</v>
      </c>
      <c r="AH14" s="131">
        <v>173.86</v>
      </c>
      <c r="AI14" s="18">
        <f t="shared" si="7"/>
        <v>3.0999999999999943</v>
      </c>
      <c r="AJ14" s="136"/>
      <c r="AK14" s="131">
        <v>167.86</v>
      </c>
      <c r="AL14" s="131">
        <v>154.41999999999999</v>
      </c>
      <c r="AM14" s="18">
        <f t="shared" si="8"/>
        <v>3.3600000000000065</v>
      </c>
      <c r="AN14" s="136"/>
      <c r="AO14" s="131">
        <v>154.41999999999999</v>
      </c>
      <c r="AP14" s="131">
        <v>144.01</v>
      </c>
      <c r="AQ14" s="18">
        <f t="shared" si="9"/>
        <v>3.4699999999999989</v>
      </c>
      <c r="AR14" s="136"/>
      <c r="AS14" s="131">
        <v>144.01</v>
      </c>
      <c r="AT14" s="131">
        <v>130.08000000000001</v>
      </c>
      <c r="AU14" s="131">
        <f t="shared" si="10"/>
        <v>3.4824999999999946</v>
      </c>
      <c r="AV14" s="136"/>
      <c r="AW14" s="131">
        <v>335.03</v>
      </c>
      <c r="AX14" s="131">
        <v>313.58</v>
      </c>
      <c r="AY14" s="131">
        <f t="shared" si="11"/>
        <v>10.724999999999994</v>
      </c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</row>
    <row r="15" spans="1:61" ht="16">
      <c r="A15" s="22">
        <v>12</v>
      </c>
      <c r="B15" s="22" t="s">
        <v>46</v>
      </c>
      <c r="C15" s="22" t="s">
        <v>50</v>
      </c>
      <c r="D15" s="22" t="s">
        <v>49</v>
      </c>
      <c r="E15" s="132">
        <v>316.08999999999997</v>
      </c>
      <c r="F15" s="132">
        <v>281.82</v>
      </c>
      <c r="G15" s="25">
        <f t="shared" si="0"/>
        <v>11.423333333333327</v>
      </c>
      <c r="H15" s="141"/>
      <c r="I15" s="132">
        <v>281.82</v>
      </c>
      <c r="J15" s="132">
        <v>253.6</v>
      </c>
      <c r="K15" s="25">
        <f t="shared" si="1"/>
        <v>7.0549999999999997</v>
      </c>
      <c r="L15" s="142"/>
      <c r="M15" s="132">
        <v>307.64999999999998</v>
      </c>
      <c r="N15" s="132">
        <v>292.14</v>
      </c>
      <c r="O15" s="25">
        <f t="shared" si="2"/>
        <v>5.1699999999999973</v>
      </c>
      <c r="P15" s="142"/>
      <c r="Q15" s="132">
        <v>292.14</v>
      </c>
      <c r="R15" s="132">
        <v>277.51</v>
      </c>
      <c r="S15" s="25">
        <f t="shared" si="3"/>
        <v>4.8766666666666652</v>
      </c>
      <c r="T15" s="142"/>
      <c r="U15" s="132">
        <v>277.51</v>
      </c>
      <c r="V15" s="132">
        <v>259.32</v>
      </c>
      <c r="W15" s="25">
        <f t="shared" si="4"/>
        <v>4.5474999999999994</v>
      </c>
      <c r="X15" s="142"/>
      <c r="Y15" s="132">
        <v>259.32</v>
      </c>
      <c r="Z15" s="132">
        <v>247.6</v>
      </c>
      <c r="AA15" s="25">
        <f t="shared" si="5"/>
        <v>3.9066666666666663</v>
      </c>
      <c r="AB15" s="142"/>
      <c r="AC15" s="132">
        <v>247.6</v>
      </c>
      <c r="AD15" s="132">
        <v>229.66</v>
      </c>
      <c r="AE15" s="25">
        <f t="shared" si="6"/>
        <v>4.4849999999999994</v>
      </c>
      <c r="AF15" s="142"/>
      <c r="AG15" s="132">
        <v>229.66</v>
      </c>
      <c r="AH15" s="132">
        <v>215.92</v>
      </c>
      <c r="AI15" s="25">
        <f t="shared" si="7"/>
        <v>4.5800000000000027</v>
      </c>
      <c r="AJ15" s="142"/>
      <c r="AK15" s="132">
        <v>325.19</v>
      </c>
      <c r="AL15" s="132">
        <v>280.89999999999998</v>
      </c>
      <c r="AM15" s="25">
        <f t="shared" si="8"/>
        <v>11.072500000000005</v>
      </c>
      <c r="AN15" s="142"/>
      <c r="AO15" s="132">
        <v>280.89999999999998</v>
      </c>
      <c r="AP15" s="132">
        <v>260.77</v>
      </c>
      <c r="AQ15" s="25">
        <f t="shared" si="9"/>
        <v>6.7099999999999982</v>
      </c>
      <c r="AR15" s="142"/>
      <c r="AS15" s="132">
        <v>260.77</v>
      </c>
      <c r="AT15" s="132">
        <v>238.64</v>
      </c>
      <c r="AU15" s="132">
        <f t="shared" si="10"/>
        <v>5.5324999999999989</v>
      </c>
      <c r="AV15" s="142"/>
      <c r="AW15" s="132">
        <v>222.79</v>
      </c>
      <c r="AX15" s="132">
        <v>216.36</v>
      </c>
      <c r="AY15" s="132">
        <f t="shared" si="11"/>
        <v>3.2149999999999892</v>
      </c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</row>
    <row r="16" spans="1:61" ht="16">
      <c r="A16" s="15">
        <v>13</v>
      </c>
      <c r="B16" s="15" t="s">
        <v>51</v>
      </c>
      <c r="C16" s="15" t="s">
        <v>47</v>
      </c>
      <c r="D16" s="15" t="s">
        <v>48</v>
      </c>
      <c r="E16" s="131">
        <v>320.14999999999998</v>
      </c>
      <c r="F16" s="131">
        <v>300.29000000000002</v>
      </c>
      <c r="G16" s="131">
        <f t="shared" si="0"/>
        <v>6.6199999999999859</v>
      </c>
      <c r="H16" s="138"/>
      <c r="I16" s="131">
        <v>300.29000000000002</v>
      </c>
      <c r="J16" s="131">
        <v>273.31</v>
      </c>
      <c r="K16" s="18">
        <f t="shared" si="1"/>
        <v>6.7450000000000045</v>
      </c>
      <c r="L16" s="136"/>
      <c r="M16" s="131">
        <v>272.58999999999997</v>
      </c>
      <c r="N16" s="131">
        <v>252.69</v>
      </c>
      <c r="O16" s="18">
        <f t="shared" si="2"/>
        <v>6.6333333333333258</v>
      </c>
      <c r="P16" s="136"/>
      <c r="Q16" s="131">
        <v>252.69</v>
      </c>
      <c r="R16" s="131">
        <v>231.62</v>
      </c>
      <c r="S16" s="18">
        <f t="shared" si="3"/>
        <v>7.0233333333333308</v>
      </c>
      <c r="T16" s="136"/>
      <c r="U16" s="131">
        <v>231.62</v>
      </c>
      <c r="V16" s="131">
        <v>205.19</v>
      </c>
      <c r="W16" s="18">
        <f t="shared" si="4"/>
        <v>6.6075000000000017</v>
      </c>
      <c r="X16" s="136"/>
      <c r="Y16" s="131">
        <v>205.19</v>
      </c>
      <c r="Z16" s="131">
        <v>185.35</v>
      </c>
      <c r="AA16" s="18">
        <f t="shared" si="5"/>
        <v>6.6133333333333342</v>
      </c>
      <c r="AB16" s="136"/>
      <c r="AC16" s="131">
        <v>185.35</v>
      </c>
      <c r="AD16" s="131">
        <v>159.13</v>
      </c>
      <c r="AE16" s="18">
        <f t="shared" si="6"/>
        <v>6.5549999999999997</v>
      </c>
      <c r="AF16" s="136"/>
      <c r="AG16" s="131">
        <v>159.13</v>
      </c>
      <c r="AH16" s="131">
        <v>136.13999999999999</v>
      </c>
      <c r="AI16" s="18">
        <f t="shared" si="7"/>
        <v>7.6633333333333367</v>
      </c>
      <c r="AJ16" s="136"/>
      <c r="AK16" s="131">
        <v>282.88</v>
      </c>
      <c r="AL16" s="131">
        <v>248.41</v>
      </c>
      <c r="AM16" s="18">
        <f t="shared" si="8"/>
        <v>8.6174999999999997</v>
      </c>
      <c r="AN16" s="136"/>
      <c r="AO16" s="131">
        <v>248.41</v>
      </c>
      <c r="AP16" s="131">
        <v>225.26</v>
      </c>
      <c r="AQ16" s="18">
        <f t="shared" si="9"/>
        <v>7.7166666666666686</v>
      </c>
      <c r="AR16" s="136"/>
      <c r="AS16" s="131">
        <v>225.26</v>
      </c>
      <c r="AT16" s="131">
        <v>189.08</v>
      </c>
      <c r="AU16" s="131">
        <f t="shared" si="10"/>
        <v>9.0449999999999946</v>
      </c>
      <c r="AV16" s="136"/>
      <c r="AW16" s="131">
        <v>304.61</v>
      </c>
      <c r="AX16" s="131">
        <v>289.35000000000002</v>
      </c>
      <c r="AY16" s="131">
        <f t="shared" si="11"/>
        <v>7.6299999999999955</v>
      </c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</row>
    <row r="17" spans="1:61" ht="16">
      <c r="A17" s="22">
        <v>14</v>
      </c>
      <c r="B17" s="22" t="s">
        <v>51</v>
      </c>
      <c r="C17" s="22" t="s">
        <v>47</v>
      </c>
      <c r="D17" s="22" t="s">
        <v>49</v>
      </c>
      <c r="E17" s="132">
        <v>349.32</v>
      </c>
      <c r="F17" s="132">
        <v>329.66</v>
      </c>
      <c r="G17" s="25">
        <f t="shared" si="0"/>
        <v>6.553333333333323</v>
      </c>
      <c r="H17" s="141"/>
      <c r="I17" s="132">
        <v>329.66</v>
      </c>
      <c r="J17" s="132">
        <v>302.04000000000002</v>
      </c>
      <c r="K17" s="25">
        <f t="shared" si="1"/>
        <v>6.9050000000000011</v>
      </c>
      <c r="L17" s="142"/>
      <c r="M17" s="132">
        <v>293.14</v>
      </c>
      <c r="N17" s="132">
        <v>271.23</v>
      </c>
      <c r="O17" s="25">
        <f t="shared" si="2"/>
        <v>7.303333333333323</v>
      </c>
      <c r="P17" s="142"/>
      <c r="Q17" s="132">
        <v>271.23</v>
      </c>
      <c r="R17" s="132">
        <v>257.02999999999997</v>
      </c>
      <c r="S17" s="25">
        <f t="shared" si="3"/>
        <v>4.7333333333333485</v>
      </c>
      <c r="T17" s="142"/>
      <c r="U17" s="132">
        <v>257.02999999999997</v>
      </c>
      <c r="V17" s="132">
        <v>235.13</v>
      </c>
      <c r="W17" s="25">
        <f t="shared" si="4"/>
        <v>5.4749999999999943</v>
      </c>
      <c r="X17" s="142"/>
      <c r="Y17" s="132">
        <v>235.13</v>
      </c>
      <c r="Z17" s="132">
        <v>221.33</v>
      </c>
      <c r="AA17" s="25">
        <f t="shared" si="5"/>
        <v>4.5999999999999943</v>
      </c>
      <c r="AB17" s="142"/>
      <c r="AC17" s="132">
        <v>221.33</v>
      </c>
      <c r="AD17" s="132">
        <v>200.25</v>
      </c>
      <c r="AE17" s="25">
        <f t="shared" si="6"/>
        <v>5.2700000000000031</v>
      </c>
      <c r="AF17" s="142"/>
      <c r="AG17" s="132">
        <v>200.25</v>
      </c>
      <c r="AH17" s="132">
        <v>180.17</v>
      </c>
      <c r="AI17" s="25">
        <f t="shared" si="7"/>
        <v>6.6933333333333378</v>
      </c>
      <c r="AJ17" s="142"/>
      <c r="AK17" s="132">
        <v>325.36</v>
      </c>
      <c r="AL17" s="132">
        <v>296.25</v>
      </c>
      <c r="AM17" s="25">
        <f t="shared" si="8"/>
        <v>7.2775000000000034</v>
      </c>
      <c r="AN17" s="142"/>
      <c r="AO17" s="132">
        <v>296.25</v>
      </c>
      <c r="AP17" s="132">
        <v>267.60000000000002</v>
      </c>
      <c r="AQ17" s="25">
        <f t="shared" si="9"/>
        <v>9.5499999999999918</v>
      </c>
      <c r="AR17" s="142"/>
      <c r="AS17" s="132">
        <v>267.60000000000002</v>
      </c>
      <c r="AT17" s="132">
        <v>234.73</v>
      </c>
      <c r="AU17" s="132">
        <f t="shared" si="10"/>
        <v>8.2175000000000082</v>
      </c>
      <c r="AV17" s="142"/>
      <c r="AW17" s="132">
        <v>300.73</v>
      </c>
      <c r="AX17" s="132">
        <v>287.95</v>
      </c>
      <c r="AY17" s="132">
        <f t="shared" si="11"/>
        <v>6.3900000000000148</v>
      </c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</row>
    <row r="18" spans="1:61" ht="16">
      <c r="A18" s="15">
        <v>15</v>
      </c>
      <c r="B18" s="15" t="s">
        <v>51</v>
      </c>
      <c r="C18" s="15" t="s">
        <v>47</v>
      </c>
      <c r="D18" s="15" t="s">
        <v>48</v>
      </c>
      <c r="E18" s="131">
        <v>305.08</v>
      </c>
      <c r="F18" s="131">
        <v>283.58999999999997</v>
      </c>
      <c r="G18" s="18">
        <f t="shared" si="0"/>
        <v>7.1633333333333367</v>
      </c>
      <c r="H18" s="138"/>
      <c r="I18" s="131">
        <v>283.58999999999997</v>
      </c>
      <c r="J18" s="131">
        <v>250.27</v>
      </c>
      <c r="K18" s="18">
        <f t="shared" si="1"/>
        <v>8.3299999999999912</v>
      </c>
      <c r="L18" s="136"/>
      <c r="M18" s="131">
        <v>306.05</v>
      </c>
      <c r="N18" s="131">
        <v>278.47000000000003</v>
      </c>
      <c r="O18" s="18">
        <f t="shared" si="2"/>
        <v>9.193333333333328</v>
      </c>
      <c r="P18" s="136"/>
      <c r="Q18" s="131">
        <v>278.47000000000003</v>
      </c>
      <c r="R18" s="131">
        <v>248.23</v>
      </c>
      <c r="S18" s="18">
        <f t="shared" si="3"/>
        <v>10.080000000000013</v>
      </c>
      <c r="T18" s="136"/>
      <c r="U18" s="131">
        <v>248.23</v>
      </c>
      <c r="V18" s="131">
        <v>207.02</v>
      </c>
      <c r="W18" s="18">
        <f t="shared" si="4"/>
        <v>10.302499999999995</v>
      </c>
      <c r="X18" s="136"/>
      <c r="Y18" s="131">
        <v>207.02</v>
      </c>
      <c r="Z18" s="131">
        <v>181.2</v>
      </c>
      <c r="AA18" s="18">
        <f t="shared" si="5"/>
        <v>8.6066666666666745</v>
      </c>
      <c r="AB18" s="136"/>
      <c r="AC18" s="131">
        <v>181.2</v>
      </c>
      <c r="AD18" s="131">
        <v>137.41999999999999</v>
      </c>
      <c r="AE18" s="18">
        <f t="shared" si="6"/>
        <v>10.945</v>
      </c>
      <c r="AF18" s="136"/>
      <c r="AG18" s="131">
        <v>137.41999999999999</v>
      </c>
      <c r="AH18" s="131">
        <v>101.63</v>
      </c>
      <c r="AI18" s="18">
        <f t="shared" si="7"/>
        <v>11.929999999999998</v>
      </c>
      <c r="AJ18" s="136"/>
      <c r="AK18" s="131">
        <v>320.73</v>
      </c>
      <c r="AL18" s="131">
        <v>248.5</v>
      </c>
      <c r="AM18" s="18">
        <f t="shared" si="8"/>
        <v>18.057500000000005</v>
      </c>
      <c r="AN18" s="136"/>
      <c r="AO18" s="131">
        <v>248.5</v>
      </c>
      <c r="AP18" s="131">
        <v>187.42</v>
      </c>
      <c r="AQ18" s="18">
        <f t="shared" si="9"/>
        <v>20.360000000000003</v>
      </c>
      <c r="AR18" s="136"/>
      <c r="AS18" s="131">
        <v>187.42</v>
      </c>
      <c r="AT18" s="131">
        <v>117.6</v>
      </c>
      <c r="AU18" s="131">
        <f t="shared" si="10"/>
        <v>17.454999999999998</v>
      </c>
      <c r="AV18" s="136"/>
      <c r="AW18" s="131">
        <v>331.33</v>
      </c>
      <c r="AX18" s="131">
        <v>305.08</v>
      </c>
      <c r="AY18" s="131">
        <f t="shared" si="11"/>
        <v>13.125</v>
      </c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</row>
    <row r="19" spans="1:61" ht="16">
      <c r="A19" s="22">
        <v>16</v>
      </c>
      <c r="B19" s="22" t="s">
        <v>51</v>
      </c>
      <c r="C19" s="22" t="s">
        <v>47</v>
      </c>
      <c r="D19" s="22" t="s">
        <v>49</v>
      </c>
      <c r="E19" s="132">
        <v>330.62</v>
      </c>
      <c r="F19" s="132">
        <v>315.61</v>
      </c>
      <c r="G19" s="25">
        <f t="shared" si="0"/>
        <v>5.0033333333333303</v>
      </c>
      <c r="H19" s="141"/>
      <c r="I19" s="132">
        <v>315.61</v>
      </c>
      <c r="J19" s="132">
        <v>292.86</v>
      </c>
      <c r="K19" s="25">
        <f t="shared" si="1"/>
        <v>5.6875</v>
      </c>
      <c r="L19" s="142"/>
      <c r="M19" s="132">
        <v>324.57</v>
      </c>
      <c r="N19" s="132">
        <v>307.58</v>
      </c>
      <c r="O19" s="25">
        <f t="shared" si="2"/>
        <v>5.6633333333333367</v>
      </c>
      <c r="P19" s="142"/>
      <c r="Q19" s="132">
        <v>307.58</v>
      </c>
      <c r="R19" s="132">
        <v>294</v>
      </c>
      <c r="S19" s="25">
        <f t="shared" si="3"/>
        <v>4.5266666666666611</v>
      </c>
      <c r="T19" s="142"/>
      <c r="U19" s="132">
        <v>294</v>
      </c>
      <c r="V19" s="132">
        <v>273.52999999999997</v>
      </c>
      <c r="W19" s="25">
        <f t="shared" si="4"/>
        <v>5.1175000000000068</v>
      </c>
      <c r="X19" s="142"/>
      <c r="Y19" s="132">
        <v>273.52999999999997</v>
      </c>
      <c r="Z19" s="132">
        <v>258.32</v>
      </c>
      <c r="AA19" s="25">
        <f t="shared" si="5"/>
        <v>5.0699999999999932</v>
      </c>
      <c r="AB19" s="142"/>
      <c r="AC19" s="132">
        <v>258.32</v>
      </c>
      <c r="AD19" s="132">
        <v>239.02</v>
      </c>
      <c r="AE19" s="25">
        <f t="shared" si="6"/>
        <v>4.8249999999999957</v>
      </c>
      <c r="AF19" s="142"/>
      <c r="AG19" s="132">
        <v>239.02</v>
      </c>
      <c r="AH19" s="132">
        <v>222.7</v>
      </c>
      <c r="AI19" s="25">
        <f t="shared" si="7"/>
        <v>5.4400000000000075</v>
      </c>
      <c r="AJ19" s="142"/>
      <c r="AK19" s="132">
        <v>331.53</v>
      </c>
      <c r="AL19" s="132">
        <v>306.7</v>
      </c>
      <c r="AM19" s="25">
        <f t="shared" si="8"/>
        <v>6.207499999999996</v>
      </c>
      <c r="AN19" s="142"/>
      <c r="AO19" s="132">
        <v>306.7</v>
      </c>
      <c r="AP19" s="132">
        <v>289.58</v>
      </c>
      <c r="AQ19" s="25">
        <f t="shared" si="9"/>
        <v>5.7066666666666679</v>
      </c>
      <c r="AR19" s="142"/>
      <c r="AS19" s="132">
        <v>289.58</v>
      </c>
      <c r="AT19" s="132">
        <v>265.95</v>
      </c>
      <c r="AU19" s="132">
        <f t="shared" si="10"/>
        <v>5.9074999999999989</v>
      </c>
      <c r="AV19" s="142"/>
      <c r="AW19" s="132">
        <v>314.93</v>
      </c>
      <c r="AX19" s="132">
        <v>302.24</v>
      </c>
      <c r="AY19" s="132">
        <f t="shared" si="11"/>
        <v>6.3449999999999989</v>
      </c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</row>
    <row r="20" spans="1:61" ht="16">
      <c r="A20" s="15">
        <v>17</v>
      </c>
      <c r="B20" s="15" t="s">
        <v>51</v>
      </c>
      <c r="C20" s="15" t="s">
        <v>47</v>
      </c>
      <c r="D20" s="15" t="s">
        <v>48</v>
      </c>
      <c r="E20" s="131">
        <v>295.45</v>
      </c>
      <c r="F20" s="131">
        <v>274.20999999999998</v>
      </c>
      <c r="G20" s="131">
        <f t="shared" si="0"/>
        <v>7.0800000000000027</v>
      </c>
      <c r="H20" s="138"/>
      <c r="I20" s="131">
        <v>274.20999999999998</v>
      </c>
      <c r="J20" s="131">
        <v>243.87</v>
      </c>
      <c r="K20" s="18">
        <f t="shared" si="1"/>
        <v>7.5849999999999937</v>
      </c>
      <c r="L20" s="136"/>
      <c r="M20" s="131">
        <v>261.89</v>
      </c>
      <c r="N20" s="131">
        <v>244.33</v>
      </c>
      <c r="O20" s="18">
        <f t="shared" si="2"/>
        <v>5.8533333333333246</v>
      </c>
      <c r="P20" s="136"/>
      <c r="Q20" s="131">
        <v>244.33</v>
      </c>
      <c r="R20" s="131">
        <v>226.21</v>
      </c>
      <c r="S20" s="18">
        <f t="shared" si="3"/>
        <v>6.0400000000000018</v>
      </c>
      <c r="T20" s="136"/>
      <c r="U20" s="131">
        <v>226.21</v>
      </c>
      <c r="V20" s="131">
        <v>200.05</v>
      </c>
      <c r="W20" s="18">
        <f t="shared" si="4"/>
        <v>6.5399999999999991</v>
      </c>
      <c r="X20" s="136"/>
      <c r="Y20" s="131">
        <v>200.05</v>
      </c>
      <c r="Z20" s="131">
        <v>175.84</v>
      </c>
      <c r="AA20" s="18">
        <f t="shared" si="5"/>
        <v>8.0700000000000021</v>
      </c>
      <c r="AB20" s="136"/>
      <c r="AC20" s="131">
        <v>175.84</v>
      </c>
      <c r="AD20" s="131">
        <v>142.25</v>
      </c>
      <c r="AE20" s="18">
        <f t="shared" si="6"/>
        <v>8.3975000000000009</v>
      </c>
      <c r="AF20" s="136"/>
      <c r="AG20" s="131">
        <v>142.25</v>
      </c>
      <c r="AH20" s="131">
        <v>117.06</v>
      </c>
      <c r="AI20" s="18">
        <f t="shared" si="7"/>
        <v>8.3966666666666665</v>
      </c>
      <c r="AJ20" s="136"/>
      <c r="AK20" s="131">
        <v>344.43</v>
      </c>
      <c r="AL20" s="131">
        <v>301.63</v>
      </c>
      <c r="AM20" s="18">
        <f t="shared" si="8"/>
        <v>10.700000000000003</v>
      </c>
      <c r="AN20" s="136"/>
      <c r="AO20" s="131">
        <v>301.63</v>
      </c>
      <c r="AP20" s="131">
        <v>267.98</v>
      </c>
      <c r="AQ20" s="18">
        <f t="shared" si="9"/>
        <v>11.21666666666666</v>
      </c>
      <c r="AR20" s="136"/>
      <c r="AS20" s="131">
        <v>267.98</v>
      </c>
      <c r="AT20" s="131">
        <v>219.18</v>
      </c>
      <c r="AU20" s="131">
        <f t="shared" si="10"/>
        <v>12.200000000000003</v>
      </c>
      <c r="AV20" s="136"/>
      <c r="AW20" s="131">
        <v>310.67</v>
      </c>
      <c r="AX20" s="131">
        <v>282.61</v>
      </c>
      <c r="AY20" s="131">
        <f t="shared" si="11"/>
        <v>14.030000000000001</v>
      </c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</row>
    <row r="21" spans="1:61" ht="16">
      <c r="A21" s="22">
        <v>18</v>
      </c>
      <c r="B21" s="22" t="s">
        <v>51</v>
      </c>
      <c r="C21" s="22" t="s">
        <v>47</v>
      </c>
      <c r="D21" s="22" t="s">
        <v>49</v>
      </c>
      <c r="E21" s="132">
        <v>306.83</v>
      </c>
      <c r="F21" s="132">
        <v>287.16000000000003</v>
      </c>
      <c r="G21" s="25">
        <f t="shared" si="0"/>
        <v>6.5566666666666533</v>
      </c>
      <c r="H21" s="141"/>
      <c r="I21" s="132">
        <v>287.16000000000003</v>
      </c>
      <c r="J21" s="132">
        <v>259.8</v>
      </c>
      <c r="K21" s="25">
        <f t="shared" si="1"/>
        <v>6.8400000000000034</v>
      </c>
      <c r="L21" s="142"/>
      <c r="M21" s="132">
        <v>410.06</v>
      </c>
      <c r="N21" s="132">
        <v>390.45</v>
      </c>
      <c r="O21" s="25">
        <f t="shared" si="2"/>
        <v>6.5366666666666715</v>
      </c>
      <c r="P21" s="142"/>
      <c r="Q21" s="132">
        <v>390.45</v>
      </c>
      <c r="R21" s="132">
        <v>373.94</v>
      </c>
      <c r="S21" s="25">
        <f t="shared" si="3"/>
        <v>5.5033333333333303</v>
      </c>
      <c r="T21" s="142"/>
      <c r="U21" s="132">
        <v>373.94</v>
      </c>
      <c r="V21" s="132">
        <v>367.97</v>
      </c>
      <c r="W21" s="25">
        <f t="shared" si="4"/>
        <v>1.4924999999999926</v>
      </c>
      <c r="X21" s="142"/>
      <c r="Y21" s="132">
        <v>367.97</v>
      </c>
      <c r="Z21" s="132">
        <v>352.08</v>
      </c>
      <c r="AA21" s="25">
        <f t="shared" si="5"/>
        <v>5.2966666666666811</v>
      </c>
      <c r="AB21" s="142"/>
      <c r="AC21" s="132">
        <v>352.08</v>
      </c>
      <c r="AD21" s="132">
        <v>323.01</v>
      </c>
      <c r="AE21" s="25">
        <f t="shared" si="6"/>
        <v>7.2674999999999983</v>
      </c>
      <c r="AF21" s="142"/>
      <c r="AG21" s="132">
        <v>323.01</v>
      </c>
      <c r="AH21" s="132">
        <v>294.04000000000002</v>
      </c>
      <c r="AI21" s="25">
        <f t="shared" si="7"/>
        <v>9.6566666666666574</v>
      </c>
      <c r="AJ21" s="142"/>
      <c r="AK21" s="132">
        <v>324.87</v>
      </c>
      <c r="AL21" s="132">
        <v>288.22000000000003</v>
      </c>
      <c r="AM21" s="25">
        <f t="shared" si="8"/>
        <v>9.1624999999999943</v>
      </c>
      <c r="AN21" s="142"/>
      <c r="AO21" s="132">
        <v>288.22000000000003</v>
      </c>
      <c r="AP21" s="132">
        <v>258.85000000000002</v>
      </c>
      <c r="AQ21" s="25">
        <f t="shared" si="9"/>
        <v>9.7900000000000009</v>
      </c>
      <c r="AR21" s="142"/>
      <c r="AS21" s="132">
        <v>258.85000000000002</v>
      </c>
      <c r="AT21" s="132">
        <v>217.65</v>
      </c>
      <c r="AU21" s="132">
        <f t="shared" si="10"/>
        <v>10.300000000000004</v>
      </c>
      <c r="AV21" s="142"/>
      <c r="AW21" s="132">
        <v>339.45</v>
      </c>
      <c r="AX21" s="132">
        <v>320.02999999999997</v>
      </c>
      <c r="AY21" s="132">
        <f t="shared" si="11"/>
        <v>9.710000000000008</v>
      </c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</row>
    <row r="22" spans="1:61" ht="16">
      <c r="A22" s="15">
        <v>19</v>
      </c>
      <c r="B22" s="15" t="s">
        <v>51</v>
      </c>
      <c r="C22" s="15" t="s">
        <v>50</v>
      </c>
      <c r="D22" s="15" t="s">
        <v>48</v>
      </c>
      <c r="E22" s="131">
        <v>341.76</v>
      </c>
      <c r="F22" s="131">
        <v>329.03</v>
      </c>
      <c r="G22" s="18">
        <f t="shared" si="0"/>
        <v>4.2433333333333394</v>
      </c>
      <c r="H22" s="138"/>
      <c r="I22" s="131">
        <v>329.03</v>
      </c>
      <c r="J22" s="131">
        <v>308.83</v>
      </c>
      <c r="K22" s="18">
        <f t="shared" si="1"/>
        <v>5.0499999999999972</v>
      </c>
      <c r="L22" s="136"/>
      <c r="M22" s="131">
        <v>260.26</v>
      </c>
      <c r="N22" s="131">
        <v>245.05</v>
      </c>
      <c r="O22" s="18">
        <f t="shared" si="2"/>
        <v>5.0699999999999932</v>
      </c>
      <c r="P22" s="136"/>
      <c r="Q22" s="131">
        <v>245.05</v>
      </c>
      <c r="R22" s="131">
        <v>231.8</v>
      </c>
      <c r="S22" s="18">
        <f t="shared" si="3"/>
        <v>4.416666666666667</v>
      </c>
      <c r="T22" s="136"/>
      <c r="U22" s="131">
        <v>231.8</v>
      </c>
      <c r="V22" s="131">
        <v>210.7</v>
      </c>
      <c r="W22" s="18">
        <f t="shared" si="4"/>
        <v>5.2750000000000057</v>
      </c>
      <c r="X22" s="136"/>
      <c r="Y22" s="131">
        <v>210.7</v>
      </c>
      <c r="Z22" s="131">
        <v>195.76</v>
      </c>
      <c r="AA22" s="18">
        <f t="shared" si="5"/>
        <v>4.9799999999999995</v>
      </c>
      <c r="AB22" s="136"/>
      <c r="AC22" s="131">
        <v>195.76</v>
      </c>
      <c r="AD22" s="131">
        <v>175.97</v>
      </c>
      <c r="AE22" s="18">
        <f t="shared" si="6"/>
        <v>4.947499999999998</v>
      </c>
      <c r="AF22" s="136"/>
      <c r="AG22" s="131">
        <v>175.97</v>
      </c>
      <c r="AH22" s="131">
        <v>162.34</v>
      </c>
      <c r="AI22" s="18">
        <f t="shared" si="7"/>
        <v>4.5433333333333321</v>
      </c>
      <c r="AJ22" s="136"/>
      <c r="AK22" s="131">
        <v>350.84</v>
      </c>
      <c r="AL22" s="131">
        <v>325.66000000000003</v>
      </c>
      <c r="AM22" s="18">
        <f t="shared" si="8"/>
        <v>6.2949999999999875</v>
      </c>
      <c r="AN22" s="136"/>
      <c r="AO22" s="131">
        <v>325.66000000000003</v>
      </c>
      <c r="AP22" s="131">
        <v>310.64</v>
      </c>
      <c r="AQ22" s="18">
        <f t="shared" si="9"/>
        <v>5.0066666666666793</v>
      </c>
      <c r="AR22" s="136"/>
      <c r="AS22" s="131">
        <v>310.64</v>
      </c>
      <c r="AT22" s="131">
        <v>291.55</v>
      </c>
      <c r="AU22" s="131">
        <f t="shared" si="10"/>
        <v>4.7724999999999937</v>
      </c>
      <c r="AV22" s="136"/>
      <c r="AW22" s="131">
        <v>328.49</v>
      </c>
      <c r="AX22" s="131">
        <v>318.77999999999997</v>
      </c>
      <c r="AY22" s="131">
        <f t="shared" si="11"/>
        <v>4.8550000000000182</v>
      </c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</row>
    <row r="23" spans="1:61" ht="16">
      <c r="A23" s="22">
        <v>20</v>
      </c>
      <c r="B23" s="22" t="s">
        <v>51</v>
      </c>
      <c r="C23" s="22" t="s">
        <v>50</v>
      </c>
      <c r="D23" s="22" t="s">
        <v>49</v>
      </c>
      <c r="E23" s="132">
        <v>305.20999999999998</v>
      </c>
      <c r="F23" s="132">
        <v>289.88</v>
      </c>
      <c r="G23" s="132">
        <f t="shared" si="0"/>
        <v>5.109999999999995</v>
      </c>
      <c r="H23" s="141"/>
      <c r="I23" s="132">
        <v>289.88</v>
      </c>
      <c r="J23" s="132">
        <v>266.79000000000002</v>
      </c>
      <c r="K23" s="25">
        <f t="shared" si="1"/>
        <v>5.7724999999999937</v>
      </c>
      <c r="L23" s="142"/>
      <c r="M23" s="132">
        <v>310.04000000000002</v>
      </c>
      <c r="N23" s="132">
        <v>293.95</v>
      </c>
      <c r="O23" s="25">
        <f t="shared" si="2"/>
        <v>5.3633333333333439</v>
      </c>
      <c r="P23" s="142"/>
      <c r="Q23" s="132">
        <v>293.95</v>
      </c>
      <c r="R23" s="132">
        <v>282.17</v>
      </c>
      <c r="S23" s="25">
        <f t="shared" si="3"/>
        <v>3.9266666666666574</v>
      </c>
      <c r="T23" s="142"/>
      <c r="U23" s="132">
        <v>282.17</v>
      </c>
      <c r="V23" s="132">
        <v>264.77</v>
      </c>
      <c r="W23" s="25">
        <f t="shared" si="4"/>
        <v>4.3500000000000085</v>
      </c>
      <c r="X23" s="142"/>
      <c r="Y23" s="132">
        <v>264.77</v>
      </c>
      <c r="Z23" s="132">
        <v>251.06</v>
      </c>
      <c r="AA23" s="25">
        <f t="shared" si="5"/>
        <v>4.5699999999999932</v>
      </c>
      <c r="AB23" s="142"/>
      <c r="AC23" s="132">
        <v>251.06</v>
      </c>
      <c r="AD23" s="132">
        <v>235.32</v>
      </c>
      <c r="AE23" s="25">
        <f t="shared" si="6"/>
        <v>3.9350000000000023</v>
      </c>
      <c r="AF23" s="142"/>
      <c r="AG23" s="132">
        <v>235.32</v>
      </c>
      <c r="AH23" s="132">
        <v>221.29</v>
      </c>
      <c r="AI23" s="25">
        <f t="shared" si="7"/>
        <v>4.6766666666666667</v>
      </c>
      <c r="AJ23" s="142"/>
      <c r="AK23" s="132">
        <v>323.64</v>
      </c>
      <c r="AL23" s="132">
        <v>302.89999999999998</v>
      </c>
      <c r="AM23" s="25">
        <f t="shared" si="8"/>
        <v>5.1850000000000023</v>
      </c>
      <c r="AN23" s="142"/>
      <c r="AO23" s="132">
        <v>302.89999999999998</v>
      </c>
      <c r="AP23" s="132">
        <v>288.47000000000003</v>
      </c>
      <c r="AQ23" s="25">
        <f t="shared" si="9"/>
        <v>4.8099999999999836</v>
      </c>
      <c r="AR23" s="142"/>
      <c r="AS23" s="132">
        <v>288.47000000000003</v>
      </c>
      <c r="AT23" s="132">
        <v>267.05</v>
      </c>
      <c r="AU23" s="132">
        <f t="shared" si="10"/>
        <v>5.355000000000004</v>
      </c>
      <c r="AV23" s="142"/>
      <c r="AW23" s="132">
        <v>306.45</v>
      </c>
      <c r="AX23" s="132">
        <v>296.23</v>
      </c>
      <c r="AY23" s="132">
        <f t="shared" si="11"/>
        <v>5.1099999999999852</v>
      </c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</row>
    <row r="24" spans="1:61" ht="16">
      <c r="A24" s="15">
        <v>21</v>
      </c>
      <c r="B24" s="15" t="s">
        <v>51</v>
      </c>
      <c r="C24" s="15" t="s">
        <v>50</v>
      </c>
      <c r="D24" s="15" t="s">
        <v>48</v>
      </c>
      <c r="E24" s="131">
        <v>344.82</v>
      </c>
      <c r="F24" s="131">
        <v>328.61</v>
      </c>
      <c r="G24" s="18">
        <f t="shared" si="0"/>
        <v>5.4033333333333262</v>
      </c>
      <c r="H24" s="138"/>
      <c r="I24" s="131">
        <v>328.61</v>
      </c>
      <c r="J24" s="131">
        <v>307.20999999999998</v>
      </c>
      <c r="K24" s="18">
        <f t="shared" si="1"/>
        <v>5.3500000000000085</v>
      </c>
      <c r="L24" s="136"/>
      <c r="M24" s="131">
        <v>331.11</v>
      </c>
      <c r="N24" s="131">
        <v>316.24</v>
      </c>
      <c r="O24" s="18">
        <f t="shared" si="2"/>
        <v>4.9566666666666679</v>
      </c>
      <c r="P24" s="136"/>
      <c r="Q24" s="131">
        <v>316.24</v>
      </c>
      <c r="R24" s="131">
        <v>300.51</v>
      </c>
      <c r="S24" s="18">
        <f t="shared" si="3"/>
        <v>5.2433333333333394</v>
      </c>
      <c r="T24" s="136"/>
      <c r="U24" s="131">
        <v>300.51</v>
      </c>
      <c r="V24" s="131">
        <v>279.47000000000003</v>
      </c>
      <c r="W24" s="18">
        <f t="shared" si="4"/>
        <v>5.2599999999999909</v>
      </c>
      <c r="X24" s="136"/>
      <c r="Y24" s="131">
        <v>279.47000000000003</v>
      </c>
      <c r="Z24" s="131">
        <v>263.51</v>
      </c>
      <c r="AA24" s="18">
        <f t="shared" si="5"/>
        <v>5.3200000000000118</v>
      </c>
      <c r="AB24" s="136"/>
      <c r="AC24" s="131">
        <v>263.51</v>
      </c>
      <c r="AD24" s="131">
        <v>242.55</v>
      </c>
      <c r="AE24" s="18">
        <f t="shared" si="6"/>
        <v>5.2399999999999949</v>
      </c>
      <c r="AF24" s="136"/>
      <c r="AG24" s="131">
        <v>242.55</v>
      </c>
      <c r="AH24" s="131">
        <v>226.9</v>
      </c>
      <c r="AI24" s="18">
        <f t="shared" si="7"/>
        <v>5.2166666666666686</v>
      </c>
      <c r="AJ24" s="136"/>
      <c r="AK24" s="131">
        <v>299.05</v>
      </c>
      <c r="AL24" s="131">
        <v>271.16000000000003</v>
      </c>
      <c r="AM24" s="18">
        <f t="shared" si="8"/>
        <v>6.9724999999999966</v>
      </c>
      <c r="AN24" s="136"/>
      <c r="AO24" s="131">
        <v>271.16000000000003</v>
      </c>
      <c r="AP24" s="131">
        <v>254.98</v>
      </c>
      <c r="AQ24" s="18">
        <f t="shared" si="9"/>
        <v>5.3933333333333451</v>
      </c>
      <c r="AR24" s="136"/>
      <c r="AS24" s="131">
        <v>254.98</v>
      </c>
      <c r="AT24" s="131">
        <v>231.78</v>
      </c>
      <c r="AU24" s="131">
        <f t="shared" si="10"/>
        <v>5.7999999999999972</v>
      </c>
      <c r="AV24" s="136"/>
      <c r="AW24" s="131">
        <v>369.99</v>
      </c>
      <c r="AX24" s="131">
        <v>359.07</v>
      </c>
      <c r="AY24" s="131">
        <f t="shared" si="11"/>
        <v>5.460000000000008</v>
      </c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</row>
    <row r="25" spans="1:61" ht="16">
      <c r="A25" s="22">
        <v>22</v>
      </c>
      <c r="B25" s="22" t="s">
        <v>51</v>
      </c>
      <c r="C25" s="22" t="s">
        <v>50</v>
      </c>
      <c r="D25" s="22" t="s">
        <v>49</v>
      </c>
      <c r="E25" s="132">
        <v>298.66000000000003</v>
      </c>
      <c r="F25" s="132">
        <v>289.76</v>
      </c>
      <c r="G25" s="25">
        <f t="shared" si="0"/>
        <v>2.9666666666666779</v>
      </c>
      <c r="H25" s="141"/>
      <c r="I25" s="132">
        <v>289.76</v>
      </c>
      <c r="J25" s="132">
        <v>276.61</v>
      </c>
      <c r="K25" s="25">
        <f t="shared" si="1"/>
        <v>3.2874999999999943</v>
      </c>
      <c r="L25" s="142"/>
      <c r="M25" s="132">
        <v>288.75</v>
      </c>
      <c r="N25" s="132">
        <v>273.68</v>
      </c>
      <c r="O25" s="25">
        <f t="shared" si="2"/>
        <v>5.0233333333333308</v>
      </c>
      <c r="P25" s="142"/>
      <c r="Q25" s="132">
        <v>273.68</v>
      </c>
      <c r="R25" s="132">
        <v>257.58</v>
      </c>
      <c r="S25" s="25">
        <f t="shared" si="3"/>
        <v>5.3666666666666742</v>
      </c>
      <c r="T25" s="142"/>
      <c r="U25" s="132">
        <v>257.58</v>
      </c>
      <c r="V25" s="132">
        <v>240.94</v>
      </c>
      <c r="W25" s="25">
        <f t="shared" si="4"/>
        <v>4.1599999999999966</v>
      </c>
      <c r="X25" s="142"/>
      <c r="Y25" s="132">
        <v>240.94</v>
      </c>
      <c r="Z25" s="132">
        <v>227.02</v>
      </c>
      <c r="AA25" s="25">
        <f t="shared" si="5"/>
        <v>4.6399999999999961</v>
      </c>
      <c r="AB25" s="142"/>
      <c r="AC25" s="132">
        <v>227.02</v>
      </c>
      <c r="AD25" s="132">
        <v>207.62</v>
      </c>
      <c r="AE25" s="25">
        <f t="shared" si="6"/>
        <v>4.8500000000000014</v>
      </c>
      <c r="AF25" s="142"/>
      <c r="AG25" s="132">
        <v>207.62</v>
      </c>
      <c r="AH25" s="132">
        <v>194.16</v>
      </c>
      <c r="AI25" s="25">
        <f t="shared" si="7"/>
        <v>4.486666666666669</v>
      </c>
      <c r="AJ25" s="142"/>
      <c r="AK25" s="132">
        <v>305.63</v>
      </c>
      <c r="AL25" s="132">
        <v>290.83999999999997</v>
      </c>
      <c r="AM25" s="25">
        <f t="shared" si="8"/>
        <v>3.6975000000000051</v>
      </c>
      <c r="AN25" s="142"/>
      <c r="AO25" s="132">
        <v>290.83999999999997</v>
      </c>
      <c r="AP25" s="132">
        <v>275.88</v>
      </c>
      <c r="AQ25" s="25">
        <f t="shared" si="9"/>
        <v>4.9866666666666601</v>
      </c>
      <c r="AR25" s="142"/>
      <c r="AS25" s="132">
        <v>275.88</v>
      </c>
      <c r="AT25" s="132">
        <v>255.86</v>
      </c>
      <c r="AU25" s="132">
        <f t="shared" si="10"/>
        <v>5.0049999999999955</v>
      </c>
      <c r="AV25" s="142"/>
      <c r="AW25" s="132">
        <v>354.82</v>
      </c>
      <c r="AX25" s="132">
        <v>344.57</v>
      </c>
      <c r="AY25" s="132">
        <f t="shared" si="11"/>
        <v>5.125</v>
      </c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</row>
    <row r="26" spans="1:61" ht="16">
      <c r="A26" s="15">
        <v>23</v>
      </c>
      <c r="B26" s="15" t="s">
        <v>51</v>
      </c>
      <c r="C26" s="15" t="s">
        <v>50</v>
      </c>
      <c r="D26" s="15" t="s">
        <v>48</v>
      </c>
      <c r="E26" s="131">
        <v>324.14999999999998</v>
      </c>
      <c r="F26" s="131">
        <v>310.83</v>
      </c>
      <c r="G26" s="131">
        <f t="shared" si="0"/>
        <v>4.4399999999999977</v>
      </c>
      <c r="H26" s="138"/>
      <c r="I26" s="131">
        <v>310.83</v>
      </c>
      <c r="J26" s="131">
        <v>294.95999999999998</v>
      </c>
      <c r="K26" s="18">
        <f t="shared" si="1"/>
        <v>3.9675000000000011</v>
      </c>
      <c r="L26" s="136"/>
      <c r="M26" s="131">
        <v>331.88</v>
      </c>
      <c r="N26" s="131">
        <v>311.45999999999998</v>
      </c>
      <c r="O26" s="18">
        <f t="shared" si="2"/>
        <v>6.806666666666672</v>
      </c>
      <c r="P26" s="136"/>
      <c r="Q26" s="131">
        <v>311.45999999999998</v>
      </c>
      <c r="R26" s="131">
        <v>296.29000000000002</v>
      </c>
      <c r="S26" s="18">
        <f t="shared" si="3"/>
        <v>5.0566666666666533</v>
      </c>
      <c r="T26" s="136"/>
      <c r="U26" s="131">
        <v>296.29000000000002</v>
      </c>
      <c r="V26" s="131">
        <v>273.99</v>
      </c>
      <c r="W26" s="18">
        <f t="shared" si="4"/>
        <v>5.5750000000000028</v>
      </c>
      <c r="X26" s="136"/>
      <c r="Y26" s="131">
        <v>273.99</v>
      </c>
      <c r="Z26" s="131">
        <v>253.54</v>
      </c>
      <c r="AA26" s="18">
        <f t="shared" si="5"/>
        <v>6.8166666666666726</v>
      </c>
      <c r="AB26" s="136"/>
      <c r="AC26" s="131">
        <v>253.54</v>
      </c>
      <c r="AD26" s="131">
        <v>231.2</v>
      </c>
      <c r="AE26" s="18">
        <f t="shared" si="6"/>
        <v>5.5850000000000009</v>
      </c>
      <c r="AF26" s="136"/>
      <c r="AG26" s="131">
        <v>231.2</v>
      </c>
      <c r="AH26" s="131">
        <v>212.78</v>
      </c>
      <c r="AI26" s="18">
        <f t="shared" si="7"/>
        <v>6.1399999999999961</v>
      </c>
      <c r="AJ26" s="136"/>
      <c r="AK26" s="131">
        <v>294.08999999999997</v>
      </c>
      <c r="AL26" s="131">
        <v>267.95</v>
      </c>
      <c r="AM26" s="18">
        <f t="shared" si="8"/>
        <v>6.5349999999999966</v>
      </c>
      <c r="AN26" s="136"/>
      <c r="AO26" s="131">
        <v>267.95</v>
      </c>
      <c r="AP26" s="131">
        <v>249</v>
      </c>
      <c r="AQ26" s="18">
        <f t="shared" si="9"/>
        <v>6.3166666666666629</v>
      </c>
      <c r="AR26" s="136"/>
      <c r="AS26" s="131">
        <v>249</v>
      </c>
      <c r="AT26" s="131">
        <v>224.94</v>
      </c>
      <c r="AU26" s="131">
        <f t="shared" si="10"/>
        <v>6.0150000000000006</v>
      </c>
      <c r="AV26" s="136"/>
      <c r="AW26" s="131">
        <v>357.96</v>
      </c>
      <c r="AX26" s="131">
        <v>346.05</v>
      </c>
      <c r="AY26" s="131">
        <f t="shared" si="11"/>
        <v>5.9549999999999841</v>
      </c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</row>
    <row r="27" spans="1:61" ht="16">
      <c r="A27" s="22">
        <v>24</v>
      </c>
      <c r="B27" s="22" t="s">
        <v>51</v>
      </c>
      <c r="C27" s="22" t="s">
        <v>50</v>
      </c>
      <c r="D27" s="22" t="s">
        <v>49</v>
      </c>
      <c r="E27" s="132">
        <v>321.42</v>
      </c>
      <c r="F27" s="132">
        <v>308.99</v>
      </c>
      <c r="G27" s="25">
        <f t="shared" si="0"/>
        <v>4.1433333333333353</v>
      </c>
      <c r="H27" s="141"/>
      <c r="I27" s="132">
        <v>308.99</v>
      </c>
      <c r="J27" s="132">
        <v>294.79000000000002</v>
      </c>
      <c r="K27" s="25">
        <f t="shared" si="1"/>
        <v>3.5499999999999972</v>
      </c>
      <c r="L27" s="142"/>
      <c r="M27" s="132">
        <v>286.98</v>
      </c>
      <c r="N27" s="132">
        <v>270.89999999999998</v>
      </c>
      <c r="O27" s="25">
        <f t="shared" si="2"/>
        <v>5.3600000000000136</v>
      </c>
      <c r="P27" s="142"/>
      <c r="Q27" s="132">
        <v>270.89999999999998</v>
      </c>
      <c r="R27" s="132">
        <v>256.14999999999998</v>
      </c>
      <c r="S27" s="25">
        <f t="shared" si="3"/>
        <v>4.916666666666667</v>
      </c>
      <c r="T27" s="142"/>
      <c r="U27" s="132">
        <v>256.14999999999998</v>
      </c>
      <c r="V27" s="132">
        <v>236.12</v>
      </c>
      <c r="W27" s="25">
        <f t="shared" si="4"/>
        <v>5.0074999999999932</v>
      </c>
      <c r="X27" s="142"/>
      <c r="Y27" s="132">
        <v>236.12</v>
      </c>
      <c r="Z27" s="132">
        <v>224.05</v>
      </c>
      <c r="AA27" s="25">
        <f t="shared" si="5"/>
        <v>4.0233333333333308</v>
      </c>
      <c r="AB27" s="142"/>
      <c r="AC27" s="132">
        <v>224.05</v>
      </c>
      <c r="AD27" s="132">
        <v>207.08</v>
      </c>
      <c r="AE27" s="25">
        <f t="shared" si="6"/>
        <v>4.2424999999999997</v>
      </c>
      <c r="AF27" s="142"/>
      <c r="AG27" s="132">
        <v>207.08</v>
      </c>
      <c r="AH27" s="132">
        <v>192.01</v>
      </c>
      <c r="AI27" s="25">
        <f t="shared" si="7"/>
        <v>5.0233333333333405</v>
      </c>
      <c r="AJ27" s="142"/>
      <c r="AK27" s="132">
        <v>338.22</v>
      </c>
      <c r="AL27" s="132">
        <v>319.85000000000002</v>
      </c>
      <c r="AM27" s="25">
        <f t="shared" si="8"/>
        <v>4.5925000000000011</v>
      </c>
      <c r="AN27" s="142"/>
      <c r="AO27" s="132">
        <v>319.85000000000002</v>
      </c>
      <c r="AP27" s="132">
        <v>303.93</v>
      </c>
      <c r="AQ27" s="25">
        <f t="shared" si="9"/>
        <v>5.306666666666672</v>
      </c>
      <c r="AR27" s="142"/>
      <c r="AS27" s="132">
        <v>303.93</v>
      </c>
      <c r="AT27" s="132">
        <v>283.08</v>
      </c>
      <c r="AU27" s="132">
        <f t="shared" si="10"/>
        <v>5.2125000000000057</v>
      </c>
      <c r="AV27" s="142"/>
      <c r="AW27" s="132">
        <v>330.07</v>
      </c>
      <c r="AX27" s="132">
        <v>319.45999999999998</v>
      </c>
      <c r="AY27" s="132">
        <f t="shared" si="11"/>
        <v>5.3050000000000068</v>
      </c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</row>
    <row r="28" spans="1:61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</row>
    <row r="29" spans="1:61">
      <c r="A29" s="134"/>
      <c r="B29" s="134"/>
      <c r="C29" s="134"/>
      <c r="D29" s="134"/>
      <c r="E29" s="271" t="s">
        <v>3</v>
      </c>
      <c r="F29" s="264"/>
      <c r="G29" s="264"/>
      <c r="H29" s="136"/>
      <c r="I29" s="272" t="s">
        <v>155</v>
      </c>
      <c r="J29" s="264"/>
      <c r="K29" s="264"/>
      <c r="L29" s="264"/>
      <c r="M29" s="264"/>
      <c r="N29" s="264"/>
      <c r="O29" s="264"/>
      <c r="P29" s="136"/>
      <c r="Q29" s="273" t="s">
        <v>156</v>
      </c>
      <c r="R29" s="264"/>
      <c r="S29" s="264"/>
      <c r="T29" s="264"/>
      <c r="U29" s="264"/>
      <c r="V29" s="264"/>
      <c r="W29" s="264"/>
      <c r="X29" s="136"/>
      <c r="Y29" s="274" t="s">
        <v>197</v>
      </c>
      <c r="Z29" s="264"/>
      <c r="AA29" s="264"/>
      <c r="AB29" s="264"/>
      <c r="AC29" s="264"/>
      <c r="AD29" s="264"/>
      <c r="AE29" s="264"/>
      <c r="AF29" s="136"/>
      <c r="AG29" s="275" t="s">
        <v>198</v>
      </c>
      <c r="AH29" s="264"/>
      <c r="AI29" s="264"/>
      <c r="AJ29" s="264"/>
      <c r="AK29" s="264"/>
      <c r="AL29" s="264"/>
      <c r="AM29" s="264"/>
      <c r="AN29" s="136"/>
      <c r="AO29" s="276" t="s">
        <v>199</v>
      </c>
      <c r="AP29" s="264"/>
      <c r="AQ29" s="264"/>
      <c r="AR29" s="264"/>
      <c r="AS29" s="264"/>
      <c r="AT29" s="264"/>
      <c r="AU29" s="264"/>
      <c r="AV29" s="136"/>
      <c r="AW29" s="277" t="s">
        <v>200</v>
      </c>
      <c r="AX29" s="264"/>
      <c r="AY29" s="264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</row>
    <row r="30" spans="1:61" ht="29.25" customHeight="1">
      <c r="A30" s="234" t="s">
        <v>59</v>
      </c>
      <c r="B30" s="234" t="s">
        <v>0</v>
      </c>
      <c r="C30" s="234" t="s">
        <v>1</v>
      </c>
      <c r="D30" s="234" t="s">
        <v>2</v>
      </c>
      <c r="E30" s="259" t="s">
        <v>201</v>
      </c>
      <c r="F30" s="259" t="s">
        <v>202</v>
      </c>
      <c r="G30" s="259" t="s">
        <v>203</v>
      </c>
      <c r="H30" s="143"/>
      <c r="I30" s="259" t="s">
        <v>204</v>
      </c>
      <c r="J30" s="259" t="s">
        <v>205</v>
      </c>
      <c r="K30" s="259" t="s">
        <v>206</v>
      </c>
      <c r="L30" s="144"/>
      <c r="M30" s="259" t="s">
        <v>207</v>
      </c>
      <c r="N30" s="259" t="s">
        <v>208</v>
      </c>
      <c r="O30" s="259" t="s">
        <v>209</v>
      </c>
      <c r="P30" s="143"/>
      <c r="Q30" s="259" t="s">
        <v>210</v>
      </c>
      <c r="R30" s="259" t="s">
        <v>211</v>
      </c>
      <c r="S30" s="259" t="s">
        <v>212</v>
      </c>
      <c r="T30" s="144"/>
      <c r="U30" s="259" t="s">
        <v>213</v>
      </c>
      <c r="V30" s="259" t="s">
        <v>214</v>
      </c>
      <c r="W30" s="259" t="s">
        <v>215</v>
      </c>
      <c r="X30" s="143"/>
      <c r="Y30" s="259" t="s">
        <v>216</v>
      </c>
      <c r="Z30" s="259" t="s">
        <v>217</v>
      </c>
      <c r="AA30" s="259" t="s">
        <v>218</v>
      </c>
      <c r="AB30" s="144"/>
      <c r="AC30" s="259" t="s">
        <v>219</v>
      </c>
      <c r="AD30" s="259" t="s">
        <v>220</v>
      </c>
      <c r="AE30" s="259" t="s">
        <v>221</v>
      </c>
      <c r="AF30" s="143"/>
      <c r="AG30" s="259" t="s">
        <v>222</v>
      </c>
      <c r="AH30" s="259" t="s">
        <v>223</v>
      </c>
      <c r="AI30" s="259" t="s">
        <v>224</v>
      </c>
      <c r="AJ30" s="144"/>
      <c r="AK30" s="259" t="s">
        <v>225</v>
      </c>
      <c r="AL30" s="259" t="s">
        <v>226</v>
      </c>
      <c r="AM30" s="259" t="s">
        <v>227</v>
      </c>
      <c r="AN30" s="143"/>
      <c r="AO30" s="259" t="s">
        <v>228</v>
      </c>
      <c r="AP30" s="259" t="s">
        <v>229</v>
      </c>
      <c r="AQ30" s="259" t="s">
        <v>230</v>
      </c>
      <c r="AR30" s="145"/>
      <c r="AS30" s="259" t="s">
        <v>231</v>
      </c>
      <c r="AT30" s="259" t="s">
        <v>232</v>
      </c>
      <c r="AU30" s="259" t="s">
        <v>233</v>
      </c>
      <c r="AV30" s="143"/>
      <c r="AW30" s="269" t="s">
        <v>234</v>
      </c>
      <c r="AX30" s="269" t="s">
        <v>235</v>
      </c>
      <c r="AY30" s="270" t="s">
        <v>236</v>
      </c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</row>
    <row r="31" spans="1:61">
      <c r="A31" s="235"/>
      <c r="B31" s="235"/>
      <c r="C31" s="235"/>
      <c r="D31" s="235"/>
      <c r="E31" s="235"/>
      <c r="F31" s="235"/>
      <c r="G31" s="235"/>
      <c r="H31" s="136"/>
      <c r="I31" s="235"/>
      <c r="J31" s="235"/>
      <c r="K31" s="235"/>
      <c r="M31" s="235"/>
      <c r="N31" s="235"/>
      <c r="O31" s="235"/>
      <c r="P31" s="136"/>
      <c r="Q31" s="235"/>
      <c r="R31" s="235"/>
      <c r="S31" s="235"/>
      <c r="U31" s="235"/>
      <c r="V31" s="235"/>
      <c r="W31" s="235"/>
      <c r="X31" s="136"/>
      <c r="Y31" s="235"/>
      <c r="Z31" s="235"/>
      <c r="AA31" s="235"/>
      <c r="AC31" s="235"/>
      <c r="AD31" s="235"/>
      <c r="AE31" s="235"/>
      <c r="AF31" s="136"/>
      <c r="AG31" s="235"/>
      <c r="AH31" s="235"/>
      <c r="AI31" s="235"/>
      <c r="AK31" s="235"/>
      <c r="AL31" s="235"/>
      <c r="AM31" s="235"/>
      <c r="AN31" s="136"/>
      <c r="AO31" s="235"/>
      <c r="AP31" s="235"/>
      <c r="AQ31" s="235"/>
      <c r="AS31" s="235"/>
      <c r="AT31" s="235"/>
      <c r="AU31" s="235"/>
      <c r="AV31" s="136"/>
      <c r="AW31" s="264"/>
      <c r="AX31" s="264"/>
      <c r="AY31" s="264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</row>
    <row r="32" spans="1:61" ht="16">
      <c r="A32" s="15">
        <v>25</v>
      </c>
      <c r="B32" s="15" t="s">
        <v>46</v>
      </c>
      <c r="C32" s="15" t="s">
        <v>47</v>
      </c>
      <c r="D32" s="15" t="s">
        <v>48</v>
      </c>
      <c r="E32" s="131">
        <v>313.97000000000003</v>
      </c>
      <c r="F32" s="131">
        <v>294.94</v>
      </c>
      <c r="G32" s="18">
        <f t="shared" ref="G32:G55" si="12">(E32-F32)/3</f>
        <v>6.3433333333333435</v>
      </c>
      <c r="H32" s="136"/>
      <c r="I32" s="131">
        <v>294.94</v>
      </c>
      <c r="J32" s="131">
        <v>274.58999999999997</v>
      </c>
      <c r="K32" s="18">
        <f t="shared" ref="K32:K55" si="13">(I32-J32)/4</f>
        <v>5.0875000000000057</v>
      </c>
      <c r="L32" s="136"/>
      <c r="M32" s="131">
        <v>274.58999999999997</v>
      </c>
      <c r="N32" s="131">
        <v>261.5</v>
      </c>
      <c r="O32" s="18">
        <f t="shared" ref="O32:O55" si="14">(M32-N32)/3</f>
        <v>4.3633333333333253</v>
      </c>
      <c r="P32" s="136"/>
      <c r="Q32" s="131">
        <v>261.5</v>
      </c>
      <c r="R32" s="131">
        <v>242.51</v>
      </c>
      <c r="S32" s="18">
        <f t="shared" ref="S32:S55" si="15">(Q32-R32)/4</f>
        <v>4.7475000000000023</v>
      </c>
      <c r="T32" s="136"/>
      <c r="U32" s="131">
        <v>242.51</v>
      </c>
      <c r="V32" s="131">
        <v>230.48</v>
      </c>
      <c r="W32" s="18">
        <f t="shared" ref="W32:W55" si="16">(U32-V32)/3</f>
        <v>4.0100000000000007</v>
      </c>
      <c r="X32" s="136"/>
      <c r="Y32" s="131">
        <v>230.48</v>
      </c>
      <c r="Z32" s="131">
        <v>198.52</v>
      </c>
      <c r="AA32" s="18">
        <f t="shared" ref="AA32:AA55" si="17">(Y32-Z32)/4</f>
        <v>7.9899999999999949</v>
      </c>
      <c r="AB32" s="136"/>
      <c r="AC32" s="131">
        <v>230.37</v>
      </c>
      <c r="AD32" s="131">
        <v>215.06</v>
      </c>
      <c r="AE32" s="18">
        <f t="shared" ref="AE32:AE55" si="18">(AC32-AD32)/3</f>
        <v>5.1033333333333344</v>
      </c>
      <c r="AF32" s="136"/>
      <c r="AG32" s="131">
        <v>215.06</v>
      </c>
      <c r="AH32" s="131">
        <v>197.2</v>
      </c>
      <c r="AI32" s="18">
        <f t="shared" ref="AI32:AI55" si="19">(AG32-AH32)/4</f>
        <v>4.4650000000000034</v>
      </c>
      <c r="AJ32" s="136"/>
      <c r="AK32" s="131">
        <v>232.86</v>
      </c>
      <c r="AL32" s="131">
        <v>218</v>
      </c>
      <c r="AM32" s="18">
        <f t="shared" ref="AM32:AM55" si="20">(AK32-AL32)/3</f>
        <v>4.9533333333333376</v>
      </c>
      <c r="AN32" s="136"/>
      <c r="AO32" s="131">
        <v>298.35000000000002</v>
      </c>
      <c r="AP32" s="131">
        <v>283.32</v>
      </c>
      <c r="AQ32" s="18">
        <f t="shared" ref="AQ32:AQ55" si="21">(AO32-AP32)/2</f>
        <v>7.5150000000000148</v>
      </c>
      <c r="AR32" s="136"/>
      <c r="AS32" s="131">
        <v>283.32</v>
      </c>
      <c r="AT32" s="131">
        <v>266.3</v>
      </c>
      <c r="AU32" s="18">
        <f t="shared" ref="AU32:AU43" si="22">(AS32-AT32)/4</f>
        <v>4.2549999999999955</v>
      </c>
      <c r="AV32" s="136"/>
      <c r="AW32" s="136"/>
      <c r="AX32" s="136" t="s">
        <v>237</v>
      </c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</row>
    <row r="33" spans="1:61" ht="16">
      <c r="A33" s="22">
        <v>26</v>
      </c>
      <c r="B33" s="22" t="s">
        <v>46</v>
      </c>
      <c r="C33" s="22" t="s">
        <v>47</v>
      </c>
      <c r="D33" s="22" t="s">
        <v>49</v>
      </c>
      <c r="E33" s="132">
        <v>328.87</v>
      </c>
      <c r="F33" s="132">
        <v>304.48</v>
      </c>
      <c r="G33" s="25">
        <f t="shared" si="12"/>
        <v>8.1299999999999955</v>
      </c>
      <c r="H33" s="142"/>
      <c r="I33" s="132">
        <v>304.48</v>
      </c>
      <c r="J33" s="132">
        <v>278.41000000000003</v>
      </c>
      <c r="K33" s="25">
        <f t="shared" si="13"/>
        <v>6.5174999999999983</v>
      </c>
      <c r="L33" s="142"/>
      <c r="M33" s="132">
        <v>278.41000000000003</v>
      </c>
      <c r="N33" s="132">
        <v>262.92</v>
      </c>
      <c r="O33" s="25">
        <f t="shared" si="14"/>
        <v>5.1633333333333367</v>
      </c>
      <c r="P33" s="142"/>
      <c r="Q33" s="132">
        <v>262.92</v>
      </c>
      <c r="R33" s="132">
        <v>245.77</v>
      </c>
      <c r="S33" s="25">
        <f t="shared" si="15"/>
        <v>4.2875000000000014</v>
      </c>
      <c r="T33" s="142"/>
      <c r="U33" s="132">
        <v>245.77</v>
      </c>
      <c r="V33" s="132">
        <v>234.45</v>
      </c>
      <c r="W33" s="25">
        <f t="shared" si="16"/>
        <v>3.7733333333333405</v>
      </c>
      <c r="X33" s="142"/>
      <c r="Y33" s="132">
        <v>234.45</v>
      </c>
      <c r="Z33" s="132">
        <v>218.39</v>
      </c>
      <c r="AA33" s="25">
        <f t="shared" si="17"/>
        <v>4.0150000000000006</v>
      </c>
      <c r="AB33" s="142"/>
      <c r="AC33" s="132">
        <v>218.39</v>
      </c>
      <c r="AD33" s="132">
        <v>204.31</v>
      </c>
      <c r="AE33" s="25">
        <f t="shared" si="18"/>
        <v>4.693333333333328</v>
      </c>
      <c r="AF33" s="142"/>
      <c r="AG33" s="132">
        <v>204.31</v>
      </c>
      <c r="AH33" s="132">
        <v>190.43</v>
      </c>
      <c r="AI33" s="25">
        <f t="shared" si="19"/>
        <v>3.4699999999999989</v>
      </c>
      <c r="AJ33" s="142"/>
      <c r="AK33" s="132">
        <v>227.56</v>
      </c>
      <c r="AL33" s="132">
        <v>213.06</v>
      </c>
      <c r="AM33" s="25">
        <f t="shared" si="20"/>
        <v>4.833333333333333</v>
      </c>
      <c r="AN33" s="142"/>
      <c r="AO33" s="132">
        <v>322.63</v>
      </c>
      <c r="AP33" s="132">
        <v>303.49</v>
      </c>
      <c r="AQ33" s="25">
        <f t="shared" si="21"/>
        <v>9.5699999999999932</v>
      </c>
      <c r="AR33" s="142"/>
      <c r="AS33" s="132">
        <v>303.49</v>
      </c>
      <c r="AT33" s="132">
        <v>289.60000000000002</v>
      </c>
      <c r="AU33" s="25">
        <f t="shared" si="22"/>
        <v>3.4724999999999966</v>
      </c>
      <c r="AV33" s="142"/>
      <c r="AW33" s="142"/>
      <c r="AX33" s="142" t="s">
        <v>238</v>
      </c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</row>
    <row r="34" spans="1:61" ht="16">
      <c r="A34" s="15">
        <v>27</v>
      </c>
      <c r="B34" s="15" t="s">
        <v>46</v>
      </c>
      <c r="C34" s="15" t="s">
        <v>47</v>
      </c>
      <c r="D34" s="15" t="s">
        <v>48</v>
      </c>
      <c r="E34" s="131">
        <v>303.95999999999998</v>
      </c>
      <c r="F34" s="131">
        <v>279.24</v>
      </c>
      <c r="G34" s="18">
        <f t="shared" si="12"/>
        <v>8.2399999999999896</v>
      </c>
      <c r="H34" s="136"/>
      <c r="I34" s="131">
        <v>279.24</v>
      </c>
      <c r="J34" s="131">
        <v>252.47</v>
      </c>
      <c r="K34" s="18">
        <f t="shared" si="13"/>
        <v>6.6925000000000026</v>
      </c>
      <c r="L34" s="136"/>
      <c r="M34" s="131">
        <v>252.47</v>
      </c>
      <c r="N34" s="131">
        <v>234.12</v>
      </c>
      <c r="O34" s="18">
        <f t="shared" si="14"/>
        <v>6.1166666666666645</v>
      </c>
      <c r="P34" s="136"/>
      <c r="Q34" s="131">
        <v>234.12</v>
      </c>
      <c r="R34" s="131">
        <v>213.92</v>
      </c>
      <c r="S34" s="18">
        <f t="shared" si="15"/>
        <v>5.0500000000000043</v>
      </c>
      <c r="T34" s="136"/>
      <c r="U34" s="131">
        <v>213.92</v>
      </c>
      <c r="V34" s="131">
        <v>199.4</v>
      </c>
      <c r="W34" s="18">
        <f t="shared" si="16"/>
        <v>4.8399999999999936</v>
      </c>
      <c r="X34" s="136"/>
      <c r="Y34" s="131">
        <v>199.4</v>
      </c>
      <c r="Z34" s="131">
        <v>176.91</v>
      </c>
      <c r="AA34" s="18">
        <f t="shared" si="17"/>
        <v>5.6225000000000023</v>
      </c>
      <c r="AB34" s="136"/>
      <c r="AC34" s="131">
        <v>222</v>
      </c>
      <c r="AD34" s="131">
        <v>202.79</v>
      </c>
      <c r="AE34" s="18">
        <f t="shared" si="18"/>
        <v>6.403333333333336</v>
      </c>
      <c r="AF34" s="136"/>
      <c r="AG34" s="131">
        <v>202.79</v>
      </c>
      <c r="AH34" s="131">
        <v>182.37</v>
      </c>
      <c r="AI34" s="18">
        <f t="shared" si="19"/>
        <v>5.1049999999999969</v>
      </c>
      <c r="AJ34" s="136"/>
      <c r="AK34" s="131">
        <v>231.25</v>
      </c>
      <c r="AL34" s="131">
        <v>209.9</v>
      </c>
      <c r="AM34" s="18">
        <f t="shared" si="20"/>
        <v>7.1166666666666645</v>
      </c>
      <c r="AN34" s="136"/>
      <c r="AO34" s="131">
        <v>279.12</v>
      </c>
      <c r="AP34" s="131">
        <v>263.45999999999998</v>
      </c>
      <c r="AQ34" s="18">
        <f t="shared" si="21"/>
        <v>7.8300000000000125</v>
      </c>
      <c r="AR34" s="136"/>
      <c r="AS34" s="131">
        <v>263.45999999999998</v>
      </c>
      <c r="AT34" s="131">
        <v>242.3</v>
      </c>
      <c r="AU34" s="18">
        <f t="shared" si="22"/>
        <v>5.289999999999992</v>
      </c>
      <c r="AV34" s="136"/>
      <c r="AW34" s="136"/>
      <c r="AX34" s="136" t="s">
        <v>239</v>
      </c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</row>
    <row r="35" spans="1:61" ht="16">
      <c r="A35" s="22">
        <v>28</v>
      </c>
      <c r="B35" s="22" t="s">
        <v>46</v>
      </c>
      <c r="C35" s="22" t="s">
        <v>47</v>
      </c>
      <c r="D35" s="22" t="s">
        <v>49</v>
      </c>
      <c r="E35" s="132">
        <v>307.89999999999998</v>
      </c>
      <c r="F35" s="132">
        <v>276.60000000000002</v>
      </c>
      <c r="G35" s="25">
        <f t="shared" si="12"/>
        <v>10.433333333333318</v>
      </c>
      <c r="H35" s="142"/>
      <c r="I35" s="132">
        <v>276.60000000000002</v>
      </c>
      <c r="J35" s="132">
        <v>241.28</v>
      </c>
      <c r="K35" s="25">
        <f t="shared" si="13"/>
        <v>8.8300000000000054</v>
      </c>
      <c r="L35" s="142"/>
      <c r="M35" s="132">
        <v>241.28</v>
      </c>
      <c r="N35" s="132">
        <v>219.32</v>
      </c>
      <c r="O35" s="25">
        <f t="shared" si="14"/>
        <v>7.3200000000000029</v>
      </c>
      <c r="P35" s="142"/>
      <c r="Q35" s="132">
        <v>219.32</v>
      </c>
      <c r="R35" s="132">
        <v>193.52</v>
      </c>
      <c r="S35" s="25">
        <f t="shared" si="15"/>
        <v>6.4499999999999957</v>
      </c>
      <c r="T35" s="142"/>
      <c r="U35" s="132">
        <v>252.25</v>
      </c>
      <c r="V35" s="132">
        <v>236.2</v>
      </c>
      <c r="W35" s="25">
        <f t="shared" si="16"/>
        <v>5.3500000000000041</v>
      </c>
      <c r="X35" s="142"/>
      <c r="Y35" s="132">
        <v>236.2</v>
      </c>
      <c r="Z35" s="132">
        <v>213.37</v>
      </c>
      <c r="AA35" s="25">
        <f t="shared" si="17"/>
        <v>5.707499999999996</v>
      </c>
      <c r="AB35" s="142"/>
      <c r="AC35" s="132">
        <v>213.37</v>
      </c>
      <c r="AD35" s="132">
        <v>199.51</v>
      </c>
      <c r="AE35" s="25">
        <f t="shared" si="18"/>
        <v>4.6200000000000045</v>
      </c>
      <c r="AF35" s="142"/>
      <c r="AG35" s="132">
        <v>199.51</v>
      </c>
      <c r="AH35" s="132">
        <v>178.6</v>
      </c>
      <c r="AI35" s="25">
        <f t="shared" si="19"/>
        <v>5.2274999999999991</v>
      </c>
      <c r="AJ35" s="142"/>
      <c r="AK35" s="132">
        <v>220.74</v>
      </c>
      <c r="AL35" s="132">
        <v>196.39</v>
      </c>
      <c r="AM35" s="25">
        <f t="shared" si="20"/>
        <v>8.1166666666666742</v>
      </c>
      <c r="AN35" s="142"/>
      <c r="AO35" s="132">
        <v>278.70999999999998</v>
      </c>
      <c r="AP35" s="132">
        <v>252.42</v>
      </c>
      <c r="AQ35" s="25">
        <f t="shared" si="21"/>
        <v>13.144999999999996</v>
      </c>
      <c r="AR35" s="142"/>
      <c r="AS35" s="132">
        <v>252.42</v>
      </c>
      <c r="AT35" s="132">
        <v>230</v>
      </c>
      <c r="AU35" s="25">
        <f t="shared" si="22"/>
        <v>5.6049999999999969</v>
      </c>
      <c r="AV35" s="142"/>
      <c r="AW35" s="142"/>
      <c r="AX35" s="142" t="s">
        <v>240</v>
      </c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</row>
    <row r="36" spans="1:61" ht="16">
      <c r="A36" s="22">
        <v>29</v>
      </c>
      <c r="B36" s="22" t="s">
        <v>46</v>
      </c>
      <c r="C36" s="22" t="s">
        <v>47</v>
      </c>
      <c r="D36" s="22" t="s">
        <v>49</v>
      </c>
      <c r="E36" s="132">
        <v>294.79000000000002</v>
      </c>
      <c r="F36" s="132">
        <v>274.56</v>
      </c>
      <c r="G36" s="25">
        <f t="shared" si="12"/>
        <v>6.7433333333333394</v>
      </c>
      <c r="H36" s="142"/>
      <c r="I36" s="132">
        <v>274.56</v>
      </c>
      <c r="J36" s="132">
        <v>256.12</v>
      </c>
      <c r="K36" s="25">
        <f t="shared" si="13"/>
        <v>4.6099999999999994</v>
      </c>
      <c r="L36" s="142"/>
      <c r="M36" s="132">
        <v>256.12</v>
      </c>
      <c r="N36" s="132">
        <v>243.3</v>
      </c>
      <c r="O36" s="25">
        <f t="shared" si="14"/>
        <v>4.2733333333333308</v>
      </c>
      <c r="P36" s="142"/>
      <c r="Q36" s="132">
        <v>243.3</v>
      </c>
      <c r="R36" s="132">
        <v>226.82</v>
      </c>
      <c r="S36" s="25">
        <f t="shared" si="15"/>
        <v>4.1200000000000045</v>
      </c>
      <c r="T36" s="142"/>
      <c r="U36" s="132">
        <v>226.82</v>
      </c>
      <c r="V36" s="132">
        <v>217.2</v>
      </c>
      <c r="W36" s="25">
        <f t="shared" si="16"/>
        <v>3.2066666666666683</v>
      </c>
      <c r="X36" s="142"/>
      <c r="Y36" s="132">
        <v>217.2</v>
      </c>
      <c r="Z36" s="132">
        <v>203.93</v>
      </c>
      <c r="AA36" s="25">
        <f t="shared" si="17"/>
        <v>3.3174999999999955</v>
      </c>
      <c r="AB36" s="142"/>
      <c r="AC36" s="132">
        <v>203.93</v>
      </c>
      <c r="AD36" s="132">
        <v>191.28</v>
      </c>
      <c r="AE36" s="25">
        <f t="shared" si="18"/>
        <v>4.2166666666666686</v>
      </c>
      <c r="AF36" s="142"/>
      <c r="AG36" s="132">
        <v>191.28</v>
      </c>
      <c r="AH36" s="132">
        <v>178.01</v>
      </c>
      <c r="AI36" s="25">
        <f t="shared" si="19"/>
        <v>3.3175000000000026</v>
      </c>
      <c r="AJ36" s="142"/>
      <c r="AK36" s="132">
        <v>226.34</v>
      </c>
      <c r="AL36" s="132">
        <v>213.24</v>
      </c>
      <c r="AM36" s="25">
        <f t="shared" si="20"/>
        <v>4.3666666666666645</v>
      </c>
      <c r="AN36" s="142"/>
      <c r="AO36" s="132">
        <v>325.70999999999998</v>
      </c>
      <c r="AP36" s="132">
        <v>321.44</v>
      </c>
      <c r="AQ36" s="25">
        <f t="shared" si="21"/>
        <v>2.1349999999999909</v>
      </c>
      <c r="AR36" s="142"/>
      <c r="AS36" s="132">
        <v>321.44</v>
      </c>
      <c r="AT36" s="132">
        <v>306</v>
      </c>
      <c r="AU36" s="25">
        <f t="shared" si="22"/>
        <v>3.8599999999999994</v>
      </c>
      <c r="AV36" s="142"/>
      <c r="AW36" s="142"/>
      <c r="AX36" s="142" t="s">
        <v>241</v>
      </c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</row>
    <row r="37" spans="1:61" ht="16">
      <c r="A37" s="52">
        <v>30</v>
      </c>
      <c r="B37" s="52" t="s">
        <v>46</v>
      </c>
      <c r="C37" s="52" t="s">
        <v>47</v>
      </c>
      <c r="D37" s="15" t="s">
        <v>48</v>
      </c>
      <c r="E37" s="131">
        <v>324.07</v>
      </c>
      <c r="F37" s="131">
        <v>295.14999999999998</v>
      </c>
      <c r="G37" s="18">
        <f t="shared" si="12"/>
        <v>9.6400000000000059</v>
      </c>
      <c r="H37" s="136"/>
      <c r="I37" s="131">
        <v>295.14999999999998</v>
      </c>
      <c r="J37" s="131">
        <v>256.58999999999997</v>
      </c>
      <c r="K37" s="18">
        <f t="shared" si="13"/>
        <v>9.64</v>
      </c>
      <c r="L37" s="136"/>
      <c r="M37" s="131">
        <v>256.58999999999997</v>
      </c>
      <c r="N37" s="131">
        <v>239.12</v>
      </c>
      <c r="O37" s="18">
        <f t="shared" si="14"/>
        <v>5.8233333333333235</v>
      </c>
      <c r="P37" s="136"/>
      <c r="Q37" s="131">
        <v>239.12</v>
      </c>
      <c r="R37" s="131">
        <v>217.73</v>
      </c>
      <c r="S37" s="18">
        <f t="shared" si="15"/>
        <v>5.3475000000000037</v>
      </c>
      <c r="T37" s="136"/>
      <c r="U37" s="131">
        <v>217.73</v>
      </c>
      <c r="V37" s="131">
        <v>205.5</v>
      </c>
      <c r="W37" s="18">
        <f t="shared" si="16"/>
        <v>4.0766666666666636</v>
      </c>
      <c r="X37" s="136"/>
      <c r="Y37" s="131">
        <v>205.5</v>
      </c>
      <c r="Z37" s="131">
        <v>183.51</v>
      </c>
      <c r="AA37" s="18">
        <f t="shared" si="17"/>
        <v>5.4975000000000023</v>
      </c>
      <c r="AB37" s="136"/>
      <c r="AC37" s="131">
        <v>232.11</v>
      </c>
      <c r="AD37" s="131">
        <v>216.39</v>
      </c>
      <c r="AE37" s="18">
        <f t="shared" si="18"/>
        <v>5.2400000000000091</v>
      </c>
      <c r="AF37" s="136"/>
      <c r="AG37" s="131">
        <v>216.39</v>
      </c>
      <c r="AH37" s="131">
        <v>199.7</v>
      </c>
      <c r="AI37" s="18">
        <f t="shared" si="19"/>
        <v>4.1724999999999994</v>
      </c>
      <c r="AJ37" s="136"/>
      <c r="AK37" s="131">
        <v>225.87</v>
      </c>
      <c r="AL37" s="131">
        <v>211.75</v>
      </c>
      <c r="AM37" s="18">
        <f t="shared" si="20"/>
        <v>4.7066666666666679</v>
      </c>
      <c r="AN37" s="136"/>
      <c r="AO37" s="131">
        <v>321.55</v>
      </c>
      <c r="AP37" s="131">
        <v>307.61</v>
      </c>
      <c r="AQ37" s="18">
        <f t="shared" si="21"/>
        <v>6.9699999999999989</v>
      </c>
      <c r="AR37" s="136"/>
      <c r="AS37" s="131">
        <v>307.61</v>
      </c>
      <c r="AT37" s="131">
        <v>291.60000000000002</v>
      </c>
      <c r="AU37" s="18">
        <f t="shared" si="22"/>
        <v>4.0024999999999977</v>
      </c>
      <c r="AV37" s="136"/>
      <c r="AW37" s="136"/>
      <c r="AX37" s="136" t="s">
        <v>242</v>
      </c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</row>
    <row r="38" spans="1:61" ht="16">
      <c r="A38" s="15">
        <v>31</v>
      </c>
      <c r="B38" s="15" t="s">
        <v>46</v>
      </c>
      <c r="C38" s="15" t="s">
        <v>50</v>
      </c>
      <c r="D38" s="15" t="s">
        <v>48</v>
      </c>
      <c r="E38" s="131">
        <v>341.46</v>
      </c>
      <c r="F38" s="131">
        <v>322.79000000000002</v>
      </c>
      <c r="G38" s="18">
        <f t="shared" si="12"/>
        <v>6.2233333333333194</v>
      </c>
      <c r="H38" s="136"/>
      <c r="I38" s="131">
        <v>322.79000000000002</v>
      </c>
      <c r="J38" s="131">
        <v>305.52999999999997</v>
      </c>
      <c r="K38" s="18">
        <f t="shared" si="13"/>
        <v>4.3150000000000119</v>
      </c>
      <c r="L38" s="136"/>
      <c r="M38" s="131">
        <v>305.52999999999997</v>
      </c>
      <c r="N38" s="131">
        <v>294.55</v>
      </c>
      <c r="O38" s="18">
        <f t="shared" si="14"/>
        <v>3.6599999999999873</v>
      </c>
      <c r="P38" s="136"/>
      <c r="Q38" s="131">
        <v>294.55</v>
      </c>
      <c r="R38" s="131">
        <v>279.36</v>
      </c>
      <c r="S38" s="18">
        <f t="shared" si="15"/>
        <v>3.7974999999999994</v>
      </c>
      <c r="T38" s="136"/>
      <c r="U38" s="131">
        <v>279.36</v>
      </c>
      <c r="V38" s="131">
        <v>270.14</v>
      </c>
      <c r="W38" s="18">
        <f t="shared" si="16"/>
        <v>3.0733333333333426</v>
      </c>
      <c r="X38" s="136"/>
      <c r="Y38" s="131">
        <v>270.14</v>
      </c>
      <c r="Z38" s="131">
        <v>250.72</v>
      </c>
      <c r="AA38" s="18">
        <f t="shared" si="17"/>
        <v>4.8549999999999969</v>
      </c>
      <c r="AB38" s="136"/>
      <c r="AC38" s="131">
        <v>250.72</v>
      </c>
      <c r="AD38" s="131">
        <v>238.9</v>
      </c>
      <c r="AE38" s="18">
        <f t="shared" si="18"/>
        <v>3.9399999999999977</v>
      </c>
      <c r="AF38" s="136"/>
      <c r="AG38" s="131">
        <v>238.9</v>
      </c>
      <c r="AH38" s="131">
        <v>226.13</v>
      </c>
      <c r="AI38" s="18">
        <f t="shared" si="19"/>
        <v>3.1925000000000026</v>
      </c>
      <c r="AJ38" s="136"/>
      <c r="AK38" s="131">
        <v>226.13</v>
      </c>
      <c r="AL38" s="131">
        <v>215.08</v>
      </c>
      <c r="AM38" s="18">
        <f t="shared" si="20"/>
        <v>3.6833333333333278</v>
      </c>
      <c r="AN38" s="136"/>
      <c r="AO38" s="131">
        <v>302.5</v>
      </c>
      <c r="AP38" s="131">
        <v>288.54000000000002</v>
      </c>
      <c r="AQ38" s="18">
        <f t="shared" si="21"/>
        <v>6.9799999999999898</v>
      </c>
      <c r="AR38" s="136"/>
      <c r="AS38" s="131">
        <v>288.54000000000002</v>
      </c>
      <c r="AT38" s="131">
        <v>275</v>
      </c>
      <c r="AU38" s="18">
        <f t="shared" si="22"/>
        <v>3.3850000000000051</v>
      </c>
      <c r="AV38" s="136"/>
      <c r="AW38" s="136"/>
      <c r="AX38" s="136" t="s">
        <v>243</v>
      </c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</row>
    <row r="39" spans="1:61" ht="16">
      <c r="A39" s="22">
        <v>32</v>
      </c>
      <c r="B39" s="22" t="s">
        <v>46</v>
      </c>
      <c r="C39" s="22" t="s">
        <v>50</v>
      </c>
      <c r="D39" s="22" t="s">
        <v>49</v>
      </c>
      <c r="E39" s="132">
        <v>285.39999999999998</v>
      </c>
      <c r="F39" s="132">
        <v>270.52999999999997</v>
      </c>
      <c r="G39" s="25">
        <f t="shared" si="12"/>
        <v>4.9566666666666679</v>
      </c>
      <c r="H39" s="142"/>
      <c r="I39" s="132">
        <v>270.52999999999997</v>
      </c>
      <c r="J39" s="132">
        <v>254.05</v>
      </c>
      <c r="K39" s="25">
        <f t="shared" si="13"/>
        <v>4.1199999999999903</v>
      </c>
      <c r="L39" s="142"/>
      <c r="M39" s="132">
        <v>254.05</v>
      </c>
      <c r="N39" s="132">
        <v>243.71</v>
      </c>
      <c r="O39" s="25">
        <f t="shared" si="14"/>
        <v>3.4466666666666677</v>
      </c>
      <c r="P39" s="142"/>
      <c r="Q39" s="132">
        <v>243.71</v>
      </c>
      <c r="R39" s="132">
        <v>228.79</v>
      </c>
      <c r="S39" s="25">
        <f t="shared" si="15"/>
        <v>3.730000000000004</v>
      </c>
      <c r="T39" s="142"/>
      <c r="U39" s="132">
        <v>228.79</v>
      </c>
      <c r="V39" s="132">
        <v>220.65</v>
      </c>
      <c r="W39" s="25">
        <f t="shared" si="16"/>
        <v>2.7133333333333289</v>
      </c>
      <c r="X39" s="142"/>
      <c r="Y39" s="132">
        <v>220.65</v>
      </c>
      <c r="Z39" s="132">
        <v>209.25</v>
      </c>
      <c r="AA39" s="25">
        <f t="shared" si="17"/>
        <v>2.8500000000000014</v>
      </c>
      <c r="AB39" s="142"/>
      <c r="AC39" s="132">
        <v>209.25</v>
      </c>
      <c r="AD39" s="132">
        <v>198.12</v>
      </c>
      <c r="AE39" s="25">
        <f t="shared" si="18"/>
        <v>3.7099999999999986</v>
      </c>
      <c r="AF39" s="142"/>
      <c r="AG39" s="132">
        <v>198.12</v>
      </c>
      <c r="AH39" s="132">
        <v>186.08</v>
      </c>
      <c r="AI39" s="25">
        <f t="shared" si="19"/>
        <v>3.009999999999998</v>
      </c>
      <c r="AJ39" s="142"/>
      <c r="AK39" s="132">
        <v>223.69</v>
      </c>
      <c r="AL39" s="132">
        <v>212.44</v>
      </c>
      <c r="AM39" s="25">
        <f t="shared" si="20"/>
        <v>3.75</v>
      </c>
      <c r="AN39" s="142"/>
      <c r="AO39" s="132">
        <v>308</v>
      </c>
      <c r="AP39" s="132">
        <v>294.33</v>
      </c>
      <c r="AQ39" s="25">
        <f t="shared" si="21"/>
        <v>6.835000000000008</v>
      </c>
      <c r="AR39" s="142"/>
      <c r="AS39" s="132">
        <v>294.33</v>
      </c>
      <c r="AT39" s="132">
        <v>281.60000000000002</v>
      </c>
      <c r="AU39" s="25">
        <f t="shared" si="22"/>
        <v>3.1824999999999903</v>
      </c>
      <c r="AV39" s="142"/>
      <c r="AW39" s="142"/>
      <c r="AX39" s="142" t="s">
        <v>244</v>
      </c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</row>
    <row r="40" spans="1:61" ht="16">
      <c r="A40" s="15">
        <v>33</v>
      </c>
      <c r="B40" s="15" t="s">
        <v>46</v>
      </c>
      <c r="C40" s="15" t="s">
        <v>50</v>
      </c>
      <c r="D40" s="15" t="s">
        <v>48</v>
      </c>
      <c r="E40" s="131">
        <v>294.42</v>
      </c>
      <c r="F40" s="131">
        <v>276.17</v>
      </c>
      <c r="G40" s="18">
        <f t="shared" si="12"/>
        <v>6.083333333333333</v>
      </c>
      <c r="H40" s="136"/>
      <c r="I40" s="131">
        <v>276.17</v>
      </c>
      <c r="J40" s="131">
        <v>256.99</v>
      </c>
      <c r="K40" s="18">
        <f t="shared" si="13"/>
        <v>4.7950000000000017</v>
      </c>
      <c r="L40" s="136"/>
      <c r="M40" s="131">
        <v>256.99</v>
      </c>
      <c r="N40" s="131">
        <v>243.76</v>
      </c>
      <c r="O40" s="18">
        <f t="shared" si="14"/>
        <v>4.4100000000000064</v>
      </c>
      <c r="P40" s="136"/>
      <c r="Q40" s="131">
        <v>243.76</v>
      </c>
      <c r="R40" s="131">
        <v>225.89</v>
      </c>
      <c r="S40" s="18">
        <f t="shared" si="15"/>
        <v>4.4675000000000011</v>
      </c>
      <c r="T40" s="136"/>
      <c r="U40" s="131">
        <v>225.89</v>
      </c>
      <c r="V40" s="131">
        <v>215.36</v>
      </c>
      <c r="W40" s="18">
        <f t="shared" si="16"/>
        <v>3.5099999999999909</v>
      </c>
      <c r="X40" s="136"/>
      <c r="Y40" s="131">
        <v>215.36</v>
      </c>
      <c r="Z40" s="131">
        <v>185.4</v>
      </c>
      <c r="AA40" s="18">
        <f t="shared" si="17"/>
        <v>7.490000000000002</v>
      </c>
      <c r="AB40" s="136"/>
      <c r="AC40" s="131">
        <v>219.64</v>
      </c>
      <c r="AD40" s="131">
        <v>204.37</v>
      </c>
      <c r="AE40" s="18">
        <f t="shared" si="18"/>
        <v>5.0899999999999936</v>
      </c>
      <c r="AF40" s="136"/>
      <c r="AG40" s="131">
        <v>204.37</v>
      </c>
      <c r="AH40" s="131">
        <v>190.58</v>
      </c>
      <c r="AI40" s="18">
        <f t="shared" si="19"/>
        <v>3.447499999999998</v>
      </c>
      <c r="AJ40" s="136"/>
      <c r="AK40" s="131">
        <v>232.59</v>
      </c>
      <c r="AL40" s="131">
        <v>217.68</v>
      </c>
      <c r="AM40" s="18">
        <f t="shared" si="20"/>
        <v>4.9699999999999989</v>
      </c>
      <c r="AN40" s="136"/>
      <c r="AO40" s="131">
        <v>293.86</v>
      </c>
      <c r="AP40" s="131">
        <v>277.95</v>
      </c>
      <c r="AQ40" s="18">
        <f t="shared" si="21"/>
        <v>7.9550000000000125</v>
      </c>
      <c r="AR40" s="136"/>
      <c r="AS40" s="131">
        <v>277.95</v>
      </c>
      <c r="AT40" s="131">
        <v>259</v>
      </c>
      <c r="AU40" s="18">
        <f t="shared" si="22"/>
        <v>4.7374999999999972</v>
      </c>
      <c r="AV40" s="136"/>
      <c r="AW40" s="136"/>
      <c r="AX40" s="136" t="s">
        <v>245</v>
      </c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</row>
    <row r="41" spans="1:61" ht="16">
      <c r="A41" s="22">
        <v>34</v>
      </c>
      <c r="B41" s="22" t="s">
        <v>46</v>
      </c>
      <c r="C41" s="22" t="s">
        <v>50</v>
      </c>
      <c r="D41" s="22" t="s">
        <v>49</v>
      </c>
      <c r="E41" s="132">
        <v>309.18</v>
      </c>
      <c r="F41" s="132">
        <v>289.64999999999998</v>
      </c>
      <c r="G41" s="25">
        <f t="shared" si="12"/>
        <v>6.5100000000000096</v>
      </c>
      <c r="H41" s="142"/>
      <c r="I41" s="132">
        <v>289.64999999999998</v>
      </c>
      <c r="J41" s="132">
        <v>266.72000000000003</v>
      </c>
      <c r="K41" s="25">
        <f t="shared" si="13"/>
        <v>5.7324999999999875</v>
      </c>
      <c r="L41" s="142"/>
      <c r="M41" s="132">
        <v>266.72000000000003</v>
      </c>
      <c r="N41" s="132">
        <v>250.85</v>
      </c>
      <c r="O41" s="25">
        <f t="shared" si="14"/>
        <v>5.2900000000000107</v>
      </c>
      <c r="P41" s="142"/>
      <c r="Q41" s="132">
        <v>250.85</v>
      </c>
      <c r="R41" s="132">
        <v>231.47</v>
      </c>
      <c r="S41" s="25">
        <f t="shared" si="15"/>
        <v>4.8449999999999989</v>
      </c>
      <c r="T41" s="142"/>
      <c r="U41" s="132">
        <v>231.47</v>
      </c>
      <c r="V41" s="132">
        <v>220.26</v>
      </c>
      <c r="W41" s="25">
        <f t="shared" si="16"/>
        <v>3.7366666666666695</v>
      </c>
      <c r="X41" s="142"/>
      <c r="Y41" s="132">
        <v>220.26</v>
      </c>
      <c r="Z41" s="132">
        <v>205.68</v>
      </c>
      <c r="AA41" s="25">
        <f t="shared" si="17"/>
        <v>3.644999999999996</v>
      </c>
      <c r="AB41" s="142"/>
      <c r="AC41" s="132">
        <v>205.68</v>
      </c>
      <c r="AD41" s="132">
        <v>191.14</v>
      </c>
      <c r="AE41" s="25">
        <f t="shared" si="18"/>
        <v>4.8466666666666738</v>
      </c>
      <c r="AF41" s="142"/>
      <c r="AG41" s="132">
        <v>191.14</v>
      </c>
      <c r="AH41" s="132">
        <v>176.57</v>
      </c>
      <c r="AI41" s="25">
        <f t="shared" si="19"/>
        <v>3.6424999999999983</v>
      </c>
      <c r="AJ41" s="142"/>
      <c r="AK41" s="132">
        <v>228.78</v>
      </c>
      <c r="AL41" s="132">
        <v>214.17</v>
      </c>
      <c r="AM41" s="25">
        <f t="shared" si="20"/>
        <v>4.8700000000000045</v>
      </c>
      <c r="AN41" s="142"/>
      <c r="AO41" s="132">
        <v>318.33999999999997</v>
      </c>
      <c r="AP41" s="132">
        <v>302.92</v>
      </c>
      <c r="AQ41" s="25">
        <f t="shared" si="21"/>
        <v>7.7099999999999795</v>
      </c>
      <c r="AR41" s="142"/>
      <c r="AS41" s="132">
        <v>302.92</v>
      </c>
      <c r="AT41" s="132">
        <v>284.60000000000002</v>
      </c>
      <c r="AU41" s="25">
        <f t="shared" si="22"/>
        <v>4.5799999999999983</v>
      </c>
      <c r="AV41" s="142"/>
      <c r="AW41" s="142"/>
      <c r="AX41" s="142" t="s">
        <v>246</v>
      </c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</row>
    <row r="42" spans="1:61" ht="16">
      <c r="A42" s="15">
        <v>35</v>
      </c>
      <c r="B42" s="15" t="s">
        <v>46</v>
      </c>
      <c r="C42" s="15" t="s">
        <v>50</v>
      </c>
      <c r="D42" s="15" t="s">
        <v>48</v>
      </c>
      <c r="E42" s="131">
        <v>311.3</v>
      </c>
      <c r="F42" s="131">
        <v>290.85000000000002</v>
      </c>
      <c r="G42" s="18">
        <f t="shared" si="12"/>
        <v>6.8166666666666629</v>
      </c>
      <c r="H42" s="136"/>
      <c r="I42" s="131">
        <v>290.85000000000002</v>
      </c>
      <c r="J42" s="131">
        <v>271.23</v>
      </c>
      <c r="K42" s="18">
        <f t="shared" si="13"/>
        <v>4.9050000000000011</v>
      </c>
      <c r="L42" s="136"/>
      <c r="M42" s="131">
        <v>271.23</v>
      </c>
      <c r="N42" s="131">
        <v>258.06</v>
      </c>
      <c r="O42" s="18">
        <f t="shared" si="14"/>
        <v>4.390000000000005</v>
      </c>
      <c r="P42" s="136"/>
      <c r="Q42" s="131">
        <v>258.06</v>
      </c>
      <c r="R42" s="131">
        <v>240.81</v>
      </c>
      <c r="S42" s="18">
        <f t="shared" si="15"/>
        <v>4.3125</v>
      </c>
      <c r="T42" s="136"/>
      <c r="U42" s="131">
        <v>240.81</v>
      </c>
      <c r="V42" s="131">
        <v>227.2</v>
      </c>
      <c r="W42" s="18">
        <f t="shared" si="16"/>
        <v>4.5366666666666715</v>
      </c>
      <c r="X42" s="136"/>
      <c r="Y42" s="131">
        <v>227.2</v>
      </c>
      <c r="Z42" s="131">
        <v>211.41</v>
      </c>
      <c r="AA42" s="18">
        <f t="shared" si="17"/>
        <v>3.947499999999998</v>
      </c>
      <c r="AB42" s="136"/>
      <c r="AC42" s="131">
        <v>211.41</v>
      </c>
      <c r="AD42" s="131">
        <v>198.44</v>
      </c>
      <c r="AE42" s="18">
        <f t="shared" si="18"/>
        <v>4.3233333333333333</v>
      </c>
      <c r="AF42" s="136"/>
      <c r="AG42" s="131">
        <v>198.44</v>
      </c>
      <c r="AH42" s="131">
        <v>183.52</v>
      </c>
      <c r="AI42" s="18">
        <f t="shared" si="19"/>
        <v>3.7299999999999969</v>
      </c>
      <c r="AJ42" s="136"/>
      <c r="AK42" s="131">
        <v>225.4</v>
      </c>
      <c r="AL42" s="131">
        <v>211.85</v>
      </c>
      <c r="AM42" s="18">
        <f t="shared" si="20"/>
        <v>4.5166666666666702</v>
      </c>
      <c r="AN42" s="136"/>
      <c r="AO42" s="131">
        <v>302.05</v>
      </c>
      <c r="AP42" s="131">
        <v>288.98</v>
      </c>
      <c r="AQ42" s="18">
        <f t="shared" si="21"/>
        <v>6.5349999999999966</v>
      </c>
      <c r="AR42" s="136"/>
      <c r="AS42" s="131">
        <v>288.98</v>
      </c>
      <c r="AT42" s="131">
        <v>273.8</v>
      </c>
      <c r="AU42" s="18">
        <f t="shared" si="22"/>
        <v>3.7950000000000017</v>
      </c>
      <c r="AV42" s="136"/>
      <c r="AW42" s="136"/>
      <c r="AX42" s="136" t="s">
        <v>247</v>
      </c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</row>
    <row r="43" spans="1:61" ht="16">
      <c r="A43" s="22">
        <v>36</v>
      </c>
      <c r="B43" s="22" t="s">
        <v>46</v>
      </c>
      <c r="C43" s="22" t="s">
        <v>50</v>
      </c>
      <c r="D43" s="22" t="s">
        <v>49</v>
      </c>
      <c r="E43" s="132">
        <v>302.69</v>
      </c>
      <c r="F43" s="132">
        <v>281.29000000000002</v>
      </c>
      <c r="G43" s="25">
        <f t="shared" si="12"/>
        <v>7.1333333333333258</v>
      </c>
      <c r="H43" s="142"/>
      <c r="I43" s="132">
        <v>281.29000000000002</v>
      </c>
      <c r="J43" s="132">
        <v>260.29000000000002</v>
      </c>
      <c r="K43" s="25">
        <f t="shared" si="13"/>
        <v>5.25</v>
      </c>
      <c r="L43" s="142"/>
      <c r="M43" s="132">
        <v>260.29000000000002</v>
      </c>
      <c r="N43" s="132">
        <v>247.15</v>
      </c>
      <c r="O43" s="25">
        <f t="shared" si="14"/>
        <v>4.3800000000000052</v>
      </c>
      <c r="P43" s="142"/>
      <c r="Q43" s="132">
        <v>247.15</v>
      </c>
      <c r="R43" s="132">
        <v>228.87</v>
      </c>
      <c r="S43" s="25">
        <f t="shared" si="15"/>
        <v>4.57</v>
      </c>
      <c r="T43" s="142"/>
      <c r="U43" s="132">
        <v>228.87</v>
      </c>
      <c r="V43" s="132">
        <v>218.61</v>
      </c>
      <c r="W43" s="25">
        <f t="shared" si="16"/>
        <v>3.4199999999999968</v>
      </c>
      <c r="X43" s="142"/>
      <c r="Y43" s="132">
        <v>218.61</v>
      </c>
      <c r="Z43" s="132">
        <v>204.05</v>
      </c>
      <c r="AA43" s="25">
        <f t="shared" si="17"/>
        <v>3.6400000000000006</v>
      </c>
      <c r="AB43" s="142"/>
      <c r="AC43" s="132">
        <v>204.05</v>
      </c>
      <c r="AD43" s="132">
        <v>191.35</v>
      </c>
      <c r="AE43" s="25">
        <f t="shared" si="18"/>
        <v>4.2333333333333387</v>
      </c>
      <c r="AF43" s="142"/>
      <c r="AG43" s="132">
        <v>191.35</v>
      </c>
      <c r="AH43" s="132">
        <v>177.73</v>
      </c>
      <c r="AI43" s="25">
        <f t="shared" si="19"/>
        <v>3.4050000000000011</v>
      </c>
      <c r="AJ43" s="142"/>
      <c r="AK43" s="132">
        <v>229.86</v>
      </c>
      <c r="AL43" s="132">
        <v>215.21</v>
      </c>
      <c r="AM43" s="25">
        <f t="shared" si="20"/>
        <v>4.8833333333333355</v>
      </c>
      <c r="AN43" s="142"/>
      <c r="AO43" s="132">
        <v>327.78</v>
      </c>
      <c r="AP43" s="132">
        <v>310.29000000000002</v>
      </c>
      <c r="AQ43" s="25">
        <f t="shared" si="21"/>
        <v>8.7449999999999761</v>
      </c>
      <c r="AR43" s="142"/>
      <c r="AS43" s="132">
        <v>310.29000000000002</v>
      </c>
      <c r="AT43" s="142">
        <v>292.89999999999998</v>
      </c>
      <c r="AU43" s="25">
        <f t="shared" si="22"/>
        <v>4.3475000000000108</v>
      </c>
      <c r="AV43" s="142"/>
      <c r="AW43" s="142"/>
      <c r="AX43" s="142" t="s">
        <v>248</v>
      </c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</row>
    <row r="44" spans="1:61" ht="16">
      <c r="A44" s="15">
        <v>37</v>
      </c>
      <c r="B44" s="15" t="s">
        <v>51</v>
      </c>
      <c r="C44" s="15" t="s">
        <v>47</v>
      </c>
      <c r="D44" s="15" t="s">
        <v>48</v>
      </c>
      <c r="E44" s="131">
        <v>290.22000000000003</v>
      </c>
      <c r="F44" s="131">
        <v>263</v>
      </c>
      <c r="G44" s="18">
        <f t="shared" si="12"/>
        <v>9.073333333333343</v>
      </c>
      <c r="H44" s="136"/>
      <c r="I44" s="131">
        <v>263</v>
      </c>
      <c r="J44" s="131">
        <v>236.52</v>
      </c>
      <c r="K44" s="18">
        <f t="shared" si="13"/>
        <v>6.6199999999999974</v>
      </c>
      <c r="L44" s="136"/>
      <c r="M44" s="131">
        <v>236.52</v>
      </c>
      <c r="N44" s="131">
        <v>219.32</v>
      </c>
      <c r="O44" s="18">
        <f t="shared" si="14"/>
        <v>5.7333333333333387</v>
      </c>
      <c r="P44" s="136"/>
      <c r="Q44" s="131">
        <v>219.32</v>
      </c>
      <c r="R44" s="131">
        <v>193.2</v>
      </c>
      <c r="S44" s="18">
        <f t="shared" si="15"/>
        <v>6.5300000000000011</v>
      </c>
      <c r="T44" s="136"/>
      <c r="U44" s="131">
        <v>251.21</v>
      </c>
      <c r="V44" s="131">
        <v>232.9</v>
      </c>
      <c r="W44" s="18">
        <f t="shared" si="16"/>
        <v>6.1033333333333344</v>
      </c>
      <c r="X44" s="136"/>
      <c r="Y44" s="131">
        <v>232.9</v>
      </c>
      <c r="Z44" s="131">
        <v>186.55</v>
      </c>
      <c r="AA44" s="18">
        <f t="shared" si="17"/>
        <v>11.587499999999999</v>
      </c>
      <c r="AB44" s="136"/>
      <c r="AC44" s="131">
        <v>220.02</v>
      </c>
      <c r="AD44" s="131">
        <v>199.1</v>
      </c>
      <c r="AE44" s="18">
        <f t="shared" si="18"/>
        <v>6.9733333333333389</v>
      </c>
      <c r="AF44" s="136"/>
      <c r="AG44" s="131">
        <v>199.1</v>
      </c>
      <c r="AH44" s="131">
        <v>168.33</v>
      </c>
      <c r="AI44" s="18">
        <f t="shared" si="19"/>
        <v>7.6924999999999955</v>
      </c>
      <c r="AJ44" s="136"/>
      <c r="AK44" s="131">
        <v>273.60000000000002</v>
      </c>
      <c r="AL44" s="131">
        <v>248.71</v>
      </c>
      <c r="AM44" s="18">
        <f t="shared" si="20"/>
        <v>8.2966666666666722</v>
      </c>
      <c r="AN44" s="136"/>
      <c r="AO44" s="131">
        <v>248.71</v>
      </c>
      <c r="AP44" s="131">
        <v>230.5</v>
      </c>
      <c r="AQ44" s="18">
        <f t="shared" si="21"/>
        <v>9.105000000000004</v>
      </c>
      <c r="AR44" s="136"/>
      <c r="AS44" s="131">
        <v>356.04</v>
      </c>
      <c r="AT44" s="131">
        <v>297.39999999999998</v>
      </c>
      <c r="AU44" s="18">
        <f t="shared" ref="AU44:AU55" si="23">(AS44-AT44)/5</f>
        <v>11.728000000000009</v>
      </c>
      <c r="AV44" s="136"/>
      <c r="AW44" s="136"/>
      <c r="AX44" s="136">
        <v>297.39999999999998</v>
      </c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</row>
    <row r="45" spans="1:61" ht="16">
      <c r="A45" s="22">
        <v>38</v>
      </c>
      <c r="B45" s="22" t="s">
        <v>51</v>
      </c>
      <c r="C45" s="22" t="s">
        <v>47</v>
      </c>
      <c r="D45" s="22" t="s">
        <v>49</v>
      </c>
      <c r="E45" s="132">
        <v>318.64999999999998</v>
      </c>
      <c r="F45" s="132">
        <v>289.11</v>
      </c>
      <c r="G45" s="25">
        <f t="shared" si="12"/>
        <v>9.8466666666666551</v>
      </c>
      <c r="H45" s="142"/>
      <c r="I45" s="132">
        <v>289.11</v>
      </c>
      <c r="J45" s="132">
        <v>254.3</v>
      </c>
      <c r="K45" s="25">
        <f t="shared" si="13"/>
        <v>8.7025000000000006</v>
      </c>
      <c r="L45" s="142"/>
      <c r="M45" s="132">
        <v>254.3</v>
      </c>
      <c r="N45" s="132">
        <v>229.79</v>
      </c>
      <c r="O45" s="25">
        <f t="shared" si="14"/>
        <v>8.170000000000007</v>
      </c>
      <c r="P45" s="142"/>
      <c r="Q45" s="132">
        <v>229.79</v>
      </c>
      <c r="R45" s="132">
        <v>191.07</v>
      </c>
      <c r="S45" s="25">
        <f t="shared" si="15"/>
        <v>9.68</v>
      </c>
      <c r="T45" s="142"/>
      <c r="U45" s="132">
        <v>264.42</v>
      </c>
      <c r="V45" s="132">
        <v>237.2</v>
      </c>
      <c r="W45" s="25">
        <f t="shared" si="16"/>
        <v>9.073333333333343</v>
      </c>
      <c r="X45" s="142"/>
      <c r="Y45" s="132">
        <v>237.2</v>
      </c>
      <c r="Z45" s="132">
        <v>180.26</v>
      </c>
      <c r="AA45" s="25">
        <f t="shared" si="17"/>
        <v>14.234999999999999</v>
      </c>
      <c r="AB45" s="142"/>
      <c r="AC45" s="132">
        <v>307.08999999999997</v>
      </c>
      <c r="AD45" s="132">
        <v>265</v>
      </c>
      <c r="AE45" s="25">
        <f t="shared" si="18"/>
        <v>14.029999999999992</v>
      </c>
      <c r="AF45" s="142"/>
      <c r="AG45" s="132">
        <v>265</v>
      </c>
      <c r="AH45" s="132">
        <v>213.65</v>
      </c>
      <c r="AI45" s="25">
        <f t="shared" si="19"/>
        <v>12.837499999999999</v>
      </c>
      <c r="AJ45" s="142"/>
      <c r="AK45" s="132">
        <v>253.48</v>
      </c>
      <c r="AL45" s="132">
        <v>215.45</v>
      </c>
      <c r="AM45" s="25">
        <f t="shared" si="20"/>
        <v>12.676666666666668</v>
      </c>
      <c r="AN45" s="142"/>
      <c r="AO45" s="132">
        <v>215.45</v>
      </c>
      <c r="AP45" s="132">
        <v>187.98</v>
      </c>
      <c r="AQ45" s="25">
        <f t="shared" si="21"/>
        <v>13.734999999999999</v>
      </c>
      <c r="AR45" s="142"/>
      <c r="AS45" s="132">
        <v>314.87</v>
      </c>
      <c r="AT45" s="132">
        <v>239</v>
      </c>
      <c r="AU45" s="25">
        <f t="shared" si="23"/>
        <v>15.174000000000001</v>
      </c>
      <c r="AV45" s="142"/>
      <c r="AW45" s="142"/>
      <c r="AX45" s="142">
        <v>239</v>
      </c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</row>
    <row r="46" spans="1:61" ht="16">
      <c r="A46" s="15">
        <v>39</v>
      </c>
      <c r="B46" s="15" t="s">
        <v>51</v>
      </c>
      <c r="C46" s="15" t="s">
        <v>47</v>
      </c>
      <c r="D46" s="15" t="s">
        <v>48</v>
      </c>
      <c r="E46" s="131">
        <v>282.93</v>
      </c>
      <c r="F46" s="131">
        <v>262.62</v>
      </c>
      <c r="G46" s="18">
        <f t="shared" si="12"/>
        <v>6.7700000000000005</v>
      </c>
      <c r="H46" s="136"/>
      <c r="I46" s="131">
        <v>262.62</v>
      </c>
      <c r="J46" s="131">
        <v>232.14</v>
      </c>
      <c r="K46" s="18">
        <f t="shared" si="13"/>
        <v>7.6200000000000045</v>
      </c>
      <c r="L46" s="136"/>
      <c r="M46" s="131">
        <v>232.14</v>
      </c>
      <c r="N46" s="131">
        <v>208.87</v>
      </c>
      <c r="O46" s="18">
        <f t="shared" si="14"/>
        <v>7.7566666666666606</v>
      </c>
      <c r="P46" s="136"/>
      <c r="Q46" s="131">
        <v>208.87</v>
      </c>
      <c r="R46" s="131">
        <v>176.78</v>
      </c>
      <c r="S46" s="18">
        <f t="shared" si="15"/>
        <v>8.0225000000000009</v>
      </c>
      <c r="T46" s="136"/>
      <c r="U46" s="131">
        <v>228.26</v>
      </c>
      <c r="V46" s="131">
        <v>203.91</v>
      </c>
      <c r="W46" s="18">
        <f t="shared" si="16"/>
        <v>8.1166666666666654</v>
      </c>
      <c r="X46" s="136"/>
      <c r="Y46" s="131">
        <v>203.91</v>
      </c>
      <c r="Z46" s="131">
        <v>158.77000000000001</v>
      </c>
      <c r="AA46" s="18">
        <f t="shared" si="17"/>
        <v>11.284999999999997</v>
      </c>
      <c r="AB46" s="136"/>
      <c r="AC46" s="131">
        <v>242.38</v>
      </c>
      <c r="AD46" s="131">
        <v>208.24</v>
      </c>
      <c r="AE46" s="18">
        <f t="shared" si="18"/>
        <v>11.379999999999995</v>
      </c>
      <c r="AF46" s="136"/>
      <c r="AG46" s="131">
        <v>208.24</v>
      </c>
      <c r="AH46" s="131">
        <v>166.26</v>
      </c>
      <c r="AI46" s="18">
        <f t="shared" si="19"/>
        <v>10.495000000000005</v>
      </c>
      <c r="AJ46" s="136"/>
      <c r="AK46" s="131">
        <v>244.04</v>
      </c>
      <c r="AL46" s="131">
        <v>214.74</v>
      </c>
      <c r="AM46" s="18">
        <f t="shared" si="20"/>
        <v>9.7666666666666604</v>
      </c>
      <c r="AN46" s="136"/>
      <c r="AO46" s="131">
        <v>214.74</v>
      </c>
      <c r="AP46" s="131">
        <v>182.61</v>
      </c>
      <c r="AQ46" s="18">
        <f t="shared" si="21"/>
        <v>16.064999999999998</v>
      </c>
      <c r="AR46" s="136"/>
      <c r="AS46" s="131">
        <v>345.51</v>
      </c>
      <c r="AT46" s="131">
        <v>282.5</v>
      </c>
      <c r="AU46" s="18">
        <f t="shared" si="23"/>
        <v>12.601999999999999</v>
      </c>
      <c r="AV46" s="136"/>
      <c r="AW46" s="136"/>
      <c r="AX46" s="136">
        <v>282.5</v>
      </c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</row>
    <row r="47" spans="1:61" ht="16">
      <c r="A47" s="22">
        <v>40</v>
      </c>
      <c r="B47" s="22" t="s">
        <v>51</v>
      </c>
      <c r="C47" s="22" t="s">
        <v>47</v>
      </c>
      <c r="D47" s="22" t="s">
        <v>49</v>
      </c>
      <c r="E47" s="132">
        <v>340.57</v>
      </c>
      <c r="F47" s="132">
        <v>314.25</v>
      </c>
      <c r="G47" s="25">
        <f t="shared" si="12"/>
        <v>8.7733333333333317</v>
      </c>
      <c r="H47" s="142"/>
      <c r="I47" s="132">
        <v>314.25</v>
      </c>
      <c r="J47" s="146">
        <v>322.22000000000003</v>
      </c>
      <c r="K47" s="27">
        <f t="shared" si="13"/>
        <v>-1.9925000000000068</v>
      </c>
      <c r="L47" s="142"/>
      <c r="M47" s="132">
        <v>322.22000000000003</v>
      </c>
      <c r="N47" s="132">
        <v>295.94</v>
      </c>
      <c r="O47" s="25">
        <f t="shared" si="14"/>
        <v>8.7600000000000104</v>
      </c>
      <c r="P47" s="142"/>
      <c r="Q47" s="132">
        <v>295.94</v>
      </c>
      <c r="R47" s="147">
        <v>265.73</v>
      </c>
      <c r="S47" s="25">
        <f t="shared" si="15"/>
        <v>7.5524999999999949</v>
      </c>
      <c r="T47" s="142"/>
      <c r="U47" s="147">
        <v>265.73</v>
      </c>
      <c r="V47" s="132">
        <v>237.79</v>
      </c>
      <c r="W47" s="25">
        <f t="shared" si="16"/>
        <v>9.3133333333333415</v>
      </c>
      <c r="X47" s="142"/>
      <c r="Y47" s="132">
        <v>237.79</v>
      </c>
      <c r="Z47" s="147">
        <v>191.67</v>
      </c>
      <c r="AA47" s="25">
        <f t="shared" si="17"/>
        <v>11.530000000000001</v>
      </c>
      <c r="AB47" s="142"/>
      <c r="AC47" s="147">
        <v>254.83</v>
      </c>
      <c r="AD47" s="132">
        <v>221.84</v>
      </c>
      <c r="AE47" s="25">
        <f t="shared" si="18"/>
        <v>10.99666666666667</v>
      </c>
      <c r="AF47" s="142"/>
      <c r="AG47" s="132">
        <v>221.84</v>
      </c>
      <c r="AH47" s="147">
        <v>177.04</v>
      </c>
      <c r="AI47" s="25">
        <f t="shared" si="19"/>
        <v>11.200000000000003</v>
      </c>
      <c r="AJ47" s="142"/>
      <c r="AK47" s="147">
        <v>263.27999999999997</v>
      </c>
      <c r="AL47" s="132">
        <v>228.42</v>
      </c>
      <c r="AM47" s="25">
        <f t="shared" si="20"/>
        <v>11.619999999999996</v>
      </c>
      <c r="AN47" s="142"/>
      <c r="AO47" s="132">
        <v>228.42</v>
      </c>
      <c r="AP47" s="132">
        <v>205.19</v>
      </c>
      <c r="AQ47" s="25">
        <f t="shared" si="21"/>
        <v>11.614999999999995</v>
      </c>
      <c r="AR47" s="142"/>
      <c r="AS47" s="132">
        <v>288.45</v>
      </c>
      <c r="AT47" s="132">
        <v>222.8</v>
      </c>
      <c r="AU47" s="25">
        <f t="shared" si="23"/>
        <v>13.129999999999995</v>
      </c>
      <c r="AV47" s="142"/>
      <c r="AW47" s="142"/>
      <c r="AX47" s="142">
        <v>222.8</v>
      </c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</row>
    <row r="48" spans="1:61" ht="16">
      <c r="A48" s="15">
        <v>41</v>
      </c>
      <c r="B48" s="15" t="s">
        <v>51</v>
      </c>
      <c r="C48" s="15" t="s">
        <v>47</v>
      </c>
      <c r="D48" s="15" t="s">
        <v>48</v>
      </c>
      <c r="E48" s="131">
        <v>380.86</v>
      </c>
      <c r="F48" s="131">
        <v>356</v>
      </c>
      <c r="G48" s="18">
        <f t="shared" si="12"/>
        <v>8.2866666666666706</v>
      </c>
      <c r="H48" s="136"/>
      <c r="I48" s="131">
        <v>356</v>
      </c>
      <c r="J48" s="131">
        <v>329.09</v>
      </c>
      <c r="K48" s="18">
        <f t="shared" si="13"/>
        <v>6.7275000000000063</v>
      </c>
      <c r="L48" s="136"/>
      <c r="M48" s="131">
        <v>329.09</v>
      </c>
      <c r="N48" s="131">
        <v>306.49</v>
      </c>
      <c r="O48" s="18">
        <f t="shared" si="14"/>
        <v>7.5333333333333217</v>
      </c>
      <c r="P48" s="136"/>
      <c r="Q48" s="131">
        <v>306.49</v>
      </c>
      <c r="R48" s="131">
        <v>269.22000000000003</v>
      </c>
      <c r="S48" s="18">
        <f t="shared" si="15"/>
        <v>9.3174999999999955</v>
      </c>
      <c r="T48" s="136"/>
      <c r="U48" s="131">
        <v>269.22000000000003</v>
      </c>
      <c r="V48" s="131">
        <v>242.97</v>
      </c>
      <c r="W48" s="18">
        <f t="shared" si="16"/>
        <v>8.7500000000000089</v>
      </c>
      <c r="X48" s="136"/>
      <c r="Y48" s="131">
        <v>242.97</v>
      </c>
      <c r="Z48" s="131">
        <v>185.63</v>
      </c>
      <c r="AA48" s="18">
        <f t="shared" si="17"/>
        <v>14.335000000000001</v>
      </c>
      <c r="AB48" s="136"/>
      <c r="AC48" s="131">
        <v>329.67</v>
      </c>
      <c r="AD48" s="131">
        <v>302.08</v>
      </c>
      <c r="AE48" s="18">
        <f t="shared" si="18"/>
        <v>9.1966666666666779</v>
      </c>
      <c r="AF48" s="136"/>
      <c r="AG48" s="131">
        <v>302.08</v>
      </c>
      <c r="AH48" s="131">
        <v>247.07</v>
      </c>
      <c r="AI48" s="18">
        <f t="shared" si="19"/>
        <v>13.752499999999998</v>
      </c>
      <c r="AJ48" s="136"/>
      <c r="AK48" s="131">
        <v>247.07</v>
      </c>
      <c r="AL48" s="131">
        <v>214</v>
      </c>
      <c r="AM48" s="18">
        <f t="shared" si="20"/>
        <v>11.023333333333332</v>
      </c>
      <c r="AN48" s="136"/>
      <c r="AO48" s="131">
        <v>214</v>
      </c>
      <c r="AP48" s="131">
        <v>188.23</v>
      </c>
      <c r="AQ48" s="18">
        <f t="shared" si="21"/>
        <v>12.885000000000005</v>
      </c>
      <c r="AR48" s="136"/>
      <c r="AS48" s="131">
        <v>274.58999999999997</v>
      </c>
      <c r="AT48" s="131">
        <v>198</v>
      </c>
      <c r="AU48" s="18">
        <f t="shared" si="23"/>
        <v>15.317999999999994</v>
      </c>
      <c r="AV48" s="136"/>
      <c r="AW48" s="136"/>
      <c r="AX48" s="136">
        <v>198</v>
      </c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</row>
    <row r="49" spans="1:61" ht="16">
      <c r="A49" s="22">
        <v>42</v>
      </c>
      <c r="B49" s="22" t="s">
        <v>51</v>
      </c>
      <c r="C49" s="22" t="s">
        <v>47</v>
      </c>
      <c r="D49" s="22" t="s">
        <v>49</v>
      </c>
      <c r="E49" s="132">
        <v>310.08999999999997</v>
      </c>
      <c r="F49" s="132">
        <v>288.88</v>
      </c>
      <c r="G49" s="25">
        <f t="shared" si="12"/>
        <v>7.0699999999999932</v>
      </c>
      <c r="H49" s="142"/>
      <c r="I49" s="132">
        <v>288.88</v>
      </c>
      <c r="J49" s="132">
        <v>263.51</v>
      </c>
      <c r="K49" s="25">
        <f t="shared" si="13"/>
        <v>6.3425000000000011</v>
      </c>
      <c r="L49" s="142"/>
      <c r="M49" s="132">
        <v>263.51</v>
      </c>
      <c r="N49" s="132">
        <v>244.51</v>
      </c>
      <c r="O49" s="25">
        <f t="shared" si="14"/>
        <v>6.333333333333333</v>
      </c>
      <c r="P49" s="142"/>
      <c r="Q49" s="132">
        <v>244.51</v>
      </c>
      <c r="R49" s="132">
        <v>219.95</v>
      </c>
      <c r="S49" s="25">
        <f t="shared" si="15"/>
        <v>6.1400000000000006</v>
      </c>
      <c r="T49" s="142"/>
      <c r="U49" s="132">
        <v>219.95</v>
      </c>
      <c r="V49" s="132">
        <v>201.44</v>
      </c>
      <c r="W49" s="25">
        <f t="shared" si="16"/>
        <v>6.1699999999999973</v>
      </c>
      <c r="X49" s="142"/>
      <c r="Y49" s="132">
        <v>201.44</v>
      </c>
      <c r="Z49" s="132">
        <v>174.56</v>
      </c>
      <c r="AA49" s="25">
        <f t="shared" si="17"/>
        <v>6.7199999999999989</v>
      </c>
      <c r="AB49" s="142"/>
      <c r="AC49" s="132">
        <v>252.51</v>
      </c>
      <c r="AD49" s="132">
        <v>229.11</v>
      </c>
      <c r="AE49" s="25">
        <f t="shared" si="18"/>
        <v>7.7999999999999927</v>
      </c>
      <c r="AF49" s="142"/>
      <c r="AG49" s="132">
        <v>229.11</v>
      </c>
      <c r="AH49" s="132">
        <v>201.45</v>
      </c>
      <c r="AI49" s="25">
        <f t="shared" si="19"/>
        <v>6.9150000000000063</v>
      </c>
      <c r="AJ49" s="142"/>
      <c r="AK49" s="132">
        <v>259.73</v>
      </c>
      <c r="AL49" s="132">
        <v>238.76</v>
      </c>
      <c r="AM49" s="25">
        <f t="shared" si="20"/>
        <v>6.9900000000000091</v>
      </c>
      <c r="AN49" s="142"/>
      <c r="AO49" s="132">
        <v>238.76</v>
      </c>
      <c r="AP49" s="132">
        <v>223.6</v>
      </c>
      <c r="AQ49" s="25">
        <f t="shared" si="21"/>
        <v>7.5799999999999983</v>
      </c>
      <c r="AR49" s="142"/>
      <c r="AS49" s="132">
        <v>367.88</v>
      </c>
      <c r="AT49" s="132">
        <v>327.5</v>
      </c>
      <c r="AU49" s="25">
        <f t="shared" si="23"/>
        <v>8.0759999999999987</v>
      </c>
      <c r="AV49" s="142"/>
      <c r="AW49" s="142"/>
      <c r="AX49" s="142">
        <v>327.5</v>
      </c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</row>
    <row r="50" spans="1:61" ht="16">
      <c r="A50" s="15">
        <v>43</v>
      </c>
      <c r="B50" s="15" t="s">
        <v>51</v>
      </c>
      <c r="C50" s="15" t="s">
        <v>50</v>
      </c>
      <c r="D50" s="15" t="s">
        <v>48</v>
      </c>
      <c r="E50" s="131">
        <v>316.75</v>
      </c>
      <c r="F50" s="131">
        <v>296.35000000000002</v>
      </c>
      <c r="G50" s="18">
        <f t="shared" si="12"/>
        <v>6.7999999999999927</v>
      </c>
      <c r="H50" s="136"/>
      <c r="I50" s="131">
        <v>296.35000000000002</v>
      </c>
      <c r="J50" s="131">
        <v>272.10000000000002</v>
      </c>
      <c r="K50" s="18">
        <f t="shared" si="13"/>
        <v>6.0625</v>
      </c>
      <c r="L50" s="136"/>
      <c r="M50" s="131">
        <v>272.10000000000002</v>
      </c>
      <c r="N50" s="131">
        <v>254.58</v>
      </c>
      <c r="O50" s="18">
        <f t="shared" si="14"/>
        <v>5.8400000000000034</v>
      </c>
      <c r="P50" s="136"/>
      <c r="Q50" s="131">
        <v>254.58</v>
      </c>
      <c r="R50" s="131">
        <v>226.74</v>
      </c>
      <c r="S50" s="18">
        <f t="shared" si="15"/>
        <v>6.9600000000000009</v>
      </c>
      <c r="T50" s="136"/>
      <c r="U50" s="131">
        <v>226.74</v>
      </c>
      <c r="V50" s="131">
        <v>210.59</v>
      </c>
      <c r="W50" s="18">
        <f t="shared" si="16"/>
        <v>5.3833333333333355</v>
      </c>
      <c r="X50" s="136"/>
      <c r="Y50" s="131">
        <v>210.59</v>
      </c>
      <c r="Z50" s="131">
        <v>186.78</v>
      </c>
      <c r="AA50" s="18">
        <f t="shared" si="17"/>
        <v>5.9525000000000006</v>
      </c>
      <c r="AB50" s="136"/>
      <c r="AC50" s="131">
        <v>240.4</v>
      </c>
      <c r="AD50" s="131">
        <v>218.78</v>
      </c>
      <c r="AE50" s="18">
        <f t="shared" si="18"/>
        <v>7.2066666666666679</v>
      </c>
      <c r="AF50" s="136"/>
      <c r="AG50" s="131">
        <v>218.78</v>
      </c>
      <c r="AH50" s="131">
        <v>195</v>
      </c>
      <c r="AI50" s="18">
        <f t="shared" si="19"/>
        <v>5.9450000000000003</v>
      </c>
      <c r="AJ50" s="136"/>
      <c r="AK50" s="131">
        <v>237.93</v>
      </c>
      <c r="AL50" s="131">
        <v>218.13</v>
      </c>
      <c r="AM50" s="18">
        <f t="shared" si="20"/>
        <v>6.6000000000000041</v>
      </c>
      <c r="AN50" s="136"/>
      <c r="AO50" s="131">
        <v>218.13</v>
      </c>
      <c r="AP50" s="131">
        <v>204.8</v>
      </c>
      <c r="AQ50" s="18">
        <f t="shared" si="21"/>
        <v>6.664999999999992</v>
      </c>
      <c r="AR50" s="136"/>
      <c r="AS50" s="131">
        <v>308.35000000000002</v>
      </c>
      <c r="AT50" s="131">
        <v>276.8</v>
      </c>
      <c r="AU50" s="18">
        <f t="shared" si="23"/>
        <v>6.3100000000000023</v>
      </c>
      <c r="AV50" s="136"/>
      <c r="AW50" s="136"/>
      <c r="AX50" s="136">
        <v>276.8</v>
      </c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</row>
    <row r="51" spans="1:61" ht="16">
      <c r="A51" s="22">
        <v>44</v>
      </c>
      <c r="B51" s="22" t="s">
        <v>51</v>
      </c>
      <c r="C51" s="22" t="s">
        <v>50</v>
      </c>
      <c r="D51" s="22" t="s">
        <v>49</v>
      </c>
      <c r="E51" s="132">
        <v>248.73</v>
      </c>
      <c r="F51" s="132">
        <v>229.01</v>
      </c>
      <c r="G51" s="25">
        <f t="shared" si="12"/>
        <v>6.5733333333333333</v>
      </c>
      <c r="H51" s="142"/>
      <c r="I51" s="132">
        <v>229.01</v>
      </c>
      <c r="J51" s="132">
        <v>204.75</v>
      </c>
      <c r="K51" s="25">
        <f t="shared" si="13"/>
        <v>6.0649999999999977</v>
      </c>
      <c r="L51" s="142"/>
      <c r="M51" s="132">
        <v>204.75</v>
      </c>
      <c r="N51" s="132">
        <v>190.41</v>
      </c>
      <c r="O51" s="25">
        <f t="shared" si="14"/>
        <v>4.7800000000000011</v>
      </c>
      <c r="P51" s="142"/>
      <c r="Q51" s="132">
        <v>190.41</v>
      </c>
      <c r="R51" s="132">
        <v>169.09</v>
      </c>
      <c r="S51" s="25">
        <f t="shared" si="15"/>
        <v>5.3299999999999983</v>
      </c>
      <c r="T51" s="142"/>
      <c r="U51" s="132">
        <v>248.15</v>
      </c>
      <c r="V51" s="132">
        <v>232.72</v>
      </c>
      <c r="W51" s="25">
        <f t="shared" si="16"/>
        <v>5.1433333333333353</v>
      </c>
      <c r="X51" s="142"/>
      <c r="Y51" s="132">
        <v>232.72</v>
      </c>
      <c r="Z51" s="132">
        <v>203.29</v>
      </c>
      <c r="AA51" s="25">
        <f t="shared" si="17"/>
        <v>7.3575000000000017</v>
      </c>
      <c r="AB51" s="142"/>
      <c r="AC51" s="132">
        <v>203.29</v>
      </c>
      <c r="AD51" s="132">
        <v>184.71</v>
      </c>
      <c r="AE51" s="25">
        <f t="shared" si="18"/>
        <v>6.193333333333328</v>
      </c>
      <c r="AF51" s="142"/>
      <c r="AG51" s="132">
        <v>184.71</v>
      </c>
      <c r="AH51" s="132">
        <v>164.01</v>
      </c>
      <c r="AI51" s="25">
        <f t="shared" si="19"/>
        <v>5.1750000000000043</v>
      </c>
      <c r="AJ51" s="142"/>
      <c r="AK51" s="132">
        <v>232.82</v>
      </c>
      <c r="AL51" s="132">
        <v>213.33</v>
      </c>
      <c r="AM51" s="25">
        <f t="shared" si="20"/>
        <v>6.4966666666666599</v>
      </c>
      <c r="AN51" s="142"/>
      <c r="AO51" s="132">
        <v>213.33</v>
      </c>
      <c r="AP51" s="132">
        <v>201.6</v>
      </c>
      <c r="AQ51" s="25">
        <f t="shared" si="21"/>
        <v>5.8650000000000091</v>
      </c>
      <c r="AR51" s="142"/>
      <c r="AS51" s="132">
        <v>306.74</v>
      </c>
      <c r="AT51" s="132">
        <v>280</v>
      </c>
      <c r="AU51" s="25">
        <f t="shared" si="23"/>
        <v>5.3480000000000016</v>
      </c>
      <c r="AV51" s="142"/>
      <c r="AW51" s="142"/>
      <c r="AX51" s="142">
        <v>280</v>
      </c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</row>
    <row r="52" spans="1:61" ht="16">
      <c r="A52" s="15">
        <v>45</v>
      </c>
      <c r="B52" s="15" t="s">
        <v>51</v>
      </c>
      <c r="C52" s="15" t="s">
        <v>50</v>
      </c>
      <c r="D52" s="15" t="s">
        <v>48</v>
      </c>
      <c r="E52" s="131">
        <v>255.68</v>
      </c>
      <c r="F52" s="131">
        <v>237.59</v>
      </c>
      <c r="G52" s="18">
        <f t="shared" si="12"/>
        <v>6.0300000000000011</v>
      </c>
      <c r="H52" s="136"/>
      <c r="I52" s="131">
        <v>237.59</v>
      </c>
      <c r="J52" s="131">
        <v>215.14</v>
      </c>
      <c r="K52" s="18">
        <f t="shared" si="13"/>
        <v>5.6125000000000043</v>
      </c>
      <c r="L52" s="136"/>
      <c r="M52" s="131">
        <v>215.14</v>
      </c>
      <c r="N52" s="131">
        <v>199.3</v>
      </c>
      <c r="O52" s="18">
        <f t="shared" si="14"/>
        <v>5.2799999999999914</v>
      </c>
      <c r="P52" s="136"/>
      <c r="Q52" s="131">
        <v>199.3</v>
      </c>
      <c r="R52" s="131">
        <v>176.24</v>
      </c>
      <c r="S52" s="18">
        <f t="shared" si="15"/>
        <v>5.7650000000000006</v>
      </c>
      <c r="T52" s="136"/>
      <c r="U52" s="131">
        <v>262.54000000000002</v>
      </c>
      <c r="V52" s="131">
        <v>247.54</v>
      </c>
      <c r="W52" s="18">
        <f t="shared" si="16"/>
        <v>5.0000000000000098</v>
      </c>
      <c r="X52" s="136"/>
      <c r="Y52" s="131">
        <v>247.54</v>
      </c>
      <c r="Z52" s="131">
        <v>206.75</v>
      </c>
      <c r="AA52" s="18">
        <f t="shared" si="17"/>
        <v>10.197499999999998</v>
      </c>
      <c r="AB52" s="136"/>
      <c r="AC52" s="131">
        <v>206.75</v>
      </c>
      <c r="AD52" s="131">
        <v>188.1</v>
      </c>
      <c r="AE52" s="18">
        <f t="shared" si="18"/>
        <v>6.2166666666666686</v>
      </c>
      <c r="AF52" s="136"/>
      <c r="AG52" s="131">
        <v>188.1</v>
      </c>
      <c r="AH52" s="131">
        <v>167.11</v>
      </c>
      <c r="AI52" s="18">
        <f t="shared" si="19"/>
        <v>5.2474999999999952</v>
      </c>
      <c r="AJ52" s="136"/>
      <c r="AK52" s="131">
        <v>222.24</v>
      </c>
      <c r="AL52" s="131">
        <v>204.46</v>
      </c>
      <c r="AM52" s="18">
        <f t="shared" si="20"/>
        <v>5.9266666666666667</v>
      </c>
      <c r="AN52" s="136"/>
      <c r="AO52" s="131">
        <v>204.46</v>
      </c>
      <c r="AP52" s="131">
        <v>193.44</v>
      </c>
      <c r="AQ52" s="18">
        <f t="shared" si="21"/>
        <v>5.5100000000000051</v>
      </c>
      <c r="AR52" s="136"/>
      <c r="AS52" s="131">
        <v>295.89</v>
      </c>
      <c r="AT52" s="131">
        <v>261.3</v>
      </c>
      <c r="AU52" s="18">
        <f t="shared" si="23"/>
        <v>6.9179999999999948</v>
      </c>
      <c r="AV52" s="136"/>
      <c r="AW52" s="136"/>
      <c r="AX52" s="136">
        <v>261.3</v>
      </c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</row>
    <row r="53" spans="1:61" ht="16">
      <c r="A53" s="22">
        <v>46</v>
      </c>
      <c r="B53" s="22" t="s">
        <v>51</v>
      </c>
      <c r="C53" s="22" t="s">
        <v>50</v>
      </c>
      <c r="D53" s="22" t="s">
        <v>49</v>
      </c>
      <c r="E53" s="132">
        <v>287.52999999999997</v>
      </c>
      <c r="F53" s="132">
        <v>263.01</v>
      </c>
      <c r="G53" s="25">
        <f t="shared" si="12"/>
        <v>8.1733333333333267</v>
      </c>
      <c r="H53" s="142"/>
      <c r="I53" s="132">
        <v>263.01</v>
      </c>
      <c r="J53" s="132">
        <v>237.77</v>
      </c>
      <c r="K53" s="25">
        <f t="shared" si="13"/>
        <v>6.3099999999999952</v>
      </c>
      <c r="L53" s="142"/>
      <c r="M53" s="132">
        <v>237.77</v>
      </c>
      <c r="N53" s="132">
        <v>219.81</v>
      </c>
      <c r="O53" s="25">
        <f t="shared" si="14"/>
        <v>5.986666666666669</v>
      </c>
      <c r="P53" s="142"/>
      <c r="Q53" s="132">
        <v>219.81</v>
      </c>
      <c r="R53" s="132">
        <v>196.69</v>
      </c>
      <c r="S53" s="25">
        <f t="shared" si="15"/>
        <v>5.7800000000000011</v>
      </c>
      <c r="T53" s="142"/>
      <c r="U53" s="132">
        <v>287.45999999999998</v>
      </c>
      <c r="V53" s="132">
        <v>271.85000000000002</v>
      </c>
      <c r="W53" s="25">
        <f t="shared" si="16"/>
        <v>5.2033333333333189</v>
      </c>
      <c r="X53" s="142"/>
      <c r="Y53" s="132">
        <v>271.85000000000002</v>
      </c>
      <c r="Z53" s="132">
        <v>252.02</v>
      </c>
      <c r="AA53" s="25">
        <f t="shared" si="17"/>
        <v>4.9575000000000031</v>
      </c>
      <c r="AB53" s="142"/>
      <c r="AC53" s="132">
        <v>252.02</v>
      </c>
      <c r="AD53" s="132">
        <v>233.8</v>
      </c>
      <c r="AE53" s="25">
        <f t="shared" si="18"/>
        <v>6.0733333333333333</v>
      </c>
      <c r="AF53" s="142"/>
      <c r="AG53" s="132">
        <v>233.8</v>
      </c>
      <c r="AH53" s="132">
        <v>211.93</v>
      </c>
      <c r="AI53" s="25">
        <f t="shared" si="19"/>
        <v>5.4675000000000011</v>
      </c>
      <c r="AJ53" s="142"/>
      <c r="AK53" s="132">
        <v>219.46</v>
      </c>
      <c r="AL53" s="132">
        <v>202.24</v>
      </c>
      <c r="AM53" s="25">
        <f t="shared" si="20"/>
        <v>5.7399999999999993</v>
      </c>
      <c r="AN53" s="142"/>
      <c r="AO53" s="132">
        <v>202.24</v>
      </c>
      <c r="AP53" s="132">
        <v>187.72</v>
      </c>
      <c r="AQ53" s="25">
        <f t="shared" si="21"/>
        <v>7.2600000000000051</v>
      </c>
      <c r="AR53" s="142"/>
      <c r="AS53" s="132">
        <v>313.02999999999997</v>
      </c>
      <c r="AT53" s="132">
        <v>283</v>
      </c>
      <c r="AU53" s="25">
        <f t="shared" si="23"/>
        <v>6.0059999999999949</v>
      </c>
      <c r="AV53" s="142"/>
      <c r="AW53" s="142"/>
      <c r="AX53" s="142">
        <v>283</v>
      </c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</row>
    <row r="54" spans="1:61" ht="16">
      <c r="A54" s="59">
        <v>47</v>
      </c>
      <c r="B54" s="59" t="s">
        <v>51</v>
      </c>
      <c r="C54" s="59" t="s">
        <v>50</v>
      </c>
      <c r="D54" s="59" t="s">
        <v>49</v>
      </c>
      <c r="E54" s="132">
        <v>354.57</v>
      </c>
      <c r="F54" s="132">
        <v>329.07</v>
      </c>
      <c r="G54" s="25">
        <f t="shared" si="12"/>
        <v>8.5</v>
      </c>
      <c r="H54" s="142"/>
      <c r="I54" s="132">
        <v>329.07</v>
      </c>
      <c r="J54" s="132">
        <v>298.58</v>
      </c>
      <c r="K54" s="25">
        <f t="shared" si="13"/>
        <v>7.6225000000000023</v>
      </c>
      <c r="L54" s="142"/>
      <c r="M54" s="132">
        <v>298.58</v>
      </c>
      <c r="N54" s="132">
        <v>278.56</v>
      </c>
      <c r="O54" s="25">
        <f t="shared" si="14"/>
        <v>6.6733333333333276</v>
      </c>
      <c r="P54" s="142"/>
      <c r="Q54" s="132">
        <v>278.56</v>
      </c>
      <c r="R54" s="132">
        <v>249.86</v>
      </c>
      <c r="S54" s="25">
        <f t="shared" si="15"/>
        <v>7.1749999999999972</v>
      </c>
      <c r="T54" s="142"/>
      <c r="U54" s="132">
        <v>249.86</v>
      </c>
      <c r="V54" s="132">
        <v>230.46</v>
      </c>
      <c r="W54" s="25">
        <f t="shared" si="16"/>
        <v>6.4666666666666686</v>
      </c>
      <c r="X54" s="142"/>
      <c r="Y54" s="132">
        <v>230.46</v>
      </c>
      <c r="Z54" s="132">
        <v>175.82</v>
      </c>
      <c r="AA54" s="25">
        <f t="shared" si="17"/>
        <v>13.660000000000004</v>
      </c>
      <c r="AB54" s="142"/>
      <c r="AC54" s="132">
        <v>256.86</v>
      </c>
      <c r="AD54" s="132">
        <v>234.89</v>
      </c>
      <c r="AE54" s="25">
        <f t="shared" si="18"/>
        <v>7.3233333333333421</v>
      </c>
      <c r="AF54" s="142"/>
      <c r="AG54" s="132">
        <v>234.89</v>
      </c>
      <c r="AH54" s="132">
        <v>207.38</v>
      </c>
      <c r="AI54" s="25">
        <f t="shared" si="19"/>
        <v>6.8774999999999977</v>
      </c>
      <c r="AJ54" s="142"/>
      <c r="AK54" s="132">
        <v>216.84</v>
      </c>
      <c r="AL54" s="132">
        <v>196.86</v>
      </c>
      <c r="AM54" s="25">
        <f t="shared" si="20"/>
        <v>6.6599999999999966</v>
      </c>
      <c r="AN54" s="142"/>
      <c r="AO54" s="132">
        <v>196.86</v>
      </c>
      <c r="AP54" s="132">
        <v>182.51</v>
      </c>
      <c r="AQ54" s="25">
        <f t="shared" si="21"/>
        <v>7.1750000000000114</v>
      </c>
      <c r="AR54" s="142"/>
      <c r="AS54" s="132">
        <v>297.45999999999998</v>
      </c>
      <c r="AT54" s="132">
        <v>263.5</v>
      </c>
      <c r="AU54" s="25">
        <f t="shared" si="23"/>
        <v>6.7919999999999963</v>
      </c>
      <c r="AV54" s="142"/>
      <c r="AW54" s="142"/>
      <c r="AX54" s="142">
        <v>263.5</v>
      </c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</row>
    <row r="55" spans="1:61" ht="16">
      <c r="A55" s="62">
        <v>48</v>
      </c>
      <c r="B55" s="62" t="s">
        <v>51</v>
      </c>
      <c r="C55" s="62" t="s">
        <v>50</v>
      </c>
      <c r="D55" s="62" t="s">
        <v>48</v>
      </c>
      <c r="E55" s="131">
        <v>307.95999999999998</v>
      </c>
      <c r="F55" s="131">
        <v>290.64</v>
      </c>
      <c r="G55" s="18">
        <f t="shared" si="12"/>
        <v>5.7733333333333308</v>
      </c>
      <c r="H55" s="136"/>
      <c r="I55" s="131">
        <v>290.64</v>
      </c>
      <c r="J55" s="131">
        <v>272.39</v>
      </c>
      <c r="K55" s="18">
        <f t="shared" si="13"/>
        <v>4.5625</v>
      </c>
      <c r="L55" s="136"/>
      <c r="M55" s="131">
        <v>272.39</v>
      </c>
      <c r="N55" s="131">
        <v>257.98</v>
      </c>
      <c r="O55" s="18">
        <f t="shared" si="14"/>
        <v>4.803333333333323</v>
      </c>
      <c r="P55" s="136"/>
      <c r="Q55" s="131">
        <v>257.98</v>
      </c>
      <c r="R55" s="131">
        <v>238.3</v>
      </c>
      <c r="S55" s="18">
        <f t="shared" si="15"/>
        <v>4.9200000000000017</v>
      </c>
      <c r="T55" s="136"/>
      <c r="U55" s="131">
        <v>238.3</v>
      </c>
      <c r="V55" s="131">
        <v>227.01</v>
      </c>
      <c r="W55" s="18">
        <f t="shared" si="16"/>
        <v>3.7633333333333403</v>
      </c>
      <c r="X55" s="136"/>
      <c r="Y55" s="131">
        <v>227.01</v>
      </c>
      <c r="Z55" s="131">
        <v>200.51</v>
      </c>
      <c r="AA55" s="18">
        <f t="shared" si="17"/>
        <v>6.625</v>
      </c>
      <c r="AB55" s="136"/>
      <c r="AC55" s="131">
        <v>290.61</v>
      </c>
      <c r="AD55" s="131">
        <v>273.7</v>
      </c>
      <c r="AE55" s="18">
        <f t="shared" si="18"/>
        <v>5.6366666666666747</v>
      </c>
      <c r="AF55" s="136"/>
      <c r="AG55" s="131">
        <v>273.7</v>
      </c>
      <c r="AH55" s="131">
        <v>254.88</v>
      </c>
      <c r="AI55" s="18">
        <f t="shared" si="19"/>
        <v>4.7049999999999983</v>
      </c>
      <c r="AJ55" s="136"/>
      <c r="AK55" s="131">
        <v>254.88</v>
      </c>
      <c r="AL55" s="131">
        <v>239.57</v>
      </c>
      <c r="AM55" s="18">
        <f t="shared" si="20"/>
        <v>5.1033333333333344</v>
      </c>
      <c r="AN55" s="136"/>
      <c r="AO55" s="131">
        <v>239.57</v>
      </c>
      <c r="AP55" s="131">
        <v>230.15</v>
      </c>
      <c r="AQ55" s="18">
        <f t="shared" si="21"/>
        <v>4.7099999999999937</v>
      </c>
      <c r="AR55" s="136"/>
      <c r="AS55" s="131">
        <v>309.42</v>
      </c>
      <c r="AT55" s="131">
        <v>281.2</v>
      </c>
      <c r="AU55" s="18">
        <f t="shared" si="23"/>
        <v>5.6440000000000055</v>
      </c>
      <c r="AV55" s="136"/>
      <c r="AW55" s="136"/>
      <c r="AX55" s="136">
        <v>281.2</v>
      </c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</row>
    <row r="56" spans="1:61" ht="41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 t="s">
        <v>249</v>
      </c>
      <c r="AR56" s="136"/>
      <c r="AT56" s="1" t="s">
        <v>250</v>
      </c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</row>
    <row r="57" spans="1:61" ht="29.25" customHeight="1">
      <c r="A57" s="234" t="s">
        <v>59</v>
      </c>
      <c r="B57" s="234" t="s">
        <v>0</v>
      </c>
      <c r="C57" s="234" t="s">
        <v>1</v>
      </c>
      <c r="D57" s="234" t="s">
        <v>2</v>
      </c>
      <c r="E57" s="259" t="s">
        <v>251</v>
      </c>
      <c r="F57" s="259" t="s">
        <v>252</v>
      </c>
      <c r="G57" s="259" t="s">
        <v>253</v>
      </c>
      <c r="H57" s="143"/>
      <c r="I57" s="259" t="s">
        <v>254</v>
      </c>
      <c r="J57" s="259" t="s">
        <v>255</v>
      </c>
      <c r="K57" s="259" t="s">
        <v>256</v>
      </c>
      <c r="L57" s="144"/>
      <c r="M57" s="259" t="s">
        <v>257</v>
      </c>
      <c r="N57" s="259" t="s">
        <v>258</v>
      </c>
      <c r="O57" s="259" t="s">
        <v>259</v>
      </c>
      <c r="P57" s="143"/>
      <c r="Q57" s="259" t="s">
        <v>260</v>
      </c>
      <c r="R57" s="259" t="s">
        <v>261</v>
      </c>
      <c r="S57" s="259" t="s">
        <v>262</v>
      </c>
      <c r="T57" s="144"/>
      <c r="U57" s="259" t="s">
        <v>263</v>
      </c>
      <c r="V57" s="259" t="s">
        <v>264</v>
      </c>
      <c r="W57" s="259" t="s">
        <v>265</v>
      </c>
      <c r="X57" s="143"/>
      <c r="Y57" s="259" t="s">
        <v>266</v>
      </c>
      <c r="Z57" s="259" t="s">
        <v>267</v>
      </c>
      <c r="AA57" s="259" t="s">
        <v>268</v>
      </c>
      <c r="AB57" s="144"/>
      <c r="AC57" s="259" t="s">
        <v>269</v>
      </c>
      <c r="AD57" s="259">
        <v>207.02</v>
      </c>
      <c r="AE57" s="259" t="s">
        <v>270</v>
      </c>
      <c r="AF57" s="143"/>
      <c r="AG57" s="259" t="s">
        <v>271</v>
      </c>
      <c r="AH57" s="259" t="s">
        <v>272</v>
      </c>
      <c r="AI57" s="259" t="s">
        <v>273</v>
      </c>
      <c r="AJ57" s="144"/>
      <c r="AK57" s="259" t="s">
        <v>274</v>
      </c>
      <c r="AL57" s="259" t="s">
        <v>275</v>
      </c>
      <c r="AM57" s="259" t="s">
        <v>276</v>
      </c>
      <c r="AN57" s="143"/>
      <c r="AO57" s="259" t="s">
        <v>277</v>
      </c>
      <c r="AP57" s="259" t="s">
        <v>278</v>
      </c>
      <c r="AQ57" s="259" t="s">
        <v>279</v>
      </c>
      <c r="AR57" s="145"/>
      <c r="AS57" s="259" t="s">
        <v>280</v>
      </c>
      <c r="AT57" s="259" t="s">
        <v>281</v>
      </c>
      <c r="AU57" s="259" t="s">
        <v>282</v>
      </c>
      <c r="AV57" s="143"/>
      <c r="AW57" s="269" t="s">
        <v>283</v>
      </c>
      <c r="AX57" s="269" t="s">
        <v>284</v>
      </c>
      <c r="AY57" s="270" t="s">
        <v>236</v>
      </c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</row>
    <row r="58" spans="1:61">
      <c r="A58" s="235"/>
      <c r="B58" s="235"/>
      <c r="C58" s="235"/>
      <c r="D58" s="235"/>
      <c r="E58" s="235"/>
      <c r="F58" s="235"/>
      <c r="G58" s="235"/>
      <c r="H58" s="136"/>
      <c r="I58" s="235"/>
      <c r="J58" s="235"/>
      <c r="K58" s="235"/>
      <c r="M58" s="235"/>
      <c r="N58" s="235"/>
      <c r="O58" s="235"/>
      <c r="P58" s="136"/>
      <c r="Q58" s="235"/>
      <c r="R58" s="235"/>
      <c r="S58" s="235"/>
      <c r="U58" s="235"/>
      <c r="V58" s="235"/>
      <c r="W58" s="235"/>
      <c r="X58" s="136"/>
      <c r="Y58" s="235"/>
      <c r="Z58" s="235"/>
      <c r="AA58" s="235"/>
      <c r="AC58" s="235"/>
      <c r="AD58" s="235"/>
      <c r="AE58" s="235"/>
      <c r="AF58" s="136"/>
      <c r="AG58" s="235"/>
      <c r="AH58" s="235"/>
      <c r="AI58" s="235"/>
      <c r="AK58" s="235"/>
      <c r="AL58" s="235"/>
      <c r="AM58" s="235"/>
      <c r="AN58" s="136"/>
      <c r="AO58" s="235"/>
      <c r="AP58" s="235"/>
      <c r="AQ58" s="235"/>
      <c r="AS58" s="235"/>
      <c r="AT58" s="235"/>
      <c r="AU58" s="235"/>
      <c r="AV58" s="136"/>
      <c r="AW58" s="264"/>
      <c r="AX58" s="264"/>
      <c r="AY58" s="264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</row>
    <row r="59" spans="1:61" ht="16">
      <c r="A59" s="15">
        <v>49</v>
      </c>
      <c r="B59" s="15" t="s">
        <v>46</v>
      </c>
      <c r="C59" s="15" t="s">
        <v>50</v>
      </c>
      <c r="D59" s="15" t="s">
        <v>48</v>
      </c>
      <c r="E59" s="131">
        <v>322.10000000000002</v>
      </c>
      <c r="F59" s="131">
        <v>303.05</v>
      </c>
      <c r="G59" s="18">
        <f t="shared" ref="G59:G81" si="24">((E59-F59)/3)</f>
        <v>6.3500000000000041</v>
      </c>
      <c r="H59" s="136"/>
      <c r="I59" s="131">
        <v>303.05</v>
      </c>
      <c r="J59" s="131">
        <v>286.10000000000002</v>
      </c>
      <c r="K59" s="18">
        <f t="shared" ref="K59:K81" si="25">((I59-J59)/4)</f>
        <v>4.2374999999999972</v>
      </c>
      <c r="L59" s="136"/>
      <c r="M59" s="131">
        <v>286.10000000000002</v>
      </c>
      <c r="N59" s="131">
        <v>271.68</v>
      </c>
      <c r="O59" s="18">
        <f t="shared" ref="O59:O81" si="26">((M59-N59)/4)</f>
        <v>3.605000000000004</v>
      </c>
      <c r="P59" s="136"/>
      <c r="Q59" s="131">
        <v>271.68</v>
      </c>
      <c r="R59" s="131">
        <v>255.1</v>
      </c>
      <c r="S59" s="18">
        <f t="shared" ref="S59:S81" si="27">((Q59-R59)/4)</f>
        <v>4.1450000000000031</v>
      </c>
      <c r="T59" s="136"/>
      <c r="U59" s="131">
        <v>255.1</v>
      </c>
      <c r="V59" s="131">
        <v>242.18</v>
      </c>
      <c r="W59" s="18">
        <f t="shared" ref="W59:W81" si="28">((U59-V59)/3)</f>
        <v>4.3066666666666622</v>
      </c>
      <c r="X59" s="136"/>
      <c r="Y59" s="131">
        <v>242.18</v>
      </c>
      <c r="Z59" s="131">
        <v>219.61</v>
      </c>
      <c r="AA59" s="18">
        <f t="shared" ref="AA59:AA81" si="29">((Y59-Z59)/4)</f>
        <v>5.6424999999999983</v>
      </c>
      <c r="AB59" s="136"/>
      <c r="AC59" s="131">
        <v>219.61</v>
      </c>
      <c r="AD59" s="131">
        <v>207.02</v>
      </c>
      <c r="AE59" s="18">
        <f t="shared" ref="AE59:AE81" si="30">((AC59-AD59)/3)</f>
        <v>4.1966666666666681</v>
      </c>
      <c r="AF59" s="136"/>
      <c r="AG59" s="131">
        <v>207.02</v>
      </c>
      <c r="AH59" s="131">
        <v>181.31</v>
      </c>
      <c r="AI59" s="18">
        <f t="shared" ref="AI59:AI81" si="31">((AG59-AH59)/7)</f>
        <v>3.6728571428571439</v>
      </c>
      <c r="AJ59" s="136"/>
      <c r="AK59" s="131"/>
      <c r="AL59" s="131"/>
      <c r="AM59" s="18"/>
      <c r="AN59" s="136"/>
      <c r="AO59" s="148"/>
      <c r="AP59" s="131" t="s">
        <v>285</v>
      </c>
      <c r="AQ59" s="18"/>
      <c r="AR59" s="136"/>
      <c r="AS59" s="131">
        <v>380.36</v>
      </c>
      <c r="AT59" s="131">
        <v>354.66</v>
      </c>
      <c r="AU59" s="18">
        <f t="shared" ref="AU59:AU82" si="32">((AT59-AS59)/5)</f>
        <v>-5.1399999999999979</v>
      </c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</row>
    <row r="60" spans="1:61" ht="16">
      <c r="A60" s="15">
        <v>50</v>
      </c>
      <c r="B60" s="15" t="s">
        <v>46</v>
      </c>
      <c r="C60" s="15" t="s">
        <v>50</v>
      </c>
      <c r="D60" s="15" t="s">
        <v>49</v>
      </c>
      <c r="E60" s="131">
        <v>299.29000000000002</v>
      </c>
      <c r="F60" s="131">
        <v>279.60000000000002</v>
      </c>
      <c r="G60" s="18">
        <f t="shared" si="24"/>
        <v>6.5633333333333326</v>
      </c>
      <c r="H60" s="136"/>
      <c r="I60" s="131">
        <v>279.60000000000002</v>
      </c>
      <c r="J60" s="131">
        <v>248.51</v>
      </c>
      <c r="K60" s="18">
        <f t="shared" si="25"/>
        <v>7.772500000000008</v>
      </c>
      <c r="L60" s="136"/>
      <c r="M60" s="131">
        <v>248.51</v>
      </c>
      <c r="N60" s="131">
        <v>231.41</v>
      </c>
      <c r="O60" s="18">
        <f t="shared" si="26"/>
        <v>4.2749999999999986</v>
      </c>
      <c r="P60" s="136"/>
      <c r="Q60" s="131">
        <v>231.41</v>
      </c>
      <c r="R60" s="131">
        <v>211.1</v>
      </c>
      <c r="S60" s="18">
        <f t="shared" si="27"/>
        <v>5.0775000000000006</v>
      </c>
      <c r="T60" s="136"/>
      <c r="U60" s="131">
        <v>211.1</v>
      </c>
      <c r="V60" s="131">
        <v>195.4</v>
      </c>
      <c r="W60" s="18">
        <f t="shared" si="28"/>
        <v>5.2333333333333298</v>
      </c>
      <c r="X60" s="136"/>
      <c r="Y60" s="131">
        <v>195.4</v>
      </c>
      <c r="Z60" s="131">
        <v>177.89</v>
      </c>
      <c r="AA60" s="18">
        <f t="shared" si="29"/>
        <v>4.3775000000000048</v>
      </c>
      <c r="AB60" s="136"/>
      <c r="AC60" s="131">
        <v>177.89</v>
      </c>
      <c r="AD60" s="131">
        <v>164.01</v>
      </c>
      <c r="AE60" s="18">
        <f t="shared" si="30"/>
        <v>4.6266666666666652</v>
      </c>
      <c r="AF60" s="136"/>
      <c r="AG60" s="131">
        <v>164.01</v>
      </c>
      <c r="AH60" s="131">
        <v>138.09</v>
      </c>
      <c r="AI60" s="18">
        <f t="shared" si="31"/>
        <v>3.7028571428571411</v>
      </c>
      <c r="AJ60" s="136"/>
      <c r="AK60" s="131"/>
      <c r="AL60" s="131"/>
      <c r="AM60" s="18"/>
      <c r="AN60" s="136"/>
      <c r="AO60" s="149"/>
      <c r="AP60" s="131" t="s">
        <v>285</v>
      </c>
      <c r="AQ60" s="18"/>
      <c r="AR60" s="136"/>
      <c r="AS60" s="131">
        <v>378.95</v>
      </c>
      <c r="AT60" s="131">
        <v>360.15</v>
      </c>
      <c r="AU60" s="18">
        <f t="shared" si="32"/>
        <v>-3.7600000000000025</v>
      </c>
      <c r="AV60" s="136"/>
      <c r="AW60" s="136"/>
      <c r="AX60" s="136"/>
      <c r="AY60" s="136"/>
      <c r="AZ60" s="136"/>
      <c r="BA60" s="136"/>
      <c r="BB60" s="142"/>
      <c r="BC60" s="142"/>
      <c r="BD60" s="142"/>
      <c r="BE60" s="142"/>
      <c r="BF60" s="142"/>
      <c r="BG60" s="142"/>
      <c r="BH60" s="142"/>
      <c r="BI60" s="142"/>
    </row>
    <row r="61" spans="1:61" ht="16">
      <c r="A61" s="15">
        <v>51</v>
      </c>
      <c r="B61" s="15" t="s">
        <v>46</v>
      </c>
      <c r="C61" s="15" t="s">
        <v>50</v>
      </c>
      <c r="D61" s="15" t="s">
        <v>48</v>
      </c>
      <c r="E61" s="131">
        <v>305.61</v>
      </c>
      <c r="F61" s="131">
        <v>272</v>
      </c>
      <c r="G61" s="18">
        <f t="shared" si="24"/>
        <v>11.203333333333338</v>
      </c>
      <c r="H61" s="136"/>
      <c r="I61" s="131">
        <v>272</v>
      </c>
      <c r="J61" s="131">
        <v>242.59</v>
      </c>
      <c r="K61" s="18">
        <f t="shared" si="25"/>
        <v>7.3524999999999991</v>
      </c>
      <c r="L61" s="136"/>
      <c r="M61" s="131">
        <v>242.59</v>
      </c>
      <c r="N61" s="131">
        <v>227.1</v>
      </c>
      <c r="O61" s="18">
        <f t="shared" si="26"/>
        <v>3.8725000000000023</v>
      </c>
      <c r="P61" s="136"/>
      <c r="Q61" s="131">
        <v>227.1</v>
      </c>
      <c r="R61" s="131">
        <v>209.47</v>
      </c>
      <c r="S61" s="18">
        <f t="shared" si="27"/>
        <v>4.4074999999999989</v>
      </c>
      <c r="T61" s="136"/>
      <c r="U61" s="131">
        <v>209.47</v>
      </c>
      <c r="V61" s="131">
        <v>199.89</v>
      </c>
      <c r="W61" s="18">
        <f t="shared" si="28"/>
        <v>3.1933333333333374</v>
      </c>
      <c r="X61" s="136"/>
      <c r="Y61" s="131">
        <v>199.89</v>
      </c>
      <c r="Z61" s="131">
        <v>174</v>
      </c>
      <c r="AA61" s="18">
        <f t="shared" si="29"/>
        <v>6.4724999999999966</v>
      </c>
      <c r="AB61" s="136"/>
      <c r="AC61" s="131">
        <v>174</v>
      </c>
      <c r="AD61" s="131">
        <v>152.80000000000001</v>
      </c>
      <c r="AE61" s="18">
        <f t="shared" si="30"/>
        <v>7.0666666666666629</v>
      </c>
      <c r="AF61" s="136"/>
      <c r="AG61" s="131">
        <v>152.80000000000001</v>
      </c>
      <c r="AH61" s="131">
        <v>132.02000000000001</v>
      </c>
      <c r="AI61" s="18">
        <f t="shared" si="31"/>
        <v>2.9685714285714289</v>
      </c>
      <c r="AJ61" s="136"/>
      <c r="AK61" s="131"/>
      <c r="AL61" s="131"/>
      <c r="AM61" s="18"/>
      <c r="AN61" s="136"/>
      <c r="AO61" s="149"/>
      <c r="AP61" s="131" t="s">
        <v>285</v>
      </c>
      <c r="AQ61" s="18"/>
      <c r="AR61" s="136"/>
      <c r="AS61" s="131">
        <v>340.16</v>
      </c>
      <c r="AT61" s="131">
        <v>313.07</v>
      </c>
      <c r="AU61" s="18">
        <f t="shared" si="32"/>
        <v>-5.4180000000000064</v>
      </c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</row>
    <row r="62" spans="1:61" ht="16">
      <c r="A62" s="15">
        <v>52</v>
      </c>
      <c r="B62" s="15" t="s">
        <v>46</v>
      </c>
      <c r="C62" s="15" t="s">
        <v>50</v>
      </c>
      <c r="D62" s="15" t="s">
        <v>49</v>
      </c>
      <c r="E62" s="131">
        <v>337.3</v>
      </c>
      <c r="F62" s="131">
        <v>303.60000000000002</v>
      </c>
      <c r="G62" s="18">
        <f t="shared" si="24"/>
        <v>11.233333333333329</v>
      </c>
      <c r="H62" s="136"/>
      <c r="I62" s="131">
        <v>303.60000000000002</v>
      </c>
      <c r="J62" s="131">
        <v>284.86</v>
      </c>
      <c r="K62" s="18">
        <f t="shared" si="25"/>
        <v>4.6850000000000023</v>
      </c>
      <c r="L62" s="136"/>
      <c r="M62" s="131">
        <v>284.86</v>
      </c>
      <c r="N62" s="131">
        <v>274.51</v>
      </c>
      <c r="O62" s="18">
        <f t="shared" si="26"/>
        <v>2.5875000000000057</v>
      </c>
      <c r="P62" s="136"/>
      <c r="Q62" s="131">
        <v>274.51</v>
      </c>
      <c r="R62" s="131">
        <v>262.64</v>
      </c>
      <c r="S62" s="18">
        <f t="shared" si="27"/>
        <v>2.9675000000000011</v>
      </c>
      <c r="T62" s="136"/>
      <c r="U62" s="131">
        <v>262.64</v>
      </c>
      <c r="V62" s="131">
        <v>248.95</v>
      </c>
      <c r="W62" s="18">
        <f t="shared" si="28"/>
        <v>4.5633333333333326</v>
      </c>
      <c r="X62" s="136"/>
      <c r="Y62" s="131">
        <v>248.95</v>
      </c>
      <c r="Z62" s="131">
        <v>225.73</v>
      </c>
      <c r="AA62" s="18">
        <f t="shared" si="29"/>
        <v>5.8049999999999997</v>
      </c>
      <c r="AB62" s="136"/>
      <c r="AC62" s="131">
        <v>225.73</v>
      </c>
      <c r="AD62" s="131">
        <v>211.41</v>
      </c>
      <c r="AE62" s="18">
        <f t="shared" si="30"/>
        <v>4.7733333333333308</v>
      </c>
      <c r="AF62" s="136"/>
      <c r="AG62" s="131">
        <v>211.41</v>
      </c>
      <c r="AH62" s="131">
        <v>189.67</v>
      </c>
      <c r="AI62" s="18">
        <f t="shared" si="31"/>
        <v>3.1057142857142872</v>
      </c>
      <c r="AJ62" s="136"/>
      <c r="AK62" s="131"/>
      <c r="AL62" s="131"/>
      <c r="AM62" s="18"/>
      <c r="AN62" s="136"/>
      <c r="AO62" s="149"/>
      <c r="AP62" s="131" t="s">
        <v>285</v>
      </c>
      <c r="AQ62" s="18"/>
      <c r="AR62" s="136"/>
      <c r="AS62" s="131">
        <v>378.4</v>
      </c>
      <c r="AT62" s="131">
        <v>359.28</v>
      </c>
      <c r="AU62" s="18">
        <f t="shared" si="32"/>
        <v>-3.8240000000000007</v>
      </c>
      <c r="AV62" s="136"/>
      <c r="AW62" s="136"/>
      <c r="AX62" s="136"/>
      <c r="AY62" s="136"/>
      <c r="AZ62" s="136"/>
      <c r="BA62" s="136"/>
      <c r="BB62" s="142"/>
      <c r="BC62" s="142"/>
      <c r="BD62" s="142"/>
      <c r="BE62" s="142"/>
      <c r="BF62" s="142"/>
      <c r="BG62" s="142"/>
      <c r="BH62" s="142"/>
      <c r="BI62" s="142"/>
    </row>
    <row r="63" spans="1:61" ht="16">
      <c r="A63" s="15">
        <v>53</v>
      </c>
      <c r="B63" s="15" t="s">
        <v>46</v>
      </c>
      <c r="C63" s="15" t="s">
        <v>50</v>
      </c>
      <c r="D63" s="15" t="s">
        <v>49</v>
      </c>
      <c r="E63" s="131">
        <v>349.35</v>
      </c>
      <c r="F63" s="131">
        <v>330</v>
      </c>
      <c r="G63" s="18">
        <f t="shared" si="24"/>
        <v>6.4500000000000073</v>
      </c>
      <c r="H63" s="136"/>
      <c r="I63" s="131">
        <v>330</v>
      </c>
      <c r="J63" s="131">
        <v>303.26</v>
      </c>
      <c r="K63" s="18">
        <f t="shared" si="25"/>
        <v>6.6850000000000023</v>
      </c>
      <c r="L63" s="136"/>
      <c r="M63" s="150">
        <v>273.76</v>
      </c>
      <c r="N63" s="150">
        <v>287.79000000000002</v>
      </c>
      <c r="O63" s="20">
        <f t="shared" si="26"/>
        <v>-3.5075000000000074</v>
      </c>
      <c r="P63" s="136"/>
      <c r="Q63" s="131">
        <v>287.79000000000002</v>
      </c>
      <c r="R63" s="131">
        <v>276.2</v>
      </c>
      <c r="S63" s="18">
        <f t="shared" si="27"/>
        <v>2.897500000000008</v>
      </c>
      <c r="T63" s="136"/>
      <c r="U63" s="131">
        <v>276.2</v>
      </c>
      <c r="V63" s="131">
        <v>263.14</v>
      </c>
      <c r="W63" s="18">
        <f t="shared" si="28"/>
        <v>4.3533333333333344</v>
      </c>
      <c r="X63" s="136"/>
      <c r="Y63" s="131">
        <v>263.14</v>
      </c>
      <c r="Z63" s="131">
        <v>231.14</v>
      </c>
      <c r="AA63" s="18">
        <f t="shared" si="29"/>
        <v>8</v>
      </c>
      <c r="AB63" s="136"/>
      <c r="AC63" s="131">
        <v>231.14</v>
      </c>
      <c r="AD63" s="131">
        <v>219.06</v>
      </c>
      <c r="AE63" s="18">
        <f t="shared" si="30"/>
        <v>4.0266666666666611</v>
      </c>
      <c r="AF63" s="136"/>
      <c r="AG63" s="131">
        <v>219.06</v>
      </c>
      <c r="AH63" s="131">
        <v>192.45</v>
      </c>
      <c r="AI63" s="18">
        <f t="shared" si="31"/>
        <v>3.8014285714285734</v>
      </c>
      <c r="AJ63" s="136"/>
      <c r="AK63" s="131"/>
      <c r="AL63" s="131"/>
      <c r="AM63" s="18"/>
      <c r="AN63" s="136"/>
      <c r="AO63" s="149"/>
      <c r="AP63" s="131" t="s">
        <v>285</v>
      </c>
      <c r="AQ63" s="18"/>
      <c r="AR63" s="136"/>
      <c r="AS63" s="131">
        <v>363.17</v>
      </c>
      <c r="AT63" s="131">
        <v>325.25</v>
      </c>
      <c r="AU63" s="18">
        <f t="shared" si="32"/>
        <v>-7.5840000000000032</v>
      </c>
      <c r="AV63" s="136"/>
      <c r="AW63" s="136"/>
      <c r="AX63" s="136"/>
      <c r="AY63" s="136"/>
      <c r="AZ63" s="136"/>
      <c r="BA63" s="136"/>
      <c r="BB63" s="142"/>
      <c r="BC63" s="142"/>
      <c r="BD63" s="142"/>
      <c r="BE63" s="142"/>
      <c r="BF63" s="142"/>
      <c r="BG63" s="142"/>
      <c r="BH63" s="142"/>
      <c r="BI63" s="142"/>
    </row>
    <row r="64" spans="1:61" ht="16">
      <c r="A64" s="15">
        <v>54</v>
      </c>
      <c r="B64" s="15" t="s">
        <v>46</v>
      </c>
      <c r="C64" s="15" t="s">
        <v>50</v>
      </c>
      <c r="D64" s="15" t="s">
        <v>48</v>
      </c>
      <c r="E64" s="131">
        <v>317.83</v>
      </c>
      <c r="F64" s="131">
        <v>300.3</v>
      </c>
      <c r="G64" s="18">
        <f t="shared" si="24"/>
        <v>5.8433333333333239</v>
      </c>
      <c r="H64" s="136"/>
      <c r="I64" s="131">
        <v>300.3</v>
      </c>
      <c r="J64" s="131">
        <v>285.86</v>
      </c>
      <c r="K64" s="18">
        <f t="shared" si="25"/>
        <v>3.6099999999999994</v>
      </c>
      <c r="L64" s="136"/>
      <c r="M64" s="131">
        <v>285.86</v>
      </c>
      <c r="N64" s="131">
        <v>273.76</v>
      </c>
      <c r="O64" s="18">
        <f t="shared" si="26"/>
        <v>3.0250000000000057</v>
      </c>
      <c r="P64" s="136"/>
      <c r="Q64" s="131">
        <v>273.76</v>
      </c>
      <c r="R64" s="131">
        <v>260.97000000000003</v>
      </c>
      <c r="S64" s="18">
        <f t="shared" si="27"/>
        <v>3.1974999999999909</v>
      </c>
      <c r="T64" s="136"/>
      <c r="U64" s="131">
        <v>260.97000000000003</v>
      </c>
      <c r="V64" s="131">
        <v>249.9</v>
      </c>
      <c r="W64" s="18">
        <f t="shared" si="28"/>
        <v>3.6900000000000071</v>
      </c>
      <c r="X64" s="136"/>
      <c r="Y64" s="131">
        <v>249.9</v>
      </c>
      <c r="Z64" s="131">
        <v>232.44</v>
      </c>
      <c r="AA64" s="18">
        <f t="shared" si="29"/>
        <v>4.365000000000002</v>
      </c>
      <c r="AB64" s="136"/>
      <c r="AC64" s="131">
        <v>232.44</v>
      </c>
      <c r="AD64" s="131">
        <v>220.95</v>
      </c>
      <c r="AE64" s="18">
        <f t="shared" si="30"/>
        <v>3.8300000000000032</v>
      </c>
      <c r="AF64" s="136"/>
      <c r="AG64" s="131">
        <v>220.95</v>
      </c>
      <c r="AH64" s="131">
        <v>195.59</v>
      </c>
      <c r="AI64" s="18">
        <f t="shared" si="31"/>
        <v>3.6228571428571406</v>
      </c>
      <c r="AJ64" s="136"/>
      <c r="AK64" s="131"/>
      <c r="AL64" s="131"/>
      <c r="AM64" s="18"/>
      <c r="AN64" s="136"/>
      <c r="AO64" s="151"/>
      <c r="AP64" s="131" t="s">
        <v>285</v>
      </c>
      <c r="AQ64" s="18"/>
      <c r="AR64" s="136"/>
      <c r="AS64" s="131">
        <v>376.3</v>
      </c>
      <c r="AT64" s="131">
        <v>357.75</v>
      </c>
      <c r="AU64" s="18">
        <f t="shared" si="32"/>
        <v>-3.7100000000000022</v>
      </c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</row>
    <row r="65" spans="1:61" ht="16">
      <c r="A65" s="15">
        <v>55</v>
      </c>
      <c r="B65" s="15" t="s">
        <v>46</v>
      </c>
      <c r="C65" s="15" t="s">
        <v>50</v>
      </c>
      <c r="D65" s="15" t="s">
        <v>48</v>
      </c>
      <c r="E65" s="131">
        <v>307.54000000000002</v>
      </c>
      <c r="F65" s="131">
        <v>270.39999999999998</v>
      </c>
      <c r="G65" s="18">
        <f t="shared" si="24"/>
        <v>12.380000000000015</v>
      </c>
      <c r="H65" s="136"/>
      <c r="I65" s="131">
        <v>270.39999999999998</v>
      </c>
      <c r="J65" s="131">
        <v>241.5</v>
      </c>
      <c r="K65" s="18">
        <f t="shared" si="25"/>
        <v>7.2249999999999943</v>
      </c>
      <c r="L65" s="136"/>
      <c r="M65" s="131">
        <v>241.5</v>
      </c>
      <c r="N65" s="131">
        <v>212.32</v>
      </c>
      <c r="O65" s="18">
        <f t="shared" si="26"/>
        <v>7.2950000000000017</v>
      </c>
      <c r="P65" s="136"/>
      <c r="Q65" s="131">
        <v>212.32</v>
      </c>
      <c r="R65" s="131">
        <v>197.64</v>
      </c>
      <c r="S65" s="18">
        <f t="shared" si="27"/>
        <v>3.6700000000000017</v>
      </c>
      <c r="T65" s="136"/>
      <c r="U65" s="131">
        <v>197.64</v>
      </c>
      <c r="V65" s="131">
        <v>172.21</v>
      </c>
      <c r="W65" s="18">
        <f t="shared" si="28"/>
        <v>8.4766666666666595</v>
      </c>
      <c r="X65" s="136"/>
      <c r="Y65" s="131">
        <v>172.21</v>
      </c>
      <c r="Z65" s="131">
        <v>137.01</v>
      </c>
      <c r="AA65" s="18">
        <f t="shared" si="29"/>
        <v>8.8000000000000043</v>
      </c>
      <c r="AB65" s="136"/>
      <c r="AC65" s="131">
        <v>137.01</v>
      </c>
      <c r="AD65" s="131">
        <v>124.49</v>
      </c>
      <c r="AE65" s="18">
        <f t="shared" si="30"/>
        <v>4.173333333333332</v>
      </c>
      <c r="AF65" s="136"/>
      <c r="AG65" s="131">
        <v>124.49</v>
      </c>
      <c r="AH65" s="131">
        <v>94.46</v>
      </c>
      <c r="AI65" s="18">
        <f t="shared" si="31"/>
        <v>4.29</v>
      </c>
      <c r="AJ65" s="136"/>
      <c r="AK65" s="131"/>
      <c r="AL65" s="131"/>
      <c r="AM65" s="18"/>
      <c r="AN65" s="136"/>
      <c r="AO65" s="151"/>
      <c r="AP65" s="131" t="s">
        <v>285</v>
      </c>
      <c r="AQ65" s="18"/>
      <c r="AR65" s="136"/>
      <c r="AS65" s="131">
        <v>364.81</v>
      </c>
      <c r="AT65" s="131">
        <v>320.69</v>
      </c>
      <c r="AU65" s="18">
        <f t="shared" si="32"/>
        <v>-8.8240000000000016</v>
      </c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</row>
    <row r="66" spans="1:61" ht="16">
      <c r="A66" s="15">
        <v>56</v>
      </c>
      <c r="B66" s="15" t="s">
        <v>46</v>
      </c>
      <c r="C66" s="15" t="s">
        <v>50</v>
      </c>
      <c r="D66" s="15" t="s">
        <v>49</v>
      </c>
      <c r="E66" s="131">
        <v>331.89</v>
      </c>
      <c r="F66" s="131">
        <v>286.89999999999998</v>
      </c>
      <c r="G66" s="18">
        <f t="shared" si="24"/>
        <v>14.99666666666667</v>
      </c>
      <c r="H66" s="136"/>
      <c r="I66" s="131">
        <v>286.89999999999998</v>
      </c>
      <c r="J66" s="131">
        <v>257.02</v>
      </c>
      <c r="K66" s="18">
        <f t="shared" si="25"/>
        <v>7.4699999999999989</v>
      </c>
      <c r="L66" s="136"/>
      <c r="M66" s="131">
        <v>257.02</v>
      </c>
      <c r="N66" s="131">
        <v>238.22</v>
      </c>
      <c r="O66" s="18">
        <f t="shared" si="26"/>
        <v>4.6999999999999957</v>
      </c>
      <c r="P66" s="136"/>
      <c r="Q66" s="131">
        <v>238.22</v>
      </c>
      <c r="R66" s="131">
        <v>220.27</v>
      </c>
      <c r="S66" s="18">
        <f t="shared" si="27"/>
        <v>4.4874999999999972</v>
      </c>
      <c r="T66" s="136"/>
      <c r="U66" s="131">
        <v>220.27</v>
      </c>
      <c r="V66" s="131">
        <v>208</v>
      </c>
      <c r="W66" s="18">
        <f t="shared" si="28"/>
        <v>4.0900000000000034</v>
      </c>
      <c r="X66" s="136"/>
      <c r="Y66" s="131">
        <v>208</v>
      </c>
      <c r="Z66" s="152">
        <v>192</v>
      </c>
      <c r="AA66" s="18">
        <f t="shared" si="29"/>
        <v>4</v>
      </c>
      <c r="AB66" s="136"/>
      <c r="AC66" s="152">
        <v>192</v>
      </c>
      <c r="AD66" s="131">
        <v>182.11</v>
      </c>
      <c r="AE66" s="18">
        <f t="shared" si="30"/>
        <v>3.296666666666662</v>
      </c>
      <c r="AF66" s="136"/>
      <c r="AG66" s="131">
        <v>182.11</v>
      </c>
      <c r="AH66" s="131">
        <v>158.87</v>
      </c>
      <c r="AI66" s="18">
        <f t="shared" si="31"/>
        <v>3.3200000000000012</v>
      </c>
      <c r="AJ66" s="136"/>
      <c r="AK66" s="131"/>
      <c r="AL66" s="131"/>
      <c r="AM66" s="18"/>
      <c r="AN66" s="136"/>
      <c r="AO66" s="149"/>
      <c r="AP66" s="131" t="s">
        <v>285</v>
      </c>
      <c r="AQ66" s="18"/>
      <c r="AR66" s="136"/>
      <c r="AS66" s="131">
        <v>384.25</v>
      </c>
      <c r="AT66" s="131">
        <v>370.6</v>
      </c>
      <c r="AU66" s="18">
        <f t="shared" si="32"/>
        <v>-2.7299999999999955</v>
      </c>
      <c r="AV66" s="136"/>
      <c r="AW66" s="136"/>
      <c r="AX66" s="136"/>
      <c r="AY66" s="136"/>
      <c r="AZ66" s="136"/>
      <c r="BA66" s="136"/>
      <c r="BB66" s="142"/>
      <c r="BC66" s="142"/>
      <c r="BD66" s="142"/>
      <c r="BE66" s="142"/>
      <c r="BF66" s="142"/>
      <c r="BG66" s="142"/>
      <c r="BH66" s="142"/>
      <c r="BI66" s="142"/>
    </row>
    <row r="67" spans="1:61" ht="16">
      <c r="A67" s="15">
        <v>57</v>
      </c>
      <c r="B67" s="15" t="s">
        <v>46</v>
      </c>
      <c r="C67" s="15" t="s">
        <v>50</v>
      </c>
      <c r="D67" s="15" t="s">
        <v>48</v>
      </c>
      <c r="E67" s="131">
        <v>267.02</v>
      </c>
      <c r="F67" s="131">
        <v>248.4</v>
      </c>
      <c r="G67" s="18">
        <f t="shared" si="24"/>
        <v>6.206666666666659</v>
      </c>
      <c r="H67" s="136"/>
      <c r="I67" s="131">
        <v>248.4</v>
      </c>
      <c r="J67" s="131">
        <v>221.62</v>
      </c>
      <c r="K67" s="18">
        <f t="shared" si="25"/>
        <v>6.6950000000000003</v>
      </c>
      <c r="L67" s="136"/>
      <c r="M67" s="131">
        <v>221.62</v>
      </c>
      <c r="N67" s="131">
        <v>206.99</v>
      </c>
      <c r="O67" s="18">
        <f t="shared" si="26"/>
        <v>3.6574999999999989</v>
      </c>
      <c r="P67" s="136"/>
      <c r="Q67" s="131">
        <v>206.99</v>
      </c>
      <c r="R67" s="131">
        <v>191.87</v>
      </c>
      <c r="S67" s="18">
        <f t="shared" si="27"/>
        <v>3.7800000000000011</v>
      </c>
      <c r="T67" s="136"/>
      <c r="U67" s="131">
        <v>191.87</v>
      </c>
      <c r="V67" s="131">
        <v>180.38</v>
      </c>
      <c r="W67" s="18">
        <f t="shared" si="28"/>
        <v>3.8300000000000032</v>
      </c>
      <c r="X67" s="136"/>
      <c r="Y67" s="131">
        <v>180.38</v>
      </c>
      <c r="Z67" s="16">
        <v>159.11000000000001</v>
      </c>
      <c r="AA67" s="18">
        <f t="shared" si="29"/>
        <v>5.3174999999999955</v>
      </c>
      <c r="AB67" s="136"/>
      <c r="AC67" s="16">
        <v>159.11000000000001</v>
      </c>
      <c r="AD67" s="131">
        <v>148.51</v>
      </c>
      <c r="AE67" s="18">
        <f t="shared" si="30"/>
        <v>3.5333333333333408</v>
      </c>
      <c r="AF67" s="136"/>
      <c r="AG67" s="131">
        <v>148.51</v>
      </c>
      <c r="AH67" s="131">
        <v>122</v>
      </c>
      <c r="AI67" s="18">
        <f t="shared" si="31"/>
        <v>3.787142857142856</v>
      </c>
      <c r="AJ67" s="136"/>
      <c r="AK67" s="131"/>
      <c r="AL67" s="131"/>
      <c r="AM67" s="18"/>
      <c r="AN67" s="136"/>
      <c r="AO67" s="149"/>
      <c r="AP67" s="131" t="s">
        <v>285</v>
      </c>
      <c r="AQ67" s="18"/>
      <c r="AR67" s="136"/>
      <c r="AS67" s="131">
        <v>350.4</v>
      </c>
      <c r="AT67" s="131">
        <v>330.56</v>
      </c>
      <c r="AU67" s="18">
        <f t="shared" si="32"/>
        <v>-3.9679999999999951</v>
      </c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</row>
    <row r="68" spans="1:61" ht="16">
      <c r="A68" s="15">
        <v>58</v>
      </c>
      <c r="B68" s="15" t="s">
        <v>46</v>
      </c>
      <c r="C68" s="15" t="s">
        <v>50</v>
      </c>
      <c r="D68" s="15" t="s">
        <v>49</v>
      </c>
      <c r="E68" s="131">
        <v>284.35000000000002</v>
      </c>
      <c r="F68" s="131">
        <v>266.5</v>
      </c>
      <c r="G68" s="18">
        <f t="shared" si="24"/>
        <v>5.9500000000000073</v>
      </c>
      <c r="H68" s="136"/>
      <c r="I68" s="131">
        <v>266.5</v>
      </c>
      <c r="J68" s="131">
        <v>253.77</v>
      </c>
      <c r="K68" s="18">
        <f t="shared" si="25"/>
        <v>3.1824999999999974</v>
      </c>
      <c r="L68" s="136"/>
      <c r="M68" s="131">
        <v>253.77</v>
      </c>
      <c r="N68" s="131">
        <v>241.1</v>
      </c>
      <c r="O68" s="18">
        <f t="shared" si="26"/>
        <v>3.167500000000004</v>
      </c>
      <c r="P68" s="136"/>
      <c r="Q68" s="131">
        <v>241.1</v>
      </c>
      <c r="R68" s="131">
        <v>227.27</v>
      </c>
      <c r="S68" s="18">
        <f t="shared" si="27"/>
        <v>3.457499999999996</v>
      </c>
      <c r="T68" s="136"/>
      <c r="U68" s="131">
        <v>227.27</v>
      </c>
      <c r="V68" s="131">
        <v>216.12</v>
      </c>
      <c r="W68" s="18">
        <f t="shared" si="28"/>
        <v>3.7166666666666686</v>
      </c>
      <c r="X68" s="136"/>
      <c r="Y68" s="131">
        <v>216.12</v>
      </c>
      <c r="Z68" s="153">
        <v>196.11</v>
      </c>
      <c r="AA68" s="18">
        <f t="shared" si="29"/>
        <v>5.0024999999999977</v>
      </c>
      <c r="AB68" s="136"/>
      <c r="AC68" s="153">
        <v>196.11</v>
      </c>
      <c r="AD68" s="131">
        <v>186.05</v>
      </c>
      <c r="AE68" s="18">
        <f t="shared" si="30"/>
        <v>3.3533333333333339</v>
      </c>
      <c r="AF68" s="136"/>
      <c r="AG68" s="131">
        <v>186.05</v>
      </c>
      <c r="AH68" s="131">
        <v>161.19</v>
      </c>
      <c r="AI68" s="18">
        <f t="shared" si="31"/>
        <v>3.5514285714285734</v>
      </c>
      <c r="AJ68" s="136"/>
      <c r="AK68" s="131"/>
      <c r="AL68" s="131"/>
      <c r="AM68" s="18"/>
      <c r="AN68" s="136"/>
      <c r="AO68" s="151"/>
      <c r="AP68" s="131" t="s">
        <v>285</v>
      </c>
      <c r="AQ68" s="18"/>
      <c r="AR68" s="136"/>
      <c r="AS68" s="131">
        <v>374.45</v>
      </c>
      <c r="AT68" s="131">
        <v>357.92</v>
      </c>
      <c r="AU68" s="18">
        <f t="shared" si="32"/>
        <v>-3.3059999999999947</v>
      </c>
      <c r="AV68" s="136"/>
      <c r="AW68" s="136"/>
      <c r="AX68" s="136"/>
      <c r="AY68" s="136"/>
      <c r="AZ68" s="136"/>
      <c r="BA68" s="136"/>
      <c r="BB68" s="142"/>
      <c r="BC68" s="142"/>
      <c r="BD68" s="142"/>
      <c r="BE68" s="142"/>
      <c r="BF68" s="142"/>
      <c r="BG68" s="142"/>
      <c r="BH68" s="142"/>
      <c r="BI68" s="142"/>
    </row>
    <row r="69" spans="1:61" ht="16">
      <c r="A69" s="15">
        <v>59</v>
      </c>
      <c r="B69" s="15" t="s">
        <v>46</v>
      </c>
      <c r="C69" s="15" t="s">
        <v>50</v>
      </c>
      <c r="D69" s="15" t="s">
        <v>48</v>
      </c>
      <c r="E69" s="131">
        <v>287.89</v>
      </c>
      <c r="F69" s="131">
        <v>269.39999999999998</v>
      </c>
      <c r="G69" s="18">
        <f t="shared" si="24"/>
        <v>6.1633333333333367</v>
      </c>
      <c r="H69" s="136"/>
      <c r="I69" s="131">
        <v>269.39999999999998</v>
      </c>
      <c r="J69" s="131">
        <v>247.6</v>
      </c>
      <c r="K69" s="18">
        <f t="shared" si="25"/>
        <v>5.4499999999999957</v>
      </c>
      <c r="L69" s="136"/>
      <c r="M69" s="131">
        <v>247.6</v>
      </c>
      <c r="N69" s="131">
        <v>230.99</v>
      </c>
      <c r="O69" s="18">
        <f t="shared" si="26"/>
        <v>4.1524999999999963</v>
      </c>
      <c r="P69" s="136"/>
      <c r="Q69" s="131">
        <v>230.99</v>
      </c>
      <c r="R69" s="131">
        <v>220.1</v>
      </c>
      <c r="S69" s="18">
        <f t="shared" si="27"/>
        <v>2.7225000000000037</v>
      </c>
      <c r="T69" s="136"/>
      <c r="U69" s="131">
        <v>220.1</v>
      </c>
      <c r="V69" s="131">
        <v>210.7</v>
      </c>
      <c r="W69" s="18">
        <f t="shared" si="28"/>
        <v>3.1333333333333351</v>
      </c>
      <c r="X69" s="136"/>
      <c r="Y69" s="131">
        <v>210.7</v>
      </c>
      <c r="Z69" s="153">
        <v>192.15</v>
      </c>
      <c r="AA69" s="18">
        <f t="shared" si="29"/>
        <v>4.6374999999999957</v>
      </c>
      <c r="AB69" s="136"/>
      <c r="AC69" s="153">
        <v>192.15</v>
      </c>
      <c r="AD69" s="131">
        <v>180.72</v>
      </c>
      <c r="AE69" s="18">
        <f t="shared" si="30"/>
        <v>3.8100000000000023</v>
      </c>
      <c r="AF69" s="136"/>
      <c r="AG69" s="131">
        <v>180.72</v>
      </c>
      <c r="AH69" s="131">
        <v>154.68</v>
      </c>
      <c r="AI69" s="18">
        <f t="shared" si="31"/>
        <v>3.7199999999999989</v>
      </c>
      <c r="AJ69" s="136"/>
      <c r="AK69" s="131"/>
      <c r="AL69" s="131"/>
      <c r="AM69" s="18"/>
      <c r="AN69" s="136"/>
      <c r="AO69" s="151"/>
      <c r="AP69" s="131" t="s">
        <v>285</v>
      </c>
      <c r="AQ69" s="18"/>
      <c r="AR69" s="136"/>
      <c r="AS69" s="131">
        <v>349.59</v>
      </c>
      <c r="AT69" s="131">
        <v>326.3</v>
      </c>
      <c r="AU69" s="18">
        <f t="shared" si="32"/>
        <v>-4.6579999999999924</v>
      </c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</row>
    <row r="70" spans="1:61" ht="16">
      <c r="A70" s="15">
        <v>60</v>
      </c>
      <c r="B70" s="15" t="s">
        <v>46</v>
      </c>
      <c r="C70" s="15" t="s">
        <v>50</v>
      </c>
      <c r="D70" s="15" t="s">
        <v>49</v>
      </c>
      <c r="E70" s="131">
        <v>258.62</v>
      </c>
      <c r="F70" s="131">
        <v>238.2</v>
      </c>
      <c r="G70" s="18">
        <f t="shared" si="24"/>
        <v>6.806666666666672</v>
      </c>
      <c r="H70" s="136"/>
      <c r="I70" s="131">
        <v>238.2</v>
      </c>
      <c r="J70" s="131">
        <v>223.54</v>
      </c>
      <c r="K70" s="18">
        <f t="shared" si="25"/>
        <v>3.6649999999999991</v>
      </c>
      <c r="L70" s="136"/>
      <c r="M70" s="131">
        <v>223.54</v>
      </c>
      <c r="N70" s="131">
        <v>212.58</v>
      </c>
      <c r="O70" s="18">
        <f t="shared" si="26"/>
        <v>2.7399999999999949</v>
      </c>
      <c r="P70" s="136"/>
      <c r="Q70" s="131">
        <v>212.58</v>
      </c>
      <c r="R70" s="131">
        <v>202.04</v>
      </c>
      <c r="S70" s="18">
        <f t="shared" si="27"/>
        <v>2.6350000000000051</v>
      </c>
      <c r="T70" s="136"/>
      <c r="U70" s="131">
        <v>202.04</v>
      </c>
      <c r="V70" s="131">
        <v>188.49</v>
      </c>
      <c r="W70" s="18">
        <f t="shared" si="28"/>
        <v>4.5166666666666613</v>
      </c>
      <c r="X70" s="136"/>
      <c r="Y70" s="131">
        <v>188.49</v>
      </c>
      <c r="Z70" s="153">
        <v>172.82</v>
      </c>
      <c r="AA70" s="18">
        <f t="shared" si="29"/>
        <v>3.917500000000004</v>
      </c>
      <c r="AB70" s="136"/>
      <c r="AC70" s="153">
        <v>172.82</v>
      </c>
      <c r="AD70" s="131">
        <v>161.76</v>
      </c>
      <c r="AE70" s="18">
        <f t="shared" si="30"/>
        <v>3.6866666666666674</v>
      </c>
      <c r="AF70" s="136"/>
      <c r="AG70" s="131">
        <v>161.76</v>
      </c>
      <c r="AH70" s="131">
        <v>136.03</v>
      </c>
      <c r="AI70" s="18">
        <f t="shared" si="31"/>
        <v>3.6757142857142844</v>
      </c>
      <c r="AJ70" s="136"/>
      <c r="AK70" s="131"/>
      <c r="AL70" s="131"/>
      <c r="AM70" s="18"/>
      <c r="AN70" s="136"/>
      <c r="AO70" s="151"/>
      <c r="AP70" s="131" t="s">
        <v>285</v>
      </c>
      <c r="AQ70" s="18"/>
      <c r="AR70" s="136"/>
      <c r="AS70" s="131">
        <v>347.34</v>
      </c>
      <c r="AT70" s="136">
        <v>325.02</v>
      </c>
      <c r="AU70" s="18">
        <f t="shared" si="32"/>
        <v>-4.4639999999999986</v>
      </c>
      <c r="AV70" s="136"/>
      <c r="AW70" s="136"/>
      <c r="AX70" s="136"/>
      <c r="AY70" s="136"/>
      <c r="AZ70" s="136"/>
      <c r="BA70" s="136"/>
      <c r="BB70" s="142"/>
      <c r="BC70" s="142"/>
      <c r="BD70" s="142"/>
      <c r="BE70" s="142"/>
      <c r="BF70" s="142"/>
      <c r="BG70" s="142"/>
      <c r="BH70" s="142"/>
      <c r="BI70" s="142"/>
    </row>
    <row r="71" spans="1:61" ht="16">
      <c r="A71" s="15">
        <v>61</v>
      </c>
      <c r="B71" s="15" t="s">
        <v>51</v>
      </c>
      <c r="C71" s="15" t="s">
        <v>50</v>
      </c>
      <c r="D71" s="15" t="s">
        <v>48</v>
      </c>
      <c r="E71" s="131">
        <v>353.74</v>
      </c>
      <c r="F71" s="131">
        <v>340.4</v>
      </c>
      <c r="G71" s="18">
        <f t="shared" si="24"/>
        <v>4.446666666666677</v>
      </c>
      <c r="H71" s="136"/>
      <c r="I71" s="131">
        <v>340.4</v>
      </c>
      <c r="J71" s="131">
        <v>331.6</v>
      </c>
      <c r="K71" s="18">
        <f t="shared" si="25"/>
        <v>2.1999999999999886</v>
      </c>
      <c r="L71" s="136"/>
      <c r="M71" s="131">
        <v>331.6</v>
      </c>
      <c r="N71" s="131">
        <v>318.77999999999997</v>
      </c>
      <c r="O71" s="18">
        <f t="shared" si="26"/>
        <v>3.2050000000000125</v>
      </c>
      <c r="P71" s="136"/>
      <c r="Q71" s="131">
        <v>318.77999999999997</v>
      </c>
      <c r="R71" s="131">
        <v>300.97000000000003</v>
      </c>
      <c r="S71" s="18">
        <f t="shared" si="27"/>
        <v>4.4524999999999864</v>
      </c>
      <c r="T71" s="136"/>
      <c r="U71" s="131">
        <v>300.97000000000003</v>
      </c>
      <c r="V71" s="131">
        <v>284.98</v>
      </c>
      <c r="W71" s="18">
        <f t="shared" si="28"/>
        <v>5.3300000000000027</v>
      </c>
      <c r="X71" s="136"/>
      <c r="Y71" s="131">
        <v>284.98</v>
      </c>
      <c r="Z71" s="153">
        <v>245.45</v>
      </c>
      <c r="AA71" s="18">
        <f t="shared" si="29"/>
        <v>9.8825000000000074</v>
      </c>
      <c r="AB71" s="136"/>
      <c r="AC71" s="153">
        <v>245.45</v>
      </c>
      <c r="AD71" s="131">
        <v>231.3</v>
      </c>
      <c r="AE71" s="18">
        <f t="shared" si="30"/>
        <v>4.7166666666666588</v>
      </c>
      <c r="AF71" s="136"/>
      <c r="AG71" s="131">
        <v>231.3</v>
      </c>
      <c r="AH71" s="131">
        <v>197.15</v>
      </c>
      <c r="AI71" s="18">
        <f t="shared" si="31"/>
        <v>4.878571428571429</v>
      </c>
      <c r="AJ71" s="136"/>
      <c r="AK71" s="131"/>
      <c r="AL71" s="131"/>
      <c r="AM71" s="18"/>
      <c r="AN71" s="136"/>
      <c r="AO71" s="149"/>
      <c r="AP71" s="131" t="s">
        <v>285</v>
      </c>
      <c r="AQ71" s="18"/>
      <c r="AR71" s="136"/>
      <c r="AS71" s="131">
        <v>368.24</v>
      </c>
      <c r="AT71" s="131">
        <v>345.86</v>
      </c>
      <c r="AU71" s="18">
        <f t="shared" si="32"/>
        <v>-4.4759999999999991</v>
      </c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</row>
    <row r="72" spans="1:61" ht="16">
      <c r="A72" s="15">
        <v>62</v>
      </c>
      <c r="B72" s="15" t="s">
        <v>51</v>
      </c>
      <c r="C72" s="15" t="s">
        <v>50</v>
      </c>
      <c r="D72" s="15" t="s">
        <v>49</v>
      </c>
      <c r="E72" s="131">
        <v>335.36</v>
      </c>
      <c r="F72" s="131">
        <v>315.8</v>
      </c>
      <c r="G72" s="18">
        <f t="shared" si="24"/>
        <v>6.5200000000000005</v>
      </c>
      <c r="H72" s="136"/>
      <c r="I72" s="131">
        <v>315.8</v>
      </c>
      <c r="J72" s="131">
        <v>305.45999999999998</v>
      </c>
      <c r="K72" s="18">
        <f t="shared" si="25"/>
        <v>2.585000000000008</v>
      </c>
      <c r="L72" s="136"/>
      <c r="M72" s="131">
        <v>305.45999999999998</v>
      </c>
      <c r="N72" s="131">
        <v>289.7</v>
      </c>
      <c r="O72" s="18">
        <f t="shared" si="26"/>
        <v>3.9399999999999977</v>
      </c>
      <c r="P72" s="136"/>
      <c r="Q72" s="131">
        <v>289.7</v>
      </c>
      <c r="R72" s="131">
        <v>276.83</v>
      </c>
      <c r="S72" s="18">
        <f t="shared" si="27"/>
        <v>3.2175000000000011</v>
      </c>
      <c r="T72" s="136"/>
      <c r="U72" s="131">
        <v>276.83</v>
      </c>
      <c r="V72" s="131">
        <v>263.08999999999997</v>
      </c>
      <c r="W72" s="18">
        <f t="shared" si="28"/>
        <v>4.5800000000000027</v>
      </c>
      <c r="X72" s="136"/>
      <c r="Y72" s="131">
        <v>263.08999999999997</v>
      </c>
      <c r="Z72" s="153">
        <v>232.46</v>
      </c>
      <c r="AA72" s="18">
        <f t="shared" si="29"/>
        <v>7.6574999999999918</v>
      </c>
      <c r="AB72" s="136"/>
      <c r="AC72" s="153">
        <v>232.46</v>
      </c>
      <c r="AD72" s="131">
        <v>218.61</v>
      </c>
      <c r="AE72" s="18">
        <f t="shared" si="30"/>
        <v>4.6166666666666645</v>
      </c>
      <c r="AF72" s="136"/>
      <c r="AG72" s="131">
        <v>218.61</v>
      </c>
      <c r="AH72" s="131">
        <v>184.82</v>
      </c>
      <c r="AI72" s="18">
        <f t="shared" si="31"/>
        <v>4.8271428571428601</v>
      </c>
      <c r="AJ72" s="136"/>
      <c r="AK72" s="131"/>
      <c r="AL72" s="131"/>
      <c r="AM72" s="18"/>
      <c r="AN72" s="136"/>
      <c r="AO72" s="154"/>
      <c r="AP72" s="131" t="s">
        <v>285</v>
      </c>
      <c r="AQ72" s="18"/>
      <c r="AR72" s="136"/>
      <c r="AS72" s="131">
        <v>375.02</v>
      </c>
      <c r="AT72" s="131">
        <v>349.52</v>
      </c>
      <c r="AU72" s="18">
        <f t="shared" si="32"/>
        <v>-5.0999999999999996</v>
      </c>
      <c r="AV72" s="136"/>
      <c r="AW72" s="136"/>
      <c r="AX72" s="136"/>
      <c r="AY72" s="136"/>
      <c r="AZ72" s="136"/>
      <c r="BA72" s="136"/>
      <c r="BB72" s="142"/>
      <c r="BC72" s="142"/>
      <c r="BD72" s="142"/>
      <c r="BE72" s="142"/>
      <c r="BF72" s="142"/>
      <c r="BG72" s="142"/>
      <c r="BH72" s="142"/>
      <c r="BI72" s="142"/>
    </row>
    <row r="73" spans="1:61" ht="16">
      <c r="A73" s="15">
        <v>63</v>
      </c>
      <c r="B73" s="15" t="s">
        <v>51</v>
      </c>
      <c r="C73" s="15" t="s">
        <v>50</v>
      </c>
      <c r="D73" s="15" t="s">
        <v>48</v>
      </c>
      <c r="E73" s="131">
        <v>310.57</v>
      </c>
      <c r="F73" s="131">
        <v>294.5</v>
      </c>
      <c r="G73" s="18">
        <f t="shared" si="24"/>
        <v>5.3566666666666647</v>
      </c>
      <c r="H73" s="136"/>
      <c r="I73" s="131">
        <v>294.5</v>
      </c>
      <c r="J73" s="131">
        <v>281.69</v>
      </c>
      <c r="K73" s="18">
        <f t="shared" si="25"/>
        <v>3.2025000000000006</v>
      </c>
      <c r="L73" s="136"/>
      <c r="M73" s="131">
        <v>281.69</v>
      </c>
      <c r="N73" s="131">
        <v>264.3</v>
      </c>
      <c r="O73" s="18">
        <f t="shared" si="26"/>
        <v>4.3474999999999966</v>
      </c>
      <c r="P73" s="136"/>
      <c r="Q73" s="131">
        <v>264.3</v>
      </c>
      <c r="R73" s="131">
        <v>245.37</v>
      </c>
      <c r="S73" s="18">
        <f t="shared" si="27"/>
        <v>4.7325000000000017</v>
      </c>
      <c r="T73" s="136"/>
      <c r="U73" s="131">
        <v>245.37</v>
      </c>
      <c r="V73" s="131">
        <v>227.69</v>
      </c>
      <c r="W73" s="18">
        <f t="shared" si="28"/>
        <v>5.8933333333333353</v>
      </c>
      <c r="X73" s="136"/>
      <c r="Y73" s="131">
        <v>227.69</v>
      </c>
      <c r="Z73" s="153">
        <v>173.6</v>
      </c>
      <c r="AA73" s="18">
        <f t="shared" si="29"/>
        <v>13.522500000000001</v>
      </c>
      <c r="AB73" s="136"/>
      <c r="AC73" s="153">
        <v>173.6</v>
      </c>
      <c r="AD73" s="131">
        <v>160.74</v>
      </c>
      <c r="AE73" s="18">
        <f t="shared" si="30"/>
        <v>4.2866666666666617</v>
      </c>
      <c r="AF73" s="136"/>
      <c r="AG73" s="131">
        <v>160.74</v>
      </c>
      <c r="AH73" s="131">
        <v>126.77</v>
      </c>
      <c r="AI73" s="18">
        <f t="shared" si="31"/>
        <v>4.852857142857145</v>
      </c>
      <c r="AJ73" s="136"/>
      <c r="AK73" s="131"/>
      <c r="AL73" s="131"/>
      <c r="AM73" s="18"/>
      <c r="AN73" s="136"/>
      <c r="AO73" s="154"/>
      <c r="AP73" s="131" t="s">
        <v>285</v>
      </c>
      <c r="AQ73" s="18"/>
      <c r="AR73" s="136"/>
      <c r="AS73" s="131">
        <v>355.36</v>
      </c>
      <c r="AT73" s="131">
        <v>326.58</v>
      </c>
      <c r="AU73" s="18">
        <f t="shared" si="32"/>
        <v>-5.7560000000000056</v>
      </c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</row>
    <row r="74" spans="1:61" ht="16">
      <c r="A74" s="15">
        <v>64</v>
      </c>
      <c r="B74" s="15" t="s">
        <v>51</v>
      </c>
      <c r="C74" s="15" t="s">
        <v>50</v>
      </c>
      <c r="D74" s="15" t="s">
        <v>49</v>
      </c>
      <c r="E74" s="131">
        <v>343.17</v>
      </c>
      <c r="F74" s="131">
        <v>329.7</v>
      </c>
      <c r="G74" s="18">
        <f t="shared" si="24"/>
        <v>4.4900000000000091</v>
      </c>
      <c r="H74" s="136"/>
      <c r="I74" s="131">
        <v>329.7</v>
      </c>
      <c r="J74" s="155">
        <v>318.56</v>
      </c>
      <c r="K74" s="18">
        <f t="shared" si="25"/>
        <v>2.7849999999999966</v>
      </c>
      <c r="L74" s="136"/>
      <c r="M74" s="155">
        <v>318.56</v>
      </c>
      <c r="N74" s="131">
        <v>310.10000000000002</v>
      </c>
      <c r="O74" s="18">
        <f t="shared" si="26"/>
        <v>2.1149999999999949</v>
      </c>
      <c r="P74" s="136"/>
      <c r="Q74" s="131">
        <v>310.10000000000002</v>
      </c>
      <c r="R74" s="155">
        <v>299.61</v>
      </c>
      <c r="S74" s="18">
        <f t="shared" si="27"/>
        <v>2.6225000000000023</v>
      </c>
      <c r="T74" s="136"/>
      <c r="U74" s="155">
        <v>299.61</v>
      </c>
      <c r="V74" s="131">
        <v>287.31</v>
      </c>
      <c r="W74" s="18">
        <f t="shared" si="28"/>
        <v>4.1000000000000041</v>
      </c>
      <c r="X74" s="136"/>
      <c r="Y74" s="131">
        <v>287.31</v>
      </c>
      <c r="Z74" s="153">
        <v>251.39</v>
      </c>
      <c r="AA74" s="18">
        <f t="shared" si="29"/>
        <v>8.980000000000004</v>
      </c>
      <c r="AB74" s="136"/>
      <c r="AC74" s="153">
        <v>251.39</v>
      </c>
      <c r="AD74" s="16">
        <v>236.68</v>
      </c>
      <c r="AE74" s="18">
        <f t="shared" si="30"/>
        <v>4.9033333333333262</v>
      </c>
      <c r="AF74" s="136"/>
      <c r="AG74" s="131">
        <v>236.68</v>
      </c>
      <c r="AH74" s="155">
        <v>204.36</v>
      </c>
      <c r="AI74" s="18">
        <f t="shared" si="31"/>
        <v>4.6171428571428565</v>
      </c>
      <c r="AJ74" s="136"/>
      <c r="AK74" s="155"/>
      <c r="AL74" s="131"/>
      <c r="AM74" s="18"/>
      <c r="AN74" s="136"/>
      <c r="AO74" s="154"/>
      <c r="AP74" s="131" t="s">
        <v>285</v>
      </c>
      <c r="AQ74" s="18"/>
      <c r="AR74" s="136"/>
      <c r="AS74" s="131">
        <v>383.68</v>
      </c>
      <c r="AT74" s="131">
        <v>360.01</v>
      </c>
      <c r="AU74" s="18">
        <f t="shared" si="32"/>
        <v>-4.7340000000000035</v>
      </c>
      <c r="AV74" s="136"/>
      <c r="AW74" s="136"/>
      <c r="AX74" s="136"/>
      <c r="AY74" s="136"/>
      <c r="AZ74" s="136"/>
      <c r="BA74" s="136"/>
      <c r="BB74" s="142"/>
      <c r="BC74" s="142"/>
      <c r="BD74" s="142"/>
      <c r="BE74" s="142"/>
      <c r="BF74" s="142"/>
      <c r="BG74" s="142"/>
      <c r="BH74" s="142"/>
      <c r="BI74" s="142"/>
    </row>
    <row r="75" spans="1:61" ht="16">
      <c r="A75" s="15">
        <v>65</v>
      </c>
      <c r="B75" s="15" t="s">
        <v>51</v>
      </c>
      <c r="C75" s="15" t="s">
        <v>50</v>
      </c>
      <c r="D75" s="15" t="s">
        <v>48</v>
      </c>
      <c r="E75" s="131">
        <v>303.8</v>
      </c>
      <c r="F75" s="131">
        <v>286.2</v>
      </c>
      <c r="G75" s="18">
        <f t="shared" si="24"/>
        <v>5.8666666666666742</v>
      </c>
      <c r="H75" s="136"/>
      <c r="I75" s="131">
        <v>286.2</v>
      </c>
      <c r="J75" s="131">
        <v>272</v>
      </c>
      <c r="K75" s="18">
        <f t="shared" si="25"/>
        <v>3.5499999999999972</v>
      </c>
      <c r="L75" s="136"/>
      <c r="M75" s="131">
        <v>291.8</v>
      </c>
      <c r="N75" s="131">
        <v>260.13</v>
      </c>
      <c r="O75" s="18">
        <f t="shared" si="26"/>
        <v>7.917500000000004</v>
      </c>
      <c r="P75" s="136"/>
      <c r="Q75" s="131">
        <v>260.13</v>
      </c>
      <c r="R75" s="131">
        <v>244.11</v>
      </c>
      <c r="S75" s="18">
        <f t="shared" si="27"/>
        <v>4.0049999999999955</v>
      </c>
      <c r="T75" s="136"/>
      <c r="U75" s="131">
        <v>244.11</v>
      </c>
      <c r="V75" s="131">
        <v>228.21</v>
      </c>
      <c r="W75" s="18">
        <f t="shared" si="28"/>
        <v>5.3000000000000016</v>
      </c>
      <c r="X75" s="136"/>
      <c r="Y75" s="131">
        <v>228.21</v>
      </c>
      <c r="Z75" s="153">
        <v>193.39</v>
      </c>
      <c r="AA75" s="18">
        <f t="shared" si="29"/>
        <v>8.7050000000000054</v>
      </c>
      <c r="AB75" s="136"/>
      <c r="AC75" s="153">
        <v>193.39</v>
      </c>
      <c r="AD75" s="153">
        <v>177.07</v>
      </c>
      <c r="AE75" s="18">
        <f t="shared" si="30"/>
        <v>5.4399999999999977</v>
      </c>
      <c r="AF75" s="136"/>
      <c r="AG75" s="131">
        <v>177.07</v>
      </c>
      <c r="AH75" s="131">
        <v>136.38</v>
      </c>
      <c r="AI75" s="18">
        <f t="shared" si="31"/>
        <v>5.8128571428571423</v>
      </c>
      <c r="AJ75" s="136"/>
      <c r="AK75" s="131"/>
      <c r="AL75" s="131"/>
      <c r="AM75" s="18"/>
      <c r="AN75" s="136"/>
      <c r="AO75" s="154"/>
      <c r="AP75" s="131" t="s">
        <v>285</v>
      </c>
      <c r="AQ75" s="18"/>
      <c r="AR75" s="136"/>
      <c r="AS75" s="131">
        <v>362.17</v>
      </c>
      <c r="AT75" s="131">
        <v>339.93</v>
      </c>
      <c r="AU75" s="18">
        <f t="shared" si="32"/>
        <v>-4.4480000000000022</v>
      </c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</row>
    <row r="76" spans="1:61" ht="16">
      <c r="A76" s="15">
        <v>66</v>
      </c>
      <c r="B76" s="15" t="s">
        <v>51</v>
      </c>
      <c r="C76" s="15" t="s">
        <v>50</v>
      </c>
      <c r="D76" s="15" t="s">
        <v>49</v>
      </c>
      <c r="E76" s="131">
        <v>347.74</v>
      </c>
      <c r="F76" s="131">
        <v>333</v>
      </c>
      <c r="G76" s="18">
        <f t="shared" si="24"/>
        <v>4.9133333333333367</v>
      </c>
      <c r="H76" s="136"/>
      <c r="I76" s="131">
        <v>333</v>
      </c>
      <c r="J76" s="131">
        <v>311.43</v>
      </c>
      <c r="K76" s="18">
        <f t="shared" si="25"/>
        <v>5.3924999999999983</v>
      </c>
      <c r="L76" s="136"/>
      <c r="M76" s="131">
        <v>311.43</v>
      </c>
      <c r="N76" s="131">
        <v>291.8</v>
      </c>
      <c r="O76" s="18">
        <f t="shared" si="26"/>
        <v>4.9074999999999989</v>
      </c>
      <c r="P76" s="136"/>
      <c r="Q76" s="131">
        <v>291.8</v>
      </c>
      <c r="R76" s="131">
        <v>269.24</v>
      </c>
      <c r="S76" s="18">
        <f t="shared" si="27"/>
        <v>5.6400000000000006</v>
      </c>
      <c r="T76" s="136"/>
      <c r="U76" s="131">
        <v>269.24</v>
      </c>
      <c r="V76" s="131">
        <v>251.62</v>
      </c>
      <c r="W76" s="18">
        <f t="shared" si="28"/>
        <v>5.8733333333333348</v>
      </c>
      <c r="X76" s="136"/>
      <c r="Y76" s="131">
        <v>251.62</v>
      </c>
      <c r="Z76" s="153">
        <v>214.4</v>
      </c>
      <c r="AA76" s="18">
        <f t="shared" si="29"/>
        <v>9.3049999999999997</v>
      </c>
      <c r="AB76" s="136"/>
      <c r="AC76" s="153">
        <v>214.4</v>
      </c>
      <c r="AD76" s="153">
        <v>197.4</v>
      </c>
      <c r="AE76" s="18">
        <f t="shared" si="30"/>
        <v>5.666666666666667</v>
      </c>
      <c r="AF76" s="136"/>
      <c r="AG76" s="131">
        <v>197.4</v>
      </c>
      <c r="AH76" s="131">
        <v>156.58000000000001</v>
      </c>
      <c r="AI76" s="18">
        <f t="shared" si="31"/>
        <v>5.8314285714285701</v>
      </c>
      <c r="AJ76" s="136"/>
      <c r="AK76" s="131"/>
      <c r="AL76" s="131"/>
      <c r="AM76" s="18"/>
      <c r="AN76" s="136"/>
      <c r="AO76" s="149"/>
      <c r="AP76" s="131" t="s">
        <v>285</v>
      </c>
      <c r="AQ76" s="18"/>
      <c r="AR76" s="136"/>
      <c r="AS76" s="156">
        <v>336.63</v>
      </c>
      <c r="AT76" s="156">
        <v>333.72</v>
      </c>
      <c r="AU76" s="18">
        <f t="shared" si="32"/>
        <v>-0.58199999999999363</v>
      </c>
      <c r="AV76" s="136"/>
      <c r="AW76" s="136"/>
      <c r="AX76" s="136"/>
      <c r="AY76" s="136"/>
      <c r="AZ76" s="136"/>
      <c r="BA76" s="136"/>
      <c r="BB76" s="142"/>
      <c r="BC76" s="142"/>
      <c r="BD76" s="142"/>
      <c r="BE76" s="142"/>
      <c r="BF76" s="142"/>
      <c r="BG76" s="142"/>
      <c r="BH76" s="142"/>
      <c r="BI76" s="142"/>
    </row>
    <row r="77" spans="1:61" ht="16">
      <c r="A77" s="15">
        <v>67</v>
      </c>
      <c r="B77" s="15" t="s">
        <v>51</v>
      </c>
      <c r="C77" s="15" t="s">
        <v>50</v>
      </c>
      <c r="D77" s="15" t="s">
        <v>48</v>
      </c>
      <c r="E77" s="131">
        <v>321.44</v>
      </c>
      <c r="F77" s="131">
        <v>309.60000000000002</v>
      </c>
      <c r="G77" s="18">
        <f t="shared" si="24"/>
        <v>3.9466666666666583</v>
      </c>
      <c r="H77" s="136"/>
      <c r="I77" s="131">
        <v>309.60000000000002</v>
      </c>
      <c r="J77" s="131">
        <v>294.61</v>
      </c>
      <c r="K77" s="18">
        <f t="shared" si="25"/>
        <v>3.7475000000000023</v>
      </c>
      <c r="L77" s="136"/>
      <c r="M77" s="131">
        <v>294.61</v>
      </c>
      <c r="N77" s="131">
        <v>279.72000000000003</v>
      </c>
      <c r="O77" s="18">
        <f t="shared" si="26"/>
        <v>3.7224999999999966</v>
      </c>
      <c r="P77" s="136"/>
      <c r="Q77" s="131">
        <v>279.72000000000003</v>
      </c>
      <c r="R77" s="131">
        <v>262.08999999999997</v>
      </c>
      <c r="S77" s="18">
        <f t="shared" si="27"/>
        <v>4.4075000000000131</v>
      </c>
      <c r="T77" s="136"/>
      <c r="U77" s="131">
        <v>262.08999999999997</v>
      </c>
      <c r="V77" s="131">
        <v>245.4</v>
      </c>
      <c r="W77" s="18">
        <f t="shared" si="28"/>
        <v>5.5633333333333228</v>
      </c>
      <c r="X77" s="136"/>
      <c r="Y77" s="131">
        <v>245.4</v>
      </c>
      <c r="Z77" s="153">
        <v>189.01</v>
      </c>
      <c r="AA77" s="18">
        <f t="shared" si="29"/>
        <v>14.097500000000004</v>
      </c>
      <c r="AB77" s="136"/>
      <c r="AC77" s="153">
        <v>189.01</v>
      </c>
      <c r="AD77" s="153">
        <v>173.6</v>
      </c>
      <c r="AE77" s="18">
        <f t="shared" si="30"/>
        <v>5.1366666666666658</v>
      </c>
      <c r="AF77" s="136"/>
      <c r="AG77" s="131">
        <v>173.6</v>
      </c>
      <c r="AH77" s="131">
        <v>138.22</v>
      </c>
      <c r="AI77" s="18">
        <f t="shared" si="31"/>
        <v>5.0542857142857134</v>
      </c>
      <c r="AJ77" s="136"/>
      <c r="AK77" s="131"/>
      <c r="AL77" s="131"/>
      <c r="AM77" s="18"/>
      <c r="AN77" s="136"/>
      <c r="AO77" s="149"/>
      <c r="AP77" s="131" t="s">
        <v>285</v>
      </c>
      <c r="AQ77" s="18"/>
      <c r="AR77" s="136"/>
      <c r="AS77" s="131">
        <v>335.24</v>
      </c>
      <c r="AT77" s="131">
        <v>312.79000000000002</v>
      </c>
      <c r="AU77" s="18">
        <f t="shared" si="32"/>
        <v>-4.4899999999999975</v>
      </c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</row>
    <row r="78" spans="1:61" ht="16">
      <c r="A78" s="15">
        <v>68</v>
      </c>
      <c r="B78" s="15" t="s">
        <v>51</v>
      </c>
      <c r="C78" s="15" t="s">
        <v>50</v>
      </c>
      <c r="D78" s="15" t="s">
        <v>49</v>
      </c>
      <c r="E78" s="131">
        <v>305.33</v>
      </c>
      <c r="F78" s="131">
        <v>281.60000000000002</v>
      </c>
      <c r="G78" s="18">
        <f t="shared" si="24"/>
        <v>7.9099999999999868</v>
      </c>
      <c r="H78" s="136"/>
      <c r="I78" s="131">
        <v>281.60000000000002</v>
      </c>
      <c r="J78" s="131">
        <v>261.3</v>
      </c>
      <c r="K78" s="18">
        <f t="shared" si="25"/>
        <v>5.0750000000000028</v>
      </c>
      <c r="L78" s="136"/>
      <c r="M78" s="131">
        <v>261.3</v>
      </c>
      <c r="N78" s="131">
        <v>244.07</v>
      </c>
      <c r="O78" s="18">
        <f t="shared" si="26"/>
        <v>4.3075000000000045</v>
      </c>
      <c r="P78" s="136"/>
      <c r="Q78" s="131">
        <v>244.07</v>
      </c>
      <c r="R78" s="131">
        <v>224.96</v>
      </c>
      <c r="S78" s="18">
        <f t="shared" si="27"/>
        <v>4.7774999999999963</v>
      </c>
      <c r="T78" s="136"/>
      <c r="U78" s="131">
        <v>224.96</v>
      </c>
      <c r="V78" s="131">
        <v>210.59</v>
      </c>
      <c r="W78" s="18">
        <f t="shared" si="28"/>
        <v>4.7900000000000018</v>
      </c>
      <c r="X78" s="136"/>
      <c r="Y78" s="131">
        <v>210.59</v>
      </c>
      <c r="Z78" s="153">
        <v>175.49</v>
      </c>
      <c r="AA78" s="18">
        <f t="shared" si="29"/>
        <v>8.7749999999999986</v>
      </c>
      <c r="AB78" s="136"/>
      <c r="AC78" s="153">
        <v>175.49</v>
      </c>
      <c r="AD78" s="153">
        <v>159.69999999999999</v>
      </c>
      <c r="AE78" s="18">
        <f t="shared" si="30"/>
        <v>5.2633333333333399</v>
      </c>
      <c r="AF78" s="136"/>
      <c r="AG78" s="131">
        <v>159.69999999999999</v>
      </c>
      <c r="AH78" s="131">
        <v>127.57</v>
      </c>
      <c r="AI78" s="18">
        <f t="shared" si="31"/>
        <v>4.589999999999999</v>
      </c>
      <c r="AJ78" s="136"/>
      <c r="AK78" s="131"/>
      <c r="AL78" s="131"/>
      <c r="AM78" s="18"/>
      <c r="AN78" s="136"/>
      <c r="AO78" s="149"/>
      <c r="AP78" s="131" t="s">
        <v>285</v>
      </c>
      <c r="AQ78" s="18"/>
      <c r="AR78" s="136"/>
      <c r="AS78" s="131">
        <v>394.9</v>
      </c>
      <c r="AT78" s="131">
        <v>365.8</v>
      </c>
      <c r="AU78" s="18">
        <f t="shared" si="32"/>
        <v>-5.8199999999999932</v>
      </c>
      <c r="AV78" s="136"/>
      <c r="AW78" s="136"/>
      <c r="AX78" s="136"/>
      <c r="AY78" s="136"/>
      <c r="AZ78" s="136"/>
      <c r="BA78" s="136"/>
      <c r="BB78" s="142"/>
      <c r="BC78" s="142"/>
      <c r="BD78" s="142"/>
      <c r="BE78" s="142"/>
      <c r="BF78" s="142"/>
      <c r="BG78" s="142"/>
      <c r="BH78" s="142"/>
      <c r="BI78" s="142"/>
    </row>
    <row r="79" spans="1:61" ht="16">
      <c r="A79" s="15">
        <v>69</v>
      </c>
      <c r="B79" s="15" t="s">
        <v>51</v>
      </c>
      <c r="C79" s="15" t="s">
        <v>50</v>
      </c>
      <c r="D79" s="15" t="s">
        <v>48</v>
      </c>
      <c r="E79" s="131">
        <v>312.91000000000003</v>
      </c>
      <c r="F79" s="131">
        <v>296.39999999999998</v>
      </c>
      <c r="G79" s="18">
        <f t="shared" si="24"/>
        <v>5.503333333333349</v>
      </c>
      <c r="H79" s="136"/>
      <c r="I79" s="131">
        <v>296.39999999999998</v>
      </c>
      <c r="J79" s="131">
        <v>281.47000000000003</v>
      </c>
      <c r="K79" s="18">
        <f t="shared" si="25"/>
        <v>3.7324999999999875</v>
      </c>
      <c r="L79" s="136"/>
      <c r="M79" s="131">
        <v>281.47000000000003</v>
      </c>
      <c r="N79" s="131">
        <v>263.86</v>
      </c>
      <c r="O79" s="18">
        <f t="shared" si="26"/>
        <v>4.4025000000000034</v>
      </c>
      <c r="P79" s="136"/>
      <c r="Q79" s="131">
        <v>263.86</v>
      </c>
      <c r="R79" s="131">
        <v>245.75</v>
      </c>
      <c r="S79" s="18">
        <f t="shared" si="27"/>
        <v>4.5275000000000034</v>
      </c>
      <c r="T79" s="136"/>
      <c r="U79" s="131">
        <v>245.75</v>
      </c>
      <c r="V79" s="131">
        <v>229.76</v>
      </c>
      <c r="W79" s="18">
        <f t="shared" si="28"/>
        <v>5.3300000000000027</v>
      </c>
      <c r="X79" s="136"/>
      <c r="Y79" s="131">
        <v>229.76</v>
      </c>
      <c r="Z79" s="153">
        <v>183.39</v>
      </c>
      <c r="AA79" s="18">
        <f t="shared" si="29"/>
        <v>11.592500000000001</v>
      </c>
      <c r="AB79" s="136"/>
      <c r="AC79" s="153">
        <v>183.39</v>
      </c>
      <c r="AD79" s="153">
        <v>167.73</v>
      </c>
      <c r="AE79" s="18">
        <f t="shared" si="30"/>
        <v>5.2199999999999989</v>
      </c>
      <c r="AF79" s="136"/>
      <c r="AG79" s="131">
        <v>167.73</v>
      </c>
      <c r="AH79" s="131">
        <v>130.09</v>
      </c>
      <c r="AI79" s="18">
        <f t="shared" si="31"/>
        <v>5.3771428571428554</v>
      </c>
      <c r="AJ79" s="136"/>
      <c r="AK79" s="131"/>
      <c r="AL79" s="131"/>
      <c r="AM79" s="18"/>
      <c r="AN79" s="136"/>
      <c r="AO79" s="154"/>
      <c r="AP79" s="131" t="s">
        <v>285</v>
      </c>
      <c r="AQ79" s="18"/>
      <c r="AR79" s="136"/>
      <c r="AS79" s="131">
        <v>370.7</v>
      </c>
      <c r="AT79" s="131">
        <v>344.8</v>
      </c>
      <c r="AU79" s="18">
        <f t="shared" si="32"/>
        <v>-5.1799999999999953</v>
      </c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</row>
    <row r="80" spans="1:61" ht="16">
      <c r="A80" s="15">
        <v>70</v>
      </c>
      <c r="B80" s="15" t="s">
        <v>51</v>
      </c>
      <c r="C80" s="15" t="s">
        <v>50</v>
      </c>
      <c r="D80" s="15" t="s">
        <v>49</v>
      </c>
      <c r="E80" s="131">
        <v>312.33999999999997</v>
      </c>
      <c r="F80" s="131">
        <v>289.60000000000002</v>
      </c>
      <c r="G80" s="18">
        <f t="shared" si="24"/>
        <v>7.5799999999999841</v>
      </c>
      <c r="H80" s="136"/>
      <c r="I80" s="131">
        <v>289.60000000000002</v>
      </c>
      <c r="J80" s="131">
        <v>270</v>
      </c>
      <c r="K80" s="18">
        <f t="shared" si="25"/>
        <v>4.9000000000000057</v>
      </c>
      <c r="L80" s="136"/>
      <c r="M80" s="131">
        <v>270</v>
      </c>
      <c r="N80" s="131">
        <v>252.7</v>
      </c>
      <c r="O80" s="18">
        <f t="shared" si="26"/>
        <v>4.3250000000000028</v>
      </c>
      <c r="P80" s="136"/>
      <c r="Q80" s="131">
        <v>252.7</v>
      </c>
      <c r="R80" s="131">
        <v>233.82</v>
      </c>
      <c r="S80" s="18">
        <f t="shared" si="27"/>
        <v>4.7199999999999989</v>
      </c>
      <c r="T80" s="136"/>
      <c r="U80" s="131">
        <v>233.82</v>
      </c>
      <c r="V80" s="131">
        <v>214.82</v>
      </c>
      <c r="W80" s="18">
        <f t="shared" si="28"/>
        <v>6.333333333333333</v>
      </c>
      <c r="X80" s="136"/>
      <c r="Y80" s="131">
        <v>214.82</v>
      </c>
      <c r="Z80" s="153">
        <v>192.6</v>
      </c>
      <c r="AA80" s="18">
        <f t="shared" si="29"/>
        <v>5.5549999999999997</v>
      </c>
      <c r="AB80" s="136"/>
      <c r="AC80" s="153">
        <v>192.6</v>
      </c>
      <c r="AD80" s="153">
        <v>177.62</v>
      </c>
      <c r="AE80" s="18">
        <f t="shared" si="30"/>
        <v>4.9933333333333296</v>
      </c>
      <c r="AF80" s="136"/>
      <c r="AG80" s="131">
        <v>177.62</v>
      </c>
      <c r="AH80" s="131">
        <v>140.63999999999999</v>
      </c>
      <c r="AI80" s="18">
        <f t="shared" si="31"/>
        <v>5.2828571428571456</v>
      </c>
      <c r="AJ80" s="136"/>
      <c r="AK80" s="131"/>
      <c r="AL80" s="131"/>
      <c r="AM80" s="18"/>
      <c r="AN80" s="136"/>
      <c r="AO80" s="149"/>
      <c r="AP80" s="131" t="s">
        <v>285</v>
      </c>
      <c r="AQ80" s="18"/>
      <c r="AR80" s="136"/>
      <c r="AS80" s="131">
        <v>355.2</v>
      </c>
      <c r="AT80" s="131">
        <v>329.86</v>
      </c>
      <c r="AU80" s="18">
        <f t="shared" si="32"/>
        <v>-5.0679999999999952</v>
      </c>
      <c r="AV80" s="136"/>
      <c r="AW80" s="136"/>
      <c r="AX80" s="136"/>
      <c r="AY80" s="136"/>
      <c r="AZ80" s="136"/>
      <c r="BA80" s="136"/>
      <c r="BB80" s="142"/>
      <c r="BC80" s="142"/>
      <c r="BD80" s="142"/>
      <c r="BE80" s="142"/>
      <c r="BF80" s="142"/>
      <c r="BG80" s="142"/>
      <c r="BH80" s="142"/>
      <c r="BI80" s="142"/>
    </row>
    <row r="81" spans="1:61" ht="16">
      <c r="A81" s="15">
        <v>71</v>
      </c>
      <c r="B81" s="157" t="s">
        <v>51</v>
      </c>
      <c r="C81" s="15" t="s">
        <v>50</v>
      </c>
      <c r="D81" s="157" t="s">
        <v>49</v>
      </c>
      <c r="E81" s="131">
        <v>252.59</v>
      </c>
      <c r="F81" s="131">
        <v>233.8</v>
      </c>
      <c r="G81" s="18">
        <f t="shared" si="24"/>
        <v>6.263333333333331</v>
      </c>
      <c r="H81" s="136"/>
      <c r="I81" s="131">
        <v>233.8</v>
      </c>
      <c r="J81" s="131">
        <v>215.3</v>
      </c>
      <c r="K81" s="18">
        <f t="shared" si="25"/>
        <v>4.625</v>
      </c>
      <c r="L81" s="136"/>
      <c r="M81" s="131">
        <v>215.3</v>
      </c>
      <c r="N81" s="131">
        <v>194.97</v>
      </c>
      <c r="O81" s="18">
        <f t="shared" si="26"/>
        <v>5.0825000000000031</v>
      </c>
      <c r="P81" s="136"/>
      <c r="Q81" s="131">
        <v>194.97</v>
      </c>
      <c r="R81" s="131">
        <v>174.97</v>
      </c>
      <c r="S81" s="18">
        <f t="shared" si="27"/>
        <v>5</v>
      </c>
      <c r="T81" s="136"/>
      <c r="U81" s="131">
        <v>174.97</v>
      </c>
      <c r="V81" s="131">
        <v>157.80000000000001</v>
      </c>
      <c r="W81" s="18">
        <f t="shared" si="28"/>
        <v>5.7233333333333292</v>
      </c>
      <c r="X81" s="136"/>
      <c r="Y81" s="131">
        <v>157.80000000000001</v>
      </c>
      <c r="Z81" s="153">
        <v>131.25</v>
      </c>
      <c r="AA81" s="18">
        <f t="shared" si="29"/>
        <v>6.6375000000000028</v>
      </c>
      <c r="AB81" s="136"/>
      <c r="AC81" s="153">
        <v>131.25</v>
      </c>
      <c r="AD81" s="153">
        <v>112.5</v>
      </c>
      <c r="AE81" s="18">
        <f t="shared" si="30"/>
        <v>6.25</v>
      </c>
      <c r="AF81" s="136"/>
      <c r="AG81" s="131">
        <v>112.5</v>
      </c>
      <c r="AH81" s="131">
        <v>70.34</v>
      </c>
      <c r="AI81" s="18">
        <f t="shared" si="31"/>
        <v>6.0228571428571422</v>
      </c>
      <c r="AJ81" s="136"/>
      <c r="AK81" s="131"/>
      <c r="AL81" s="131"/>
      <c r="AM81" s="18"/>
      <c r="AN81" s="136"/>
      <c r="AO81" s="154"/>
      <c r="AP81" s="131" t="s">
        <v>285</v>
      </c>
      <c r="AQ81" s="18"/>
      <c r="AR81" s="136"/>
      <c r="AS81" s="131">
        <v>349.14</v>
      </c>
      <c r="AT81" s="131">
        <v>314.69</v>
      </c>
      <c r="AU81" s="18">
        <f t="shared" si="32"/>
        <v>-6.8899999999999979</v>
      </c>
      <c r="AV81" s="136"/>
      <c r="AW81" s="136"/>
      <c r="AX81" s="136"/>
      <c r="AY81" s="136"/>
      <c r="AZ81" s="136"/>
      <c r="BA81" s="136"/>
      <c r="BB81" s="142"/>
      <c r="BC81" s="142"/>
      <c r="BD81" s="142"/>
      <c r="BE81" s="142"/>
      <c r="BF81" s="142"/>
      <c r="BG81" s="142"/>
      <c r="BH81" s="142"/>
      <c r="BI81" s="142"/>
    </row>
    <row r="82" spans="1:61">
      <c r="A82" s="15"/>
      <c r="B82" s="157"/>
      <c r="C82" s="157"/>
      <c r="D82" s="157"/>
      <c r="E82" s="131"/>
      <c r="F82" s="131"/>
      <c r="G82" s="18"/>
      <c r="H82" s="136"/>
      <c r="I82" s="131"/>
      <c r="J82" s="131"/>
      <c r="K82" s="18"/>
      <c r="L82" s="136"/>
      <c r="M82" s="131"/>
      <c r="N82" s="131"/>
      <c r="O82" s="18"/>
      <c r="P82" s="136"/>
      <c r="Q82" s="131"/>
      <c r="R82" s="131"/>
      <c r="S82" s="18"/>
      <c r="T82" s="136"/>
      <c r="U82" s="131"/>
      <c r="V82" s="131"/>
      <c r="W82" s="18"/>
      <c r="X82" s="136"/>
      <c r="Y82" s="131"/>
      <c r="Z82" s="131"/>
      <c r="AA82" s="18"/>
      <c r="AB82" s="136"/>
      <c r="AC82" s="131"/>
      <c r="AD82" s="131"/>
      <c r="AE82" s="18"/>
      <c r="AF82" s="136"/>
      <c r="AG82" s="131"/>
      <c r="AH82" s="131"/>
      <c r="AI82" s="18"/>
      <c r="AJ82" s="136"/>
      <c r="AK82" s="131"/>
      <c r="AL82" s="131"/>
      <c r="AM82" s="18"/>
      <c r="AN82" s="136"/>
      <c r="AO82" s="131"/>
      <c r="AP82" s="131" t="s">
        <v>285</v>
      </c>
      <c r="AQ82" s="18"/>
      <c r="AR82" s="136"/>
      <c r="AS82" s="131"/>
      <c r="AT82" s="131"/>
      <c r="AU82" s="18">
        <f t="shared" si="32"/>
        <v>0</v>
      </c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</row>
    <row r="83" spans="1:61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</row>
    <row r="84" spans="1:61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</row>
    <row r="85" spans="1:61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</row>
    <row r="86" spans="1:6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</row>
    <row r="87" spans="1:61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</row>
    <row r="88" spans="1:61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</row>
    <row r="89" spans="1:61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</row>
    <row r="90" spans="1:6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</row>
    <row r="91" spans="1:6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</row>
    <row r="92" spans="1:61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</row>
    <row r="93" spans="1:61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</row>
    <row r="94" spans="1:6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</row>
    <row r="95" spans="1:61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</row>
    <row r="96" spans="1:61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</row>
    <row r="97" spans="1:61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</row>
    <row r="98" spans="1:6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</row>
    <row r="99" spans="1:6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</row>
    <row r="100" spans="1:6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</row>
    <row r="101" spans="1:6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</row>
    <row r="102" spans="1:6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</row>
    <row r="103" spans="1:6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</row>
    <row r="104" spans="1:6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</row>
    <row r="105" spans="1:6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</row>
    <row r="106" spans="1:6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</row>
    <row r="107" spans="1:6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</row>
    <row r="108" spans="1:6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</row>
    <row r="109" spans="1:6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</row>
    <row r="110" spans="1:6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</row>
    <row r="111" spans="1:6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</row>
    <row r="112" spans="1:6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</row>
    <row r="113" spans="1:6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</row>
    <row r="114" spans="1:6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</row>
    <row r="115" spans="1:6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</row>
    <row r="116" spans="1:6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</row>
    <row r="117" spans="1:6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</row>
    <row r="118" spans="1:6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</row>
    <row r="119" spans="1:6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</row>
    <row r="120" spans="1:6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</row>
    <row r="121" spans="1:6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</row>
    <row r="122" spans="1:6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</row>
    <row r="123" spans="1:6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</row>
    <row r="124" spans="1:6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</row>
    <row r="125" spans="1:6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</row>
    <row r="126" spans="1:6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</row>
    <row r="127" spans="1:6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</row>
    <row r="128" spans="1:6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</row>
    <row r="129" spans="1:6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</row>
    <row r="130" spans="1:6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</row>
    <row r="131" spans="1:6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</row>
    <row r="132" spans="1:6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</row>
    <row r="133" spans="1:6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</row>
    <row r="134" spans="1:6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</row>
    <row r="135" spans="1:6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</row>
    <row r="136" spans="1:6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</row>
    <row r="137" spans="1:6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</row>
    <row r="138" spans="1:6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</row>
    <row r="139" spans="1:6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</row>
    <row r="140" spans="1:6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</row>
    <row r="141" spans="1:6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</row>
    <row r="142" spans="1:6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</row>
    <row r="143" spans="1:6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</row>
    <row r="144" spans="1:6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</row>
    <row r="145" spans="1:6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</row>
    <row r="146" spans="1:6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</row>
    <row r="147" spans="1:6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</row>
    <row r="148" spans="1:6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</row>
    <row r="149" spans="1:6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</row>
    <row r="150" spans="1:6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</row>
    <row r="151" spans="1:6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</row>
    <row r="152" spans="1:6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</row>
    <row r="153" spans="1:6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</row>
    <row r="154" spans="1:6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</row>
    <row r="155" spans="1:6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</row>
    <row r="156" spans="1:6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</row>
    <row r="157" spans="1:6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</row>
    <row r="158" spans="1:6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</row>
    <row r="159" spans="1:6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</row>
    <row r="160" spans="1:6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</row>
    <row r="161" spans="1:6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</row>
    <row r="162" spans="1:6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</row>
    <row r="163" spans="1:6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</row>
    <row r="164" spans="1:6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</row>
    <row r="165" spans="1:6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</row>
    <row r="166" spans="1:6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</row>
    <row r="167" spans="1:6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</row>
    <row r="168" spans="1:6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</row>
    <row r="169" spans="1:6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</row>
    <row r="170" spans="1:6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</row>
    <row r="171" spans="1:6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</row>
    <row r="172" spans="1:6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</row>
    <row r="173" spans="1:6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</row>
    <row r="174" spans="1:6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</row>
    <row r="175" spans="1:6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</row>
    <row r="176" spans="1:6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</row>
    <row r="177" spans="1:6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</row>
    <row r="178" spans="1:6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</row>
    <row r="179" spans="1:6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</row>
    <row r="180" spans="1:6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</row>
    <row r="181" spans="1:6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</row>
    <row r="182" spans="1:6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</row>
    <row r="183" spans="1:6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</row>
    <row r="184" spans="1:6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</row>
    <row r="185" spans="1:6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</row>
    <row r="186" spans="1:6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</row>
    <row r="187" spans="1:6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</row>
    <row r="188" spans="1:6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</row>
    <row r="189" spans="1:6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</row>
    <row r="190" spans="1:6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</row>
    <row r="191" spans="1:6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</row>
    <row r="192" spans="1:6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</row>
    <row r="193" spans="1:6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</row>
    <row r="194" spans="1:6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</row>
    <row r="195" spans="1:6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</row>
    <row r="196" spans="1:6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</row>
    <row r="197" spans="1:6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</row>
    <row r="198" spans="1:6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</row>
    <row r="199" spans="1:6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</row>
    <row r="200" spans="1:6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</row>
    <row r="201" spans="1:6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</row>
    <row r="202" spans="1:6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</row>
    <row r="203" spans="1:6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</row>
    <row r="204" spans="1:6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</row>
    <row r="205" spans="1:6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</row>
    <row r="206" spans="1:6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</row>
    <row r="207" spans="1:6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</row>
    <row r="208" spans="1:6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</row>
    <row r="209" spans="1:6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</row>
    <row r="210" spans="1:6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</row>
    <row r="211" spans="1:6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</row>
    <row r="212" spans="1:6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</row>
    <row r="213" spans="1:6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</row>
    <row r="214" spans="1:6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</row>
    <row r="215" spans="1:6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</row>
    <row r="216" spans="1:6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</row>
    <row r="217" spans="1:6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</row>
    <row r="218" spans="1:6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</row>
    <row r="219" spans="1:6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</row>
    <row r="220" spans="1:6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</row>
    <row r="221" spans="1:6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</row>
    <row r="222" spans="1:6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</row>
    <row r="223" spans="1:6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</row>
    <row r="224" spans="1:6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</row>
    <row r="225" spans="1:6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</row>
    <row r="226" spans="1:6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</row>
    <row r="227" spans="1:6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</row>
    <row r="228" spans="1:6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</row>
    <row r="229" spans="1:6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</row>
    <row r="230" spans="1:6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</row>
    <row r="231" spans="1:6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</row>
    <row r="232" spans="1:6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</row>
    <row r="233" spans="1:6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</row>
    <row r="234" spans="1:6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</row>
    <row r="235" spans="1:6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</row>
    <row r="236" spans="1:6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</row>
    <row r="237" spans="1:6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</row>
    <row r="238" spans="1:6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</row>
    <row r="239" spans="1:6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</row>
    <row r="240" spans="1:6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</row>
    <row r="241" spans="1:6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</row>
    <row r="242" spans="1:6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</row>
    <row r="243" spans="1:6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</row>
    <row r="244" spans="1:6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</row>
    <row r="245" spans="1:6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</row>
    <row r="246" spans="1:6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</row>
    <row r="247" spans="1:6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</row>
    <row r="248" spans="1:6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</row>
    <row r="249" spans="1:6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</row>
    <row r="250" spans="1:6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</row>
    <row r="251" spans="1:6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</row>
    <row r="252" spans="1:6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</row>
    <row r="253" spans="1:6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</row>
    <row r="254" spans="1:6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</row>
    <row r="255" spans="1:6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</row>
    <row r="256" spans="1:6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</row>
    <row r="257" spans="1:6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</row>
    <row r="258" spans="1:6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</row>
    <row r="259" spans="1:6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</row>
    <row r="260" spans="1:6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</row>
    <row r="261" spans="1: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</row>
    <row r="262" spans="1:6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</row>
    <row r="263" spans="1:6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</row>
    <row r="264" spans="1:6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</row>
    <row r="265" spans="1:6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</row>
    <row r="266" spans="1:6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</row>
    <row r="267" spans="1:6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</row>
    <row r="268" spans="1:6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</row>
    <row r="269" spans="1:6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</row>
    <row r="270" spans="1:6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</row>
    <row r="271" spans="1:6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</row>
    <row r="272" spans="1:6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</row>
    <row r="273" spans="1:6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</row>
    <row r="274" spans="1:6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</row>
    <row r="275" spans="1:6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</row>
    <row r="276" spans="1:6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</row>
    <row r="277" spans="1:6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</row>
    <row r="278" spans="1:6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</row>
    <row r="279" spans="1:6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</row>
    <row r="280" spans="1:6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</row>
    <row r="281" spans="1:6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</row>
    <row r="282" spans="1:6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</row>
    <row r="283" spans="1:6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</row>
    <row r="284" spans="1:6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</row>
    <row r="285" spans="1:6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</row>
    <row r="286" spans="1:6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</row>
    <row r="287" spans="1:6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</row>
    <row r="288" spans="1:6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</row>
    <row r="289" spans="1:6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</row>
    <row r="290" spans="1:6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</row>
    <row r="291" spans="1:6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</row>
    <row r="292" spans="1:6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</row>
    <row r="293" spans="1:6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</row>
    <row r="294" spans="1:6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</row>
    <row r="295" spans="1:6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</row>
    <row r="296" spans="1:6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</row>
    <row r="297" spans="1:6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</row>
    <row r="298" spans="1:6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</row>
    <row r="299" spans="1:6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</row>
    <row r="300" spans="1:6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</row>
    <row r="301" spans="1:6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</row>
    <row r="302" spans="1:6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</row>
    <row r="303" spans="1:6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</row>
    <row r="304" spans="1:6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</row>
    <row r="305" spans="1:6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</row>
    <row r="306" spans="1:6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</row>
    <row r="307" spans="1:6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</row>
    <row r="308" spans="1:6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</row>
    <row r="309" spans="1:6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</row>
    <row r="310" spans="1:6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</row>
    <row r="311" spans="1:6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</row>
    <row r="312" spans="1:6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</row>
    <row r="313" spans="1:6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</row>
    <row r="314" spans="1:6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</row>
    <row r="315" spans="1:6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</row>
    <row r="316" spans="1:6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</row>
    <row r="317" spans="1:6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</row>
    <row r="318" spans="1:6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  <c r="BI318" s="136"/>
    </row>
    <row r="319" spans="1:6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</row>
    <row r="320" spans="1:6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</row>
    <row r="321" spans="1:6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</row>
    <row r="322" spans="1:6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  <c r="BI322" s="136"/>
    </row>
    <row r="323" spans="1:6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</row>
    <row r="324" spans="1:6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  <c r="BI324" s="136"/>
    </row>
    <row r="325" spans="1:6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  <c r="BI325" s="136"/>
    </row>
    <row r="326" spans="1:6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  <c r="BI326" s="136"/>
    </row>
    <row r="327" spans="1:6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</row>
    <row r="328" spans="1:6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  <c r="BI328" s="136"/>
    </row>
    <row r="329" spans="1:6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</row>
    <row r="330" spans="1:6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</row>
    <row r="331" spans="1:6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  <c r="BI331" s="136"/>
    </row>
    <row r="332" spans="1:6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  <c r="BI332" s="136"/>
    </row>
    <row r="333" spans="1:6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  <c r="BI333" s="136"/>
    </row>
    <row r="334" spans="1:6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  <c r="BI334" s="136"/>
    </row>
    <row r="335" spans="1:6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  <c r="BI335" s="136"/>
    </row>
    <row r="336" spans="1:6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  <c r="BI336" s="136"/>
    </row>
    <row r="337" spans="1:6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  <c r="BI337" s="136"/>
    </row>
    <row r="338" spans="1:6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  <c r="BI338" s="136"/>
    </row>
    <row r="339" spans="1:6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  <c r="BI339" s="136"/>
    </row>
    <row r="340" spans="1:6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  <c r="BI340" s="136"/>
    </row>
    <row r="341" spans="1:6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  <c r="BI341" s="136"/>
    </row>
    <row r="342" spans="1:6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  <c r="BI342" s="136"/>
    </row>
    <row r="343" spans="1:6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</row>
    <row r="344" spans="1:6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  <c r="BI344" s="136"/>
    </row>
    <row r="345" spans="1:6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  <c r="BI345" s="136"/>
    </row>
    <row r="346" spans="1:6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</row>
    <row r="347" spans="1:6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  <c r="BI347" s="136"/>
    </row>
    <row r="348" spans="1:6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  <c r="BI348" s="136"/>
    </row>
    <row r="349" spans="1:6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</row>
    <row r="350" spans="1:6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  <c r="BI350" s="136"/>
    </row>
    <row r="351" spans="1:6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  <c r="BI351" s="136"/>
    </row>
    <row r="352" spans="1:6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</row>
    <row r="353" spans="1:6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  <c r="BI353" s="136"/>
    </row>
    <row r="354" spans="1:6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  <c r="BI354" s="136"/>
    </row>
    <row r="355" spans="1:6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</row>
    <row r="356" spans="1:6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  <c r="BI356" s="136"/>
    </row>
    <row r="357" spans="1:6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  <c r="BI357" s="136"/>
    </row>
    <row r="358" spans="1:6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</row>
    <row r="359" spans="1:6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</row>
    <row r="360" spans="1:6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  <c r="BI360" s="136"/>
    </row>
    <row r="361" spans="1: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</row>
    <row r="362" spans="1:6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  <c r="BI362" s="136"/>
    </row>
    <row r="363" spans="1:6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  <c r="BI363" s="136"/>
    </row>
    <row r="364" spans="1:6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  <c r="BI364" s="136"/>
    </row>
    <row r="365" spans="1:6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  <c r="BI365" s="136"/>
    </row>
    <row r="366" spans="1:6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  <c r="BI366" s="136"/>
    </row>
    <row r="367" spans="1:6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</row>
    <row r="368" spans="1:6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  <c r="BI368" s="136"/>
    </row>
    <row r="369" spans="1:6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  <c r="BI369" s="136"/>
    </row>
    <row r="370" spans="1:6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</row>
    <row r="371" spans="1:6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</row>
    <row r="372" spans="1:6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  <c r="BI372" s="136"/>
    </row>
    <row r="373" spans="1:6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</row>
    <row r="374" spans="1:6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  <c r="BI374" s="136"/>
    </row>
    <row r="375" spans="1:6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  <c r="BI375" s="136"/>
    </row>
    <row r="376" spans="1:6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</row>
    <row r="377" spans="1:6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  <c r="BI377" s="136"/>
    </row>
    <row r="378" spans="1:6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  <c r="BI378" s="136"/>
    </row>
    <row r="379" spans="1:6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</row>
    <row r="380" spans="1:6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  <c r="BI380" s="136"/>
    </row>
    <row r="381" spans="1:6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  <c r="BI381" s="136"/>
    </row>
    <row r="382" spans="1:6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</row>
    <row r="383" spans="1:6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  <c r="BI383" s="136"/>
    </row>
    <row r="384" spans="1:6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  <c r="BI384" s="136"/>
    </row>
    <row r="385" spans="1:6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</row>
    <row r="386" spans="1:6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  <c r="BI386" s="136"/>
    </row>
    <row r="387" spans="1:6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  <c r="BI387" s="136"/>
    </row>
    <row r="388" spans="1:6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</row>
    <row r="389" spans="1:6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  <c r="BI389" s="136"/>
    </row>
    <row r="390" spans="1:6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  <c r="BI390" s="136"/>
    </row>
    <row r="391" spans="1:6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</row>
    <row r="392" spans="1:6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  <c r="BI392" s="136"/>
    </row>
    <row r="393" spans="1:6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  <c r="BI393" s="136"/>
    </row>
    <row r="394" spans="1:6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</row>
    <row r="395" spans="1:6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</row>
    <row r="396" spans="1:6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  <c r="BI396" s="136"/>
    </row>
    <row r="397" spans="1:6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</row>
    <row r="398" spans="1:6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  <c r="BI398" s="136"/>
    </row>
    <row r="399" spans="1:6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  <c r="BI399" s="136"/>
    </row>
    <row r="400" spans="1:6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</row>
    <row r="401" spans="1:6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  <c r="BI401" s="136"/>
    </row>
    <row r="402" spans="1:6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  <c r="BI402" s="136"/>
    </row>
    <row r="403" spans="1:6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</row>
    <row r="404" spans="1:6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  <c r="BI404" s="136"/>
    </row>
    <row r="405" spans="1:6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  <c r="BI405" s="136"/>
    </row>
    <row r="406" spans="1:6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</row>
    <row r="407" spans="1:6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  <c r="BI407" s="136"/>
    </row>
    <row r="408" spans="1:6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  <c r="BI408" s="136"/>
    </row>
    <row r="409" spans="1:6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</row>
    <row r="410" spans="1:6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  <c r="BI410" s="136"/>
    </row>
    <row r="411" spans="1:6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  <c r="BI411" s="136"/>
    </row>
    <row r="412" spans="1:6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  <c r="BI412" s="136"/>
    </row>
    <row r="413" spans="1:6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  <c r="BI413" s="136"/>
    </row>
    <row r="414" spans="1:6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  <c r="BI414" s="136"/>
    </row>
    <row r="415" spans="1:6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  <c r="BI415" s="136"/>
    </row>
    <row r="416" spans="1:6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  <c r="BI416" s="136"/>
    </row>
    <row r="417" spans="1:6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  <c r="BI417" s="136"/>
    </row>
    <row r="418" spans="1:6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  <c r="BI418" s="136"/>
    </row>
    <row r="419" spans="1:6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  <c r="BI419" s="136"/>
    </row>
    <row r="420" spans="1:6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  <c r="BI420" s="136"/>
    </row>
    <row r="421" spans="1:6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  <c r="BI421" s="136"/>
    </row>
    <row r="422" spans="1:6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  <c r="BI422" s="136"/>
    </row>
    <row r="423" spans="1:6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  <c r="BI423" s="136"/>
    </row>
    <row r="424" spans="1:6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  <c r="BI424" s="136"/>
    </row>
    <row r="425" spans="1:6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  <c r="BI425" s="136"/>
    </row>
    <row r="426" spans="1:6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  <c r="BI426" s="136"/>
    </row>
    <row r="427" spans="1:6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  <c r="BI427" s="136"/>
    </row>
    <row r="428" spans="1:6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  <c r="BI428" s="136"/>
    </row>
    <row r="429" spans="1:6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  <c r="BI429" s="136"/>
    </row>
    <row r="430" spans="1:6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  <c r="BI430" s="136"/>
    </row>
    <row r="431" spans="1:6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  <c r="BI431" s="136"/>
    </row>
    <row r="432" spans="1:6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  <c r="BI432" s="136"/>
    </row>
    <row r="433" spans="1:6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  <c r="BI433" s="136"/>
    </row>
    <row r="434" spans="1:6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  <c r="BI434" s="136"/>
    </row>
    <row r="435" spans="1:6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  <c r="BI435" s="136"/>
    </row>
    <row r="436" spans="1:6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  <c r="BI436" s="136"/>
    </row>
    <row r="437" spans="1:6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  <c r="BI437" s="136"/>
    </row>
    <row r="438" spans="1:6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  <c r="BI438" s="136"/>
    </row>
    <row r="439" spans="1:6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  <c r="BI439" s="136"/>
    </row>
    <row r="440" spans="1:6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  <c r="BI440" s="136"/>
    </row>
    <row r="441" spans="1:6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  <c r="BI441" s="136"/>
    </row>
    <row r="442" spans="1:6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  <c r="BI442" s="136"/>
    </row>
    <row r="443" spans="1:6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  <c r="BI443" s="136"/>
    </row>
    <row r="444" spans="1:6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  <c r="BI444" s="136"/>
    </row>
    <row r="445" spans="1:6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  <c r="BI445" s="136"/>
    </row>
    <row r="446" spans="1:6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  <c r="BI446" s="136"/>
    </row>
    <row r="447" spans="1:6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  <c r="BI447" s="136"/>
    </row>
    <row r="448" spans="1:6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  <c r="BI448" s="136"/>
    </row>
    <row r="449" spans="1:6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  <c r="BI449" s="136"/>
    </row>
    <row r="450" spans="1:6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  <c r="BI450" s="136"/>
    </row>
    <row r="451" spans="1:6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  <c r="BI451" s="136"/>
    </row>
    <row r="452" spans="1:6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  <c r="BI452" s="136"/>
    </row>
    <row r="453" spans="1:6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  <c r="BI453" s="136"/>
    </row>
    <row r="454" spans="1:6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  <c r="BI454" s="136"/>
    </row>
    <row r="455" spans="1:6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  <c r="BI455" s="136"/>
    </row>
    <row r="456" spans="1:6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  <c r="BI456" s="136"/>
    </row>
    <row r="457" spans="1:6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  <c r="BI457" s="136"/>
    </row>
    <row r="458" spans="1:6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  <c r="BI458" s="136"/>
    </row>
    <row r="459" spans="1:6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  <c r="BI459" s="136"/>
    </row>
    <row r="460" spans="1:6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  <c r="BI460" s="136"/>
    </row>
    <row r="461" spans="1: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  <c r="BI461" s="136"/>
    </row>
    <row r="462" spans="1:6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  <c r="BI462" s="136"/>
    </row>
    <row r="463" spans="1:6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  <c r="BI463" s="136"/>
    </row>
    <row r="464" spans="1:6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  <c r="BI464" s="136"/>
    </row>
    <row r="465" spans="1:6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  <c r="BI465" s="136"/>
    </row>
    <row r="466" spans="1:6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  <c r="BI466" s="136"/>
    </row>
    <row r="467" spans="1:6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  <c r="BI467" s="136"/>
    </row>
    <row r="468" spans="1:6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  <c r="BI468" s="136"/>
    </row>
    <row r="469" spans="1:6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  <c r="BI469" s="136"/>
    </row>
    <row r="470" spans="1:6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  <c r="BI470" s="136"/>
    </row>
    <row r="471" spans="1:6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  <c r="BI471" s="136"/>
    </row>
    <row r="472" spans="1:6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  <c r="BI472" s="136"/>
    </row>
    <row r="473" spans="1:6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  <c r="BI473" s="136"/>
    </row>
    <row r="474" spans="1:6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  <c r="BI474" s="136"/>
    </row>
    <row r="475" spans="1:6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  <c r="BI475" s="136"/>
    </row>
    <row r="476" spans="1:6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  <c r="BI476" s="136"/>
    </row>
    <row r="477" spans="1:6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  <c r="BI477" s="136"/>
    </row>
    <row r="478" spans="1:6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  <c r="BI478" s="136"/>
    </row>
    <row r="479" spans="1:6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  <c r="BI479" s="136"/>
    </row>
    <row r="480" spans="1:6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  <c r="BI480" s="136"/>
    </row>
    <row r="481" spans="1:6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  <c r="BI481" s="136"/>
    </row>
    <row r="482" spans="1:6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  <c r="BI482" s="136"/>
    </row>
    <row r="483" spans="1:6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  <c r="BI483" s="136"/>
    </row>
    <row r="484" spans="1:6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  <c r="BI484" s="136"/>
    </row>
    <row r="485" spans="1:6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  <c r="BI485" s="136"/>
    </row>
    <row r="486" spans="1:6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  <c r="BI486" s="136"/>
    </row>
    <row r="487" spans="1:6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  <c r="BI487" s="136"/>
    </row>
    <row r="488" spans="1:6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  <c r="BI488" s="136"/>
    </row>
    <row r="489" spans="1:6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  <c r="BI489" s="136"/>
    </row>
    <row r="490" spans="1:6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  <c r="BI490" s="136"/>
    </row>
    <row r="491" spans="1:6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  <c r="BI491" s="136"/>
    </row>
    <row r="492" spans="1:6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  <c r="BI492" s="136"/>
    </row>
    <row r="493" spans="1:6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  <c r="BI493" s="136"/>
    </row>
    <row r="494" spans="1:6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  <c r="BI494" s="136"/>
    </row>
    <row r="495" spans="1:6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  <c r="BI495" s="136"/>
    </row>
    <row r="496" spans="1:6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  <c r="BI496" s="136"/>
    </row>
    <row r="497" spans="1:6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  <c r="BI497" s="136"/>
    </row>
    <row r="498" spans="1:6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  <c r="BI498" s="136"/>
    </row>
    <row r="499" spans="1:6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  <c r="BI499" s="136"/>
    </row>
    <row r="500" spans="1:6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  <c r="BI500" s="136"/>
    </row>
    <row r="501" spans="1:6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  <c r="BI501" s="136"/>
    </row>
    <row r="502" spans="1:6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  <c r="BI502" s="136"/>
    </row>
    <row r="503" spans="1:6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  <c r="BI503" s="136"/>
    </row>
    <row r="504" spans="1:6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  <c r="BI504" s="136"/>
    </row>
    <row r="505" spans="1:6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  <c r="BI505" s="136"/>
    </row>
    <row r="506" spans="1:6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  <c r="BI506" s="136"/>
    </row>
    <row r="507" spans="1:6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  <c r="BI507" s="136"/>
    </row>
    <row r="508" spans="1:6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  <c r="BI508" s="136"/>
    </row>
    <row r="509" spans="1:6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  <c r="BI509" s="136"/>
    </row>
    <row r="510" spans="1:6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  <c r="BI510" s="136"/>
    </row>
    <row r="511" spans="1:6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  <c r="BI511" s="136"/>
    </row>
    <row r="512" spans="1:6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  <c r="BI512" s="136"/>
    </row>
    <row r="513" spans="1:6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  <c r="BI513" s="136"/>
    </row>
    <row r="514" spans="1:6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  <c r="BI514" s="136"/>
    </row>
    <row r="515" spans="1:6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  <c r="BI515" s="136"/>
    </row>
    <row r="516" spans="1:6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  <c r="BI516" s="136"/>
    </row>
    <row r="517" spans="1:6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  <c r="BI517" s="136"/>
    </row>
    <row r="518" spans="1:6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  <c r="BI518" s="136"/>
    </row>
    <row r="519" spans="1:6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  <c r="BI519" s="136"/>
    </row>
    <row r="520" spans="1:6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  <c r="BI520" s="136"/>
    </row>
    <row r="521" spans="1:6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  <c r="BI521" s="136"/>
    </row>
    <row r="522" spans="1:6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  <c r="BI522" s="136"/>
    </row>
    <row r="523" spans="1:6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  <c r="BI523" s="136"/>
    </row>
    <row r="524" spans="1:6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  <c r="BI524" s="136"/>
    </row>
    <row r="525" spans="1:6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  <c r="BI525" s="136"/>
    </row>
    <row r="526" spans="1:6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  <c r="BI526" s="136"/>
    </row>
    <row r="527" spans="1:6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  <c r="BI527" s="136"/>
    </row>
    <row r="528" spans="1:6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  <c r="BI528" s="136"/>
    </row>
    <row r="529" spans="1:6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  <c r="BI529" s="136"/>
    </row>
    <row r="530" spans="1:6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  <c r="BI530" s="136"/>
    </row>
    <row r="531" spans="1:6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  <c r="BI531" s="136"/>
    </row>
    <row r="532" spans="1:6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  <c r="BI532" s="136"/>
    </row>
    <row r="533" spans="1:6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  <c r="BI533" s="136"/>
    </row>
    <row r="534" spans="1:6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  <c r="BI534" s="136"/>
    </row>
    <row r="535" spans="1:6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  <c r="BI535" s="136"/>
    </row>
    <row r="536" spans="1:6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  <c r="BI536" s="136"/>
    </row>
    <row r="537" spans="1:6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  <c r="BI537" s="136"/>
    </row>
    <row r="538" spans="1:6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  <c r="BI538" s="136"/>
    </row>
    <row r="539" spans="1:6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  <c r="BI539" s="136"/>
    </row>
    <row r="540" spans="1:6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  <c r="BI540" s="136"/>
    </row>
    <row r="541" spans="1:6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  <c r="BI541" s="136"/>
    </row>
    <row r="542" spans="1:6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  <c r="BI542" s="136"/>
    </row>
    <row r="543" spans="1:6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  <c r="BI543" s="136"/>
    </row>
    <row r="544" spans="1:6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  <c r="BI544" s="136"/>
    </row>
    <row r="545" spans="1:6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  <c r="BI545" s="136"/>
    </row>
    <row r="546" spans="1:6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  <c r="BI546" s="136"/>
    </row>
    <row r="547" spans="1:6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  <c r="BI547" s="136"/>
    </row>
    <row r="548" spans="1:6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  <c r="BI548" s="136"/>
    </row>
    <row r="549" spans="1:6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  <c r="BI549" s="136"/>
    </row>
    <row r="550" spans="1:6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  <c r="BI550" s="136"/>
    </row>
    <row r="551" spans="1:6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  <c r="BI551" s="136"/>
    </row>
    <row r="552" spans="1:6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  <c r="BI552" s="136"/>
    </row>
    <row r="553" spans="1:6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  <c r="BI553" s="136"/>
    </row>
    <row r="554" spans="1:6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  <c r="BI554" s="136"/>
    </row>
    <row r="555" spans="1:6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  <c r="BI555" s="136"/>
    </row>
    <row r="556" spans="1:6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  <c r="BI556" s="136"/>
    </row>
    <row r="557" spans="1:6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  <c r="BI557" s="136"/>
    </row>
    <row r="558" spans="1:6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  <c r="BI558" s="136"/>
    </row>
    <row r="559" spans="1:6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  <c r="BI559" s="136"/>
    </row>
    <row r="560" spans="1:6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  <c r="BI560" s="136"/>
    </row>
    <row r="561" spans="1: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  <c r="BI561" s="136"/>
    </row>
    <row r="562" spans="1:6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  <c r="BI562" s="136"/>
    </row>
    <row r="563" spans="1:6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  <c r="BI563" s="136"/>
    </row>
    <row r="564" spans="1:6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  <c r="BI564" s="136"/>
    </row>
    <row r="565" spans="1:6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  <c r="BI565" s="136"/>
    </row>
    <row r="566" spans="1:6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  <c r="BI566" s="136"/>
    </row>
    <row r="567" spans="1:6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  <c r="BI567" s="136"/>
    </row>
    <row r="568" spans="1:6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  <c r="BI568" s="136"/>
    </row>
    <row r="569" spans="1:6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  <c r="BI569" s="136"/>
    </row>
    <row r="570" spans="1:6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  <c r="BI570" s="136"/>
    </row>
    <row r="571" spans="1:6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  <c r="BI571" s="136"/>
    </row>
    <row r="572" spans="1:6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  <c r="BI572" s="136"/>
    </row>
    <row r="573" spans="1:6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  <c r="BI573" s="136"/>
    </row>
    <row r="574" spans="1:6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  <c r="BI574" s="136"/>
    </row>
    <row r="575" spans="1:6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  <c r="BI575" s="136"/>
    </row>
    <row r="576" spans="1:6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  <c r="BI576" s="136"/>
    </row>
    <row r="577" spans="1:6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  <c r="BI577" s="136"/>
    </row>
    <row r="578" spans="1:6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  <c r="BI578" s="136"/>
    </row>
    <row r="579" spans="1:6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  <c r="BI579" s="136"/>
    </row>
    <row r="580" spans="1:6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  <c r="BI580" s="136"/>
    </row>
    <row r="581" spans="1:6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  <c r="BI581" s="136"/>
    </row>
    <row r="582" spans="1:6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  <c r="BI582" s="136"/>
    </row>
    <row r="583" spans="1:6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  <c r="BI583" s="136"/>
    </row>
    <row r="584" spans="1:6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  <c r="BI584" s="136"/>
    </row>
    <row r="585" spans="1:6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  <c r="BI585" s="136"/>
    </row>
    <row r="586" spans="1:6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  <c r="BI586" s="136"/>
    </row>
    <row r="587" spans="1:6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  <c r="BI587" s="136"/>
    </row>
    <row r="588" spans="1:6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  <c r="BI588" s="136"/>
    </row>
    <row r="589" spans="1:6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  <c r="BI589" s="136"/>
    </row>
    <row r="590" spans="1:6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  <c r="BI590" s="136"/>
    </row>
    <row r="591" spans="1:6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  <c r="BI591" s="136"/>
    </row>
    <row r="592" spans="1:6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  <c r="BI592" s="136"/>
    </row>
    <row r="593" spans="1:6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  <c r="BI593" s="136"/>
    </row>
    <row r="594" spans="1:6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  <c r="BI594" s="136"/>
    </row>
    <row r="595" spans="1:6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  <c r="BI595" s="136"/>
    </row>
    <row r="596" spans="1:6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  <c r="BI596" s="136"/>
    </row>
    <row r="597" spans="1:6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  <c r="BI597" s="136"/>
    </row>
    <row r="598" spans="1:6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  <c r="BI598" s="136"/>
    </row>
    <row r="599" spans="1:6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  <c r="BI599" s="136"/>
    </row>
    <row r="600" spans="1:6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  <c r="BI600" s="136"/>
    </row>
    <row r="601" spans="1:6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  <c r="BI601" s="136"/>
    </row>
    <row r="602" spans="1:6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  <c r="BI602" s="136"/>
    </row>
    <row r="603" spans="1:6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  <c r="BI603" s="136"/>
    </row>
    <row r="604" spans="1:6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  <c r="BI604" s="136"/>
    </row>
    <row r="605" spans="1:6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  <c r="BI605" s="136"/>
    </row>
    <row r="606" spans="1:6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  <c r="BI606" s="136"/>
    </row>
    <row r="607" spans="1:6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  <c r="BI607" s="136"/>
    </row>
    <row r="608" spans="1:6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  <c r="BI608" s="136"/>
    </row>
    <row r="609" spans="1:6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  <c r="BI609" s="136"/>
    </row>
    <row r="610" spans="1:6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  <c r="BI610" s="136"/>
    </row>
    <row r="611" spans="1:6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  <c r="BI611" s="136"/>
    </row>
    <row r="612" spans="1:6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  <c r="BI612" s="136"/>
    </row>
    <row r="613" spans="1:6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  <c r="BI613" s="136"/>
    </row>
    <row r="614" spans="1:6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  <c r="BI614" s="136"/>
    </row>
    <row r="615" spans="1:6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  <c r="BI615" s="136"/>
    </row>
    <row r="616" spans="1:6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  <c r="BI616" s="136"/>
    </row>
    <row r="617" spans="1:6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  <c r="BI617" s="136"/>
    </row>
    <row r="618" spans="1:6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  <c r="BI618" s="136"/>
    </row>
    <row r="619" spans="1:6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  <c r="BI619" s="136"/>
    </row>
    <row r="620" spans="1:6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  <c r="BI620" s="136"/>
    </row>
    <row r="621" spans="1:6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  <c r="BI621" s="136"/>
    </row>
    <row r="622" spans="1:6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  <c r="BI622" s="136"/>
    </row>
    <row r="623" spans="1:6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</row>
    <row r="624" spans="1:6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  <c r="BI624" s="136"/>
    </row>
    <row r="625" spans="1:6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  <c r="BI625" s="136"/>
    </row>
    <row r="626" spans="1:6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  <c r="BI626" s="136"/>
    </row>
    <row r="627" spans="1:6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</row>
    <row r="628" spans="1:6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  <c r="BI628" s="136"/>
    </row>
    <row r="629" spans="1:6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  <c r="BI629" s="136"/>
    </row>
    <row r="630" spans="1:6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  <c r="BI630" s="136"/>
    </row>
    <row r="631" spans="1:6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</row>
    <row r="632" spans="1:6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  <c r="BI632" s="136"/>
    </row>
    <row r="633" spans="1:6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  <c r="BI633" s="136"/>
    </row>
    <row r="634" spans="1:6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  <c r="BI634" s="136"/>
    </row>
    <row r="635" spans="1:6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</row>
    <row r="636" spans="1:6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  <c r="BI636" s="136"/>
    </row>
    <row r="637" spans="1:6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  <c r="BI637" s="136"/>
    </row>
    <row r="638" spans="1:6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  <c r="BI638" s="136"/>
    </row>
    <row r="639" spans="1:6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</row>
    <row r="640" spans="1:6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  <c r="BI640" s="136"/>
    </row>
    <row r="641" spans="1:6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  <c r="BI641" s="136"/>
    </row>
    <row r="642" spans="1:6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  <c r="BI642" s="136"/>
    </row>
    <row r="643" spans="1:6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</row>
    <row r="644" spans="1:6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  <c r="BI644" s="136"/>
    </row>
    <row r="645" spans="1:6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  <c r="BI645" s="136"/>
    </row>
    <row r="646" spans="1:6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  <c r="BI646" s="136"/>
    </row>
    <row r="647" spans="1:6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  <c r="BI647" s="136"/>
    </row>
    <row r="648" spans="1:6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6"/>
    </row>
    <row r="649" spans="1:6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  <c r="BI649" s="136"/>
    </row>
    <row r="650" spans="1:6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  <c r="BI650" s="136"/>
    </row>
    <row r="651" spans="1:6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  <c r="BI651" s="136"/>
    </row>
    <row r="652" spans="1:6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  <c r="BI652" s="136"/>
    </row>
    <row r="653" spans="1:6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  <c r="BI653" s="136"/>
    </row>
    <row r="654" spans="1:6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  <c r="BI654" s="136"/>
    </row>
    <row r="655" spans="1:6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  <c r="BI655" s="136"/>
    </row>
    <row r="656" spans="1:6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  <c r="BI656" s="136"/>
    </row>
    <row r="657" spans="1:6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  <c r="BI657" s="136"/>
    </row>
    <row r="658" spans="1:6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  <c r="BI658" s="136"/>
    </row>
    <row r="659" spans="1:6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  <c r="BI659" s="136"/>
    </row>
    <row r="660" spans="1:6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  <c r="BI660" s="136"/>
    </row>
    <row r="661" spans="1: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  <c r="BI661" s="136"/>
    </row>
    <row r="662" spans="1:6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  <c r="BI662" s="136"/>
    </row>
    <row r="663" spans="1:6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</row>
    <row r="664" spans="1:6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  <c r="BI664" s="136"/>
    </row>
    <row r="665" spans="1:6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  <c r="BI665" s="136"/>
    </row>
    <row r="666" spans="1:6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  <c r="BI666" s="136"/>
    </row>
    <row r="667" spans="1:6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</row>
    <row r="668" spans="1:6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  <c r="BI668" s="136"/>
    </row>
    <row r="669" spans="1:6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  <c r="BI669" s="136"/>
    </row>
    <row r="670" spans="1:6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  <c r="BI670" s="136"/>
    </row>
    <row r="671" spans="1:6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</row>
    <row r="672" spans="1:6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  <c r="BI672" s="136"/>
    </row>
    <row r="673" spans="1:6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  <c r="BI673" s="136"/>
    </row>
    <row r="674" spans="1:6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  <c r="BI674" s="136"/>
    </row>
    <row r="675" spans="1:6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</row>
    <row r="676" spans="1:6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  <c r="BI676" s="136"/>
    </row>
    <row r="677" spans="1:6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  <c r="BI677" s="136"/>
    </row>
    <row r="678" spans="1:6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  <c r="BI678" s="136"/>
    </row>
    <row r="679" spans="1:6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</row>
    <row r="680" spans="1:6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  <c r="BI680" s="136"/>
    </row>
    <row r="681" spans="1:6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  <c r="BI681" s="136"/>
    </row>
    <row r="682" spans="1:6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  <c r="BI682" s="136"/>
    </row>
    <row r="683" spans="1:6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  <c r="BI683" s="136"/>
    </row>
    <row r="684" spans="1:6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  <c r="BI684" s="136"/>
    </row>
    <row r="685" spans="1:6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  <c r="BI685" s="136"/>
    </row>
    <row r="686" spans="1:6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  <c r="BI686" s="136"/>
    </row>
    <row r="687" spans="1:6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  <c r="BI687" s="136"/>
    </row>
    <row r="688" spans="1:6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  <c r="BI688" s="136"/>
    </row>
    <row r="689" spans="1:6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  <c r="BI689" s="136"/>
    </row>
    <row r="690" spans="1:6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  <c r="BI690" s="136"/>
    </row>
    <row r="691" spans="1:6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  <c r="BI691" s="136"/>
    </row>
    <row r="692" spans="1:6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  <c r="BI692" s="136"/>
    </row>
    <row r="693" spans="1:6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  <c r="BI693" s="136"/>
    </row>
    <row r="694" spans="1:6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  <c r="BI694" s="136"/>
    </row>
    <row r="695" spans="1:6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  <c r="BI695" s="136"/>
    </row>
    <row r="696" spans="1:6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  <c r="BI696" s="136"/>
    </row>
    <row r="697" spans="1:6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  <c r="BI697" s="136"/>
    </row>
    <row r="698" spans="1:6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  <c r="BI698" s="136"/>
    </row>
    <row r="699" spans="1:6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  <c r="BI699" s="136"/>
    </row>
    <row r="700" spans="1:6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  <c r="BI700" s="136"/>
    </row>
    <row r="701" spans="1:6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  <c r="BI701" s="136"/>
    </row>
    <row r="702" spans="1:6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  <c r="BI702" s="136"/>
    </row>
    <row r="703" spans="1:6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  <c r="BI703" s="136"/>
    </row>
    <row r="704" spans="1:6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  <c r="BI704" s="136"/>
    </row>
    <row r="705" spans="1:6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  <c r="BI705" s="136"/>
    </row>
    <row r="706" spans="1:6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  <c r="BI706" s="136"/>
    </row>
    <row r="707" spans="1:6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  <c r="BI707" s="136"/>
    </row>
    <row r="708" spans="1:6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  <c r="BI708" s="136"/>
    </row>
    <row r="709" spans="1:6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  <c r="BI709" s="136"/>
    </row>
    <row r="710" spans="1:6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  <c r="BI710" s="136"/>
    </row>
    <row r="711" spans="1:6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  <c r="BI711" s="136"/>
    </row>
    <row r="712" spans="1:6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  <c r="BI712" s="136"/>
    </row>
    <row r="713" spans="1:6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  <c r="BI713" s="136"/>
    </row>
    <row r="714" spans="1:6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  <c r="BI714" s="136"/>
    </row>
    <row r="715" spans="1:6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  <c r="BI715" s="136"/>
    </row>
    <row r="716" spans="1:6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  <c r="BI716" s="136"/>
    </row>
    <row r="717" spans="1:6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  <c r="BI717" s="136"/>
    </row>
    <row r="718" spans="1:6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  <c r="BI718" s="136"/>
    </row>
    <row r="719" spans="1:6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  <c r="BI719" s="136"/>
    </row>
    <row r="720" spans="1:6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  <c r="BI720" s="136"/>
    </row>
    <row r="721" spans="1:6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  <c r="BI721" s="136"/>
    </row>
    <row r="722" spans="1:6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  <c r="BI722" s="136"/>
    </row>
    <row r="723" spans="1:6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  <c r="BI723" s="136"/>
    </row>
    <row r="724" spans="1:6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  <c r="BI724" s="136"/>
    </row>
    <row r="725" spans="1:6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  <c r="BI725" s="136"/>
    </row>
    <row r="726" spans="1:6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  <c r="BI726" s="136"/>
    </row>
    <row r="727" spans="1:6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  <c r="BI727" s="136"/>
    </row>
    <row r="728" spans="1:6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  <c r="BI728" s="136"/>
    </row>
    <row r="729" spans="1:6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  <c r="BI729" s="136"/>
    </row>
    <row r="730" spans="1:6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  <c r="BI730" s="136"/>
    </row>
    <row r="731" spans="1:6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  <c r="BI731" s="136"/>
    </row>
    <row r="732" spans="1:6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  <c r="BI732" s="136"/>
    </row>
    <row r="733" spans="1:6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  <c r="BI733" s="136"/>
    </row>
    <row r="734" spans="1:6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  <c r="BI734" s="136"/>
    </row>
    <row r="735" spans="1:6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  <c r="BI735" s="136"/>
    </row>
    <row r="736" spans="1:6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  <c r="BI736" s="136"/>
    </row>
    <row r="737" spans="1:6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  <c r="BI737" s="136"/>
    </row>
    <row r="738" spans="1:6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  <c r="BI738" s="136"/>
    </row>
    <row r="739" spans="1:6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  <c r="BI739" s="136"/>
    </row>
    <row r="740" spans="1:6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  <c r="BI740" s="136"/>
    </row>
    <row r="741" spans="1:6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  <c r="BI741" s="136"/>
    </row>
    <row r="742" spans="1:6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  <c r="BI742" s="136"/>
    </row>
    <row r="743" spans="1:6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  <c r="BI743" s="136"/>
    </row>
    <row r="744" spans="1:6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  <c r="BI744" s="136"/>
    </row>
    <row r="745" spans="1:6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  <c r="BI745" s="136"/>
    </row>
    <row r="746" spans="1:6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  <c r="BI746" s="136"/>
    </row>
    <row r="747" spans="1:6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  <c r="BI747" s="136"/>
    </row>
    <row r="748" spans="1:6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  <c r="BI748" s="136"/>
    </row>
    <row r="749" spans="1:6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  <c r="BI749" s="136"/>
    </row>
    <row r="750" spans="1:6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  <c r="BI750" s="136"/>
    </row>
    <row r="751" spans="1:6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  <c r="BI751" s="136"/>
    </row>
    <row r="752" spans="1:6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  <c r="BI752" s="136"/>
    </row>
    <row r="753" spans="1:6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  <c r="BI753" s="136"/>
    </row>
    <row r="754" spans="1:6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  <c r="BI754" s="136"/>
    </row>
    <row r="755" spans="1:6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  <c r="BI755" s="136"/>
    </row>
    <row r="756" spans="1:6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  <c r="BI756" s="136"/>
    </row>
    <row r="757" spans="1:6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  <c r="BI757" s="136"/>
    </row>
    <row r="758" spans="1:6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  <c r="BI758" s="136"/>
    </row>
    <row r="759" spans="1:6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  <c r="BI759" s="136"/>
    </row>
    <row r="760" spans="1:6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  <c r="BI760" s="136"/>
    </row>
    <row r="761" spans="1: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  <c r="BI761" s="136"/>
    </row>
    <row r="762" spans="1:6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  <c r="BI762" s="136"/>
    </row>
    <row r="763" spans="1:6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  <c r="BI763" s="136"/>
    </row>
    <row r="764" spans="1:6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  <c r="BI764" s="136"/>
    </row>
    <row r="765" spans="1:6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  <c r="BI765" s="136"/>
    </row>
    <row r="766" spans="1:6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  <c r="BI766" s="136"/>
    </row>
    <row r="767" spans="1:6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  <c r="BI767" s="136"/>
    </row>
    <row r="768" spans="1:6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  <c r="BI768" s="136"/>
    </row>
    <row r="769" spans="1:6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  <c r="BI769" s="136"/>
    </row>
    <row r="770" spans="1:6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  <c r="BI770" s="136"/>
    </row>
    <row r="771" spans="1:6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  <c r="BI771" s="136"/>
    </row>
    <row r="772" spans="1:6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  <c r="BI772" s="136"/>
    </row>
    <row r="773" spans="1:6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  <c r="BI773" s="136"/>
    </row>
    <row r="774" spans="1:6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  <c r="BI774" s="136"/>
    </row>
    <row r="775" spans="1:6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  <c r="BI775" s="136"/>
    </row>
    <row r="776" spans="1:6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  <c r="BI776" s="136"/>
    </row>
    <row r="777" spans="1:6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  <c r="BI777" s="136"/>
    </row>
    <row r="778" spans="1:6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  <c r="BI778" s="136"/>
    </row>
    <row r="779" spans="1:6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  <c r="BI779" s="136"/>
    </row>
    <row r="780" spans="1:6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  <c r="BI780" s="136"/>
    </row>
    <row r="781" spans="1:6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  <c r="BI781" s="136"/>
    </row>
    <row r="782" spans="1:6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  <c r="BI782" s="136"/>
    </row>
    <row r="783" spans="1:6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  <c r="BI783" s="136"/>
    </row>
    <row r="784" spans="1:6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  <c r="BI784" s="136"/>
    </row>
    <row r="785" spans="1:6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  <c r="BI785" s="136"/>
    </row>
    <row r="786" spans="1:6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  <c r="BI786" s="136"/>
    </row>
    <row r="787" spans="1:6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  <c r="BI787" s="136"/>
    </row>
    <row r="788" spans="1:6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  <c r="BI788" s="136"/>
    </row>
    <row r="789" spans="1:6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  <c r="BI789" s="136"/>
    </row>
    <row r="790" spans="1:6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  <c r="BI790" s="136"/>
    </row>
    <row r="791" spans="1:6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  <c r="BI791" s="136"/>
    </row>
    <row r="792" spans="1:6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  <c r="BI792" s="136"/>
    </row>
    <row r="793" spans="1:6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  <c r="BI793" s="136"/>
    </row>
    <row r="794" spans="1:6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  <c r="BI794" s="136"/>
    </row>
    <row r="795" spans="1:6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  <c r="BI795" s="136"/>
    </row>
    <row r="796" spans="1:6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  <c r="BI796" s="136"/>
    </row>
    <row r="797" spans="1:6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  <c r="BI797" s="136"/>
    </row>
    <row r="798" spans="1:6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  <c r="BI798" s="136"/>
    </row>
    <row r="799" spans="1:6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  <c r="BI799" s="136"/>
    </row>
    <row r="800" spans="1:6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  <c r="BI800" s="136"/>
    </row>
    <row r="801" spans="1:6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  <c r="BI801" s="136"/>
    </row>
    <row r="802" spans="1:6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  <c r="BI802" s="136"/>
    </row>
    <row r="803" spans="1:6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  <c r="BI803" s="136"/>
    </row>
    <row r="804" spans="1:6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  <c r="BI804" s="136"/>
    </row>
    <row r="805" spans="1:6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  <c r="BI805" s="136"/>
    </row>
    <row r="806" spans="1:6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  <c r="BI806" s="136"/>
    </row>
    <row r="807" spans="1:6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  <c r="BI807" s="136"/>
    </row>
    <row r="808" spans="1:6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  <c r="BI808" s="136"/>
    </row>
    <row r="809" spans="1:6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  <c r="BI809" s="136"/>
    </row>
    <row r="810" spans="1:6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  <c r="BI810" s="136"/>
    </row>
    <row r="811" spans="1:6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  <c r="BI811" s="136"/>
    </row>
    <row r="812" spans="1:6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  <c r="BI812" s="136"/>
    </row>
    <row r="813" spans="1:6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  <c r="BI813" s="136"/>
    </row>
    <row r="814" spans="1:6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  <c r="BI814" s="136"/>
    </row>
    <row r="815" spans="1:6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  <c r="BI815" s="136"/>
    </row>
    <row r="816" spans="1:6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  <c r="BI816" s="136"/>
    </row>
    <row r="817" spans="1:6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  <c r="BI817" s="136"/>
    </row>
    <row r="818" spans="1:6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  <c r="BI818" s="136"/>
    </row>
    <row r="819" spans="1:6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  <c r="BI819" s="136"/>
    </row>
    <row r="820" spans="1:6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  <c r="BI820" s="136"/>
    </row>
    <row r="821" spans="1:6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  <c r="BI821" s="136"/>
    </row>
    <row r="822" spans="1:6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  <c r="BI822" s="136"/>
    </row>
    <row r="823" spans="1:6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  <c r="BI823" s="136"/>
    </row>
    <row r="824" spans="1:6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  <c r="BI824" s="136"/>
    </row>
    <row r="825" spans="1:6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  <c r="BI825" s="136"/>
    </row>
    <row r="826" spans="1:6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  <c r="BI826" s="136"/>
    </row>
    <row r="827" spans="1:6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  <c r="BI827" s="136"/>
    </row>
    <row r="828" spans="1:6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  <c r="BI828" s="136"/>
    </row>
    <row r="829" spans="1:6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  <c r="BI829" s="136"/>
    </row>
    <row r="830" spans="1:6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  <c r="BI830" s="136"/>
    </row>
    <row r="831" spans="1:6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  <c r="BI831" s="136"/>
    </row>
    <row r="832" spans="1:6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  <c r="BI832" s="136"/>
    </row>
    <row r="833" spans="1:6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  <c r="BI833" s="136"/>
    </row>
    <row r="834" spans="1:6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  <c r="BI834" s="136"/>
    </row>
    <row r="835" spans="1:6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  <c r="BI835" s="136"/>
    </row>
    <row r="836" spans="1:6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  <c r="BI836" s="136"/>
    </row>
    <row r="837" spans="1:6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  <c r="BI837" s="136"/>
    </row>
    <row r="838" spans="1:6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  <c r="BI838" s="136"/>
    </row>
    <row r="839" spans="1:6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  <c r="BI839" s="136"/>
    </row>
    <row r="840" spans="1:6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  <c r="BI840" s="136"/>
    </row>
    <row r="841" spans="1:6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  <c r="BI841" s="136"/>
    </row>
    <row r="842" spans="1:6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  <c r="BI842" s="136"/>
    </row>
    <row r="843" spans="1:6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  <c r="BI843" s="136"/>
    </row>
    <row r="844" spans="1:6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  <c r="BI844" s="136"/>
    </row>
    <row r="845" spans="1:6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  <c r="BI845" s="136"/>
    </row>
    <row r="846" spans="1:6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  <c r="BI846" s="136"/>
    </row>
    <row r="847" spans="1:6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  <c r="BI847" s="136"/>
    </row>
    <row r="848" spans="1:6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  <c r="BI848" s="136"/>
    </row>
    <row r="849" spans="1:6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  <c r="BI849" s="136"/>
    </row>
    <row r="850" spans="1:6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  <c r="BI850" s="136"/>
    </row>
    <row r="851" spans="1:6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  <c r="BI851" s="136"/>
    </row>
    <row r="852" spans="1:6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  <c r="BI852" s="136"/>
    </row>
    <row r="853" spans="1:6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  <c r="BI853" s="136"/>
    </row>
    <row r="854" spans="1:6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  <c r="BI854" s="136"/>
    </row>
    <row r="855" spans="1:6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  <c r="BI855" s="136"/>
    </row>
    <row r="856" spans="1:6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  <c r="BI856" s="136"/>
    </row>
    <row r="857" spans="1:6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  <c r="BI857" s="136"/>
    </row>
    <row r="858" spans="1:6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  <c r="BI858" s="136"/>
    </row>
    <row r="859" spans="1:6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  <c r="BI859" s="136"/>
    </row>
    <row r="860" spans="1:6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  <c r="BI860" s="136"/>
    </row>
    <row r="861" spans="1: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  <c r="BI861" s="136"/>
    </row>
    <row r="862" spans="1:6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  <c r="BI862" s="136"/>
    </row>
    <row r="863" spans="1:6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  <c r="BI863" s="136"/>
    </row>
    <row r="864" spans="1:6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  <c r="BI864" s="136"/>
    </row>
    <row r="865" spans="1:6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  <c r="BI865" s="136"/>
    </row>
    <row r="866" spans="1:6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  <c r="BI866" s="136"/>
    </row>
    <row r="867" spans="1:6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  <c r="BI867" s="136"/>
    </row>
    <row r="868" spans="1:6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  <c r="BI868" s="136"/>
    </row>
    <row r="869" spans="1:6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  <c r="BI869" s="136"/>
    </row>
    <row r="870" spans="1:6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  <c r="BI870" s="136"/>
    </row>
    <row r="871" spans="1:6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  <c r="BI871" s="136"/>
    </row>
    <row r="872" spans="1:6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  <c r="BI872" s="136"/>
    </row>
    <row r="873" spans="1:6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  <c r="BI873" s="136"/>
    </row>
    <row r="874" spans="1:6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  <c r="BI874" s="136"/>
    </row>
    <row r="875" spans="1:6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  <c r="BI875" s="136"/>
    </row>
    <row r="876" spans="1:6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  <c r="BI876" s="136"/>
    </row>
    <row r="877" spans="1:6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  <c r="BI877" s="136"/>
    </row>
    <row r="878" spans="1:6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  <c r="BI878" s="136"/>
    </row>
    <row r="879" spans="1:6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  <c r="BI879" s="136"/>
    </row>
    <row r="880" spans="1:6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  <c r="BI880" s="136"/>
    </row>
    <row r="881" spans="1:6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  <c r="BI881" s="136"/>
    </row>
    <row r="882" spans="1:6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  <c r="BI882" s="136"/>
    </row>
    <row r="883" spans="1:6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  <c r="BI883" s="136"/>
    </row>
    <row r="884" spans="1:6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  <c r="BI884" s="136"/>
    </row>
    <row r="885" spans="1:6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  <c r="BI885" s="136"/>
    </row>
    <row r="886" spans="1:6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  <c r="BI886" s="136"/>
    </row>
    <row r="887" spans="1:6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  <c r="BI887" s="136"/>
    </row>
    <row r="888" spans="1:6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  <c r="BI888" s="136"/>
    </row>
    <row r="889" spans="1:6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  <c r="BI889" s="136"/>
    </row>
    <row r="890" spans="1:6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  <c r="BI890" s="136"/>
    </row>
    <row r="891" spans="1:6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  <c r="BI891" s="136"/>
    </row>
    <row r="892" spans="1:6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  <c r="BI892" s="136"/>
    </row>
    <row r="893" spans="1:6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  <c r="BI893" s="136"/>
    </row>
    <row r="894" spans="1:6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  <c r="BI894" s="136"/>
    </row>
    <row r="895" spans="1:6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  <c r="BI895" s="136"/>
    </row>
    <row r="896" spans="1:6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  <c r="BI896" s="136"/>
    </row>
    <row r="897" spans="1:6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  <c r="BI897" s="136"/>
    </row>
    <row r="898" spans="1:6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  <c r="BI898" s="136"/>
    </row>
    <row r="899" spans="1:6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  <c r="BI899" s="136"/>
    </row>
    <row r="900" spans="1:6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  <c r="BI900" s="136"/>
    </row>
    <row r="901" spans="1:6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  <c r="BI901" s="136"/>
    </row>
    <row r="902" spans="1:6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  <c r="BI902" s="136"/>
    </row>
    <row r="903" spans="1:6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  <c r="BI903" s="136"/>
    </row>
    <row r="904" spans="1:6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  <c r="BI904" s="136"/>
    </row>
    <row r="905" spans="1:6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  <c r="BI905" s="136"/>
    </row>
    <row r="906" spans="1:6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  <c r="BI906" s="136"/>
    </row>
    <row r="907" spans="1:6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  <c r="BI907" s="136"/>
    </row>
    <row r="908" spans="1:6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  <c r="BI908" s="136"/>
    </row>
    <row r="909" spans="1:6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  <c r="BI909" s="136"/>
    </row>
    <row r="910" spans="1:6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  <c r="BI910" s="136"/>
    </row>
    <row r="911" spans="1:6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  <c r="BI911" s="136"/>
    </row>
    <row r="912" spans="1:6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  <c r="BI912" s="136"/>
    </row>
    <row r="913" spans="1:6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  <c r="BI913" s="136"/>
    </row>
    <row r="914" spans="1:6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  <c r="BI914" s="136"/>
    </row>
    <row r="915" spans="1:6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  <c r="BI915" s="136"/>
    </row>
    <row r="916" spans="1:6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  <c r="BI916" s="136"/>
    </row>
    <row r="917" spans="1:6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  <c r="BI917" s="136"/>
    </row>
    <row r="918" spans="1:6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  <c r="BI918" s="136"/>
    </row>
    <row r="919" spans="1:6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</row>
    <row r="920" spans="1:6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  <c r="BI920" s="136"/>
    </row>
    <row r="921" spans="1:6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  <c r="BI921" s="136"/>
    </row>
    <row r="922" spans="1:6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  <c r="BI922" s="136"/>
    </row>
    <row r="923" spans="1:6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  <c r="BI923" s="136"/>
    </row>
    <row r="924" spans="1:6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  <c r="BI924" s="136"/>
    </row>
    <row r="925" spans="1:6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  <c r="BI925" s="136"/>
    </row>
    <row r="926" spans="1:6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  <c r="BI926" s="136"/>
    </row>
    <row r="927" spans="1:6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  <c r="BI927" s="136"/>
    </row>
    <row r="928" spans="1:6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  <c r="BI928" s="136"/>
    </row>
    <row r="929" spans="1:6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  <c r="BI929" s="136"/>
    </row>
    <row r="930" spans="1:6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  <c r="BI930" s="136"/>
    </row>
    <row r="931" spans="1:6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  <c r="BI931" s="136"/>
    </row>
    <row r="932" spans="1:6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  <c r="BI932" s="136"/>
    </row>
    <row r="933" spans="1:6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  <c r="BI933" s="136"/>
    </row>
    <row r="934" spans="1:6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  <c r="BI934" s="136"/>
    </row>
    <row r="935" spans="1:6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  <c r="BI935" s="136"/>
    </row>
    <row r="936" spans="1:6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  <c r="BI936" s="136"/>
    </row>
    <row r="937" spans="1:6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  <c r="BI937" s="136"/>
    </row>
    <row r="938" spans="1:6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  <c r="BI938" s="136"/>
    </row>
    <row r="939" spans="1:6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</row>
    <row r="940" spans="1:6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  <c r="BI940" s="136"/>
    </row>
    <row r="941" spans="1:6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  <c r="BI941" s="136"/>
    </row>
    <row r="942" spans="1:6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  <c r="BI942" s="136"/>
    </row>
    <row r="943" spans="1:6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</row>
    <row r="944" spans="1:6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  <c r="BI944" s="136"/>
    </row>
    <row r="945" spans="1:6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  <c r="BI945" s="136"/>
    </row>
    <row r="946" spans="1:6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  <c r="BI946" s="136"/>
    </row>
    <row r="947" spans="1:6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  <c r="BI947" s="136"/>
    </row>
    <row r="948" spans="1:6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  <c r="BI948" s="136"/>
    </row>
    <row r="949" spans="1:6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  <c r="BI949" s="136"/>
    </row>
    <row r="950" spans="1:6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  <c r="BI950" s="136"/>
    </row>
    <row r="951" spans="1:6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  <c r="BI951" s="136"/>
    </row>
    <row r="952" spans="1:6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  <c r="BI952" s="136"/>
    </row>
    <row r="953" spans="1:6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  <c r="BI953" s="136"/>
    </row>
    <row r="954" spans="1:6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  <c r="BI954" s="136"/>
    </row>
    <row r="955" spans="1:6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  <c r="BI955" s="136"/>
    </row>
    <row r="956" spans="1:6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  <c r="BI956" s="136"/>
    </row>
    <row r="957" spans="1:6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  <c r="BI957" s="136"/>
    </row>
    <row r="958" spans="1:6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  <c r="BI958" s="136"/>
    </row>
    <row r="959" spans="1:6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  <c r="BI959" s="136"/>
    </row>
    <row r="960" spans="1:6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  <c r="BI960" s="136"/>
    </row>
    <row r="961" spans="1:6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  <c r="BI961" s="136"/>
    </row>
    <row r="962" spans="1:6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  <c r="BI962" s="136"/>
    </row>
    <row r="963" spans="1:6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  <c r="BI963" s="136"/>
    </row>
    <row r="964" spans="1:6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  <c r="BI964" s="136"/>
    </row>
    <row r="965" spans="1:6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  <c r="BI965" s="136"/>
    </row>
    <row r="966" spans="1:6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  <c r="BI966" s="136"/>
    </row>
    <row r="967" spans="1:6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  <c r="BI967" s="136"/>
    </row>
    <row r="968" spans="1:6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  <c r="BI968" s="136"/>
    </row>
    <row r="969" spans="1:6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  <c r="BI969" s="136"/>
    </row>
    <row r="970" spans="1:6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  <c r="BI970" s="136"/>
    </row>
    <row r="971" spans="1:6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  <c r="BI971" s="136"/>
    </row>
    <row r="972" spans="1:6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  <c r="BI972" s="136"/>
    </row>
    <row r="973" spans="1:6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  <c r="BI973" s="136"/>
    </row>
    <row r="974" spans="1:6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  <c r="BI974" s="136"/>
    </row>
    <row r="975" spans="1:6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  <c r="BI975" s="136"/>
    </row>
    <row r="976" spans="1:6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  <c r="BI976" s="136"/>
    </row>
    <row r="977" spans="1:6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  <c r="BI977" s="136"/>
    </row>
    <row r="978" spans="1:6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  <c r="BI978" s="136"/>
    </row>
    <row r="979" spans="1:6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  <c r="BI979" s="136"/>
    </row>
    <row r="980" spans="1:6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  <c r="BI980" s="136"/>
    </row>
    <row r="981" spans="1:6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  <c r="BI981" s="136"/>
    </row>
    <row r="982" spans="1:6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  <c r="BI982" s="136"/>
    </row>
    <row r="983" spans="1:6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  <c r="BI983" s="136"/>
    </row>
    <row r="984" spans="1:6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  <c r="BI984" s="136"/>
    </row>
    <row r="985" spans="1:6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  <c r="BI985" s="136"/>
    </row>
    <row r="986" spans="1:6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  <c r="BI986" s="136"/>
    </row>
    <row r="987" spans="1:6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  <c r="BI987" s="136"/>
    </row>
    <row r="988" spans="1:6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  <c r="BI988" s="136"/>
    </row>
    <row r="989" spans="1:6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  <c r="BI989" s="136"/>
    </row>
    <row r="990" spans="1:6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136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  <c r="BI990" s="136"/>
    </row>
    <row r="991" spans="1:6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  <c r="BI991" s="136"/>
    </row>
    <row r="992" spans="1:6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  <c r="BI992" s="136"/>
    </row>
    <row r="993" spans="1:6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  <c r="BI993" s="136"/>
    </row>
    <row r="994" spans="1:6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  <c r="BI994" s="136"/>
    </row>
    <row r="995" spans="1:6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  <c r="BI995" s="136"/>
    </row>
    <row r="996" spans="1:6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136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  <c r="BI996" s="136"/>
    </row>
    <row r="997" spans="1:6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  <c r="BI997" s="136"/>
    </row>
    <row r="998" spans="1:6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  <c r="BI998" s="136"/>
    </row>
    <row r="999" spans="1:6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  <c r="BI999" s="136"/>
    </row>
    <row r="1000" spans="1:6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136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  <c r="BI1000" s="136"/>
    </row>
    <row r="1001" spans="1:6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  <c r="AT1001" s="136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136"/>
      <c r="BH1001" s="136"/>
      <c r="BI1001" s="136"/>
    </row>
    <row r="1002" spans="1:61">
      <c r="A1002" s="136"/>
      <c r="B1002" s="136"/>
      <c r="C1002" s="136"/>
      <c r="D1002" s="136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136"/>
      <c r="AQ1002" s="136"/>
      <c r="AR1002" s="136"/>
      <c r="AS1002" s="136"/>
      <c r="AT1002" s="136"/>
      <c r="AU1002" s="136"/>
      <c r="AV1002" s="136"/>
      <c r="AW1002" s="136"/>
      <c r="AX1002" s="136"/>
      <c r="AY1002" s="136"/>
      <c r="AZ1002" s="136"/>
      <c r="BA1002" s="136"/>
      <c r="BB1002" s="136"/>
      <c r="BC1002" s="136"/>
      <c r="BD1002" s="136"/>
      <c r="BE1002" s="136"/>
      <c r="BF1002" s="136"/>
      <c r="BG1002" s="136"/>
      <c r="BH1002" s="136"/>
      <c r="BI1002" s="136"/>
    </row>
  </sheetData>
  <mergeCells count="133">
    <mergeCell ref="Q2:Q3"/>
    <mergeCell ref="R2:R3"/>
    <mergeCell ref="Q29:W29"/>
    <mergeCell ref="Y29:AE29"/>
    <mergeCell ref="AG29:AM29"/>
    <mergeCell ref="AO29:AU29"/>
    <mergeCell ref="AW29:AY29"/>
    <mergeCell ref="AU30:AU31"/>
    <mergeCell ref="AW30:AW31"/>
    <mergeCell ref="AL30:AL31"/>
    <mergeCell ref="AM30:AM31"/>
    <mergeCell ref="AO30:AO31"/>
    <mergeCell ref="AP30:AP31"/>
    <mergeCell ref="AQ30:AQ31"/>
    <mergeCell ref="AS30:AS31"/>
    <mergeCell ref="AT30:AT31"/>
    <mergeCell ref="AI30:AI31"/>
    <mergeCell ref="AK30:AK31"/>
    <mergeCell ref="Z30:Z31"/>
    <mergeCell ref="AA30:AA31"/>
    <mergeCell ref="AC30:AC31"/>
    <mergeCell ref="AD30:AD31"/>
    <mergeCell ref="AE30:AE31"/>
    <mergeCell ref="AG30:AG31"/>
    <mergeCell ref="I2:I3"/>
    <mergeCell ref="J2:J3"/>
    <mergeCell ref="N2:N3"/>
    <mergeCell ref="O2:O3"/>
    <mergeCell ref="K2:K3"/>
    <mergeCell ref="M2:M3"/>
    <mergeCell ref="I29:O29"/>
    <mergeCell ref="I30:I31"/>
    <mergeCell ref="J30:J31"/>
    <mergeCell ref="K30:K31"/>
    <mergeCell ref="M30:M31"/>
    <mergeCell ref="C2:C3"/>
    <mergeCell ref="A30:A31"/>
    <mergeCell ref="B30:B31"/>
    <mergeCell ref="C30:C31"/>
    <mergeCell ref="D30:D31"/>
    <mergeCell ref="D2:D3"/>
    <mergeCell ref="E2:E3"/>
    <mergeCell ref="F2:F3"/>
    <mergeCell ref="G2:G3"/>
    <mergeCell ref="E29:G29"/>
    <mergeCell ref="E30:E31"/>
    <mergeCell ref="F30:F31"/>
    <mergeCell ref="G30:G31"/>
    <mergeCell ref="AH30:AH31"/>
    <mergeCell ref="AI57:AI58"/>
    <mergeCell ref="AT57:AT58"/>
    <mergeCell ref="AU57:AU58"/>
    <mergeCell ref="AW57:AW58"/>
    <mergeCell ref="AX57:AX58"/>
    <mergeCell ref="AY57:AY58"/>
    <mergeCell ref="AK57:AK58"/>
    <mergeCell ref="AL57:AL58"/>
    <mergeCell ref="AM57:AM58"/>
    <mergeCell ref="AO57:AO58"/>
    <mergeCell ref="AP57:AP58"/>
    <mergeCell ref="AQ57:AQ58"/>
    <mergeCell ref="AS57:AS58"/>
    <mergeCell ref="AX30:AX31"/>
    <mergeCell ref="AY30:AY31"/>
    <mergeCell ref="W57:W58"/>
    <mergeCell ref="Y57:Y58"/>
    <mergeCell ref="Z57:Z58"/>
    <mergeCell ref="AA57:AA58"/>
    <mergeCell ref="AC57:AC58"/>
    <mergeCell ref="AD57:AD58"/>
    <mergeCell ref="AE57:AE58"/>
    <mergeCell ref="AG57:AG58"/>
    <mergeCell ref="AH57:AH58"/>
    <mergeCell ref="K57:K58"/>
    <mergeCell ref="M57:M58"/>
    <mergeCell ref="N57:N58"/>
    <mergeCell ref="O57:O58"/>
    <mergeCell ref="Q57:Q58"/>
    <mergeCell ref="R57:R58"/>
    <mergeCell ref="S57:S58"/>
    <mergeCell ref="U57:U58"/>
    <mergeCell ref="V57:V58"/>
    <mergeCell ref="A57:A58"/>
    <mergeCell ref="B57:B58"/>
    <mergeCell ref="C57:C58"/>
    <mergeCell ref="D57:D58"/>
    <mergeCell ref="E57:E58"/>
    <mergeCell ref="F57:F58"/>
    <mergeCell ref="G57:G58"/>
    <mergeCell ref="I57:I58"/>
    <mergeCell ref="J57:J58"/>
    <mergeCell ref="W30:W31"/>
    <mergeCell ref="Y30:Y31"/>
    <mergeCell ref="N30:N31"/>
    <mergeCell ref="O30:O31"/>
    <mergeCell ref="Q30:Q31"/>
    <mergeCell ref="R30:R31"/>
    <mergeCell ref="S30:S31"/>
    <mergeCell ref="U30:U31"/>
    <mergeCell ref="V30:V31"/>
    <mergeCell ref="AX2:AX3"/>
    <mergeCell ref="D1:O1"/>
    <mergeCell ref="Q1:W1"/>
    <mergeCell ref="Y1:AE1"/>
    <mergeCell ref="AG1:AM1"/>
    <mergeCell ref="AO1:AU1"/>
    <mergeCell ref="AW1:AY1"/>
    <mergeCell ref="A2:A3"/>
    <mergeCell ref="AY2:AY3"/>
    <mergeCell ref="S2:S3"/>
    <mergeCell ref="U2:U3"/>
    <mergeCell ref="V2:V3"/>
    <mergeCell ref="W2:W3"/>
    <mergeCell ref="Y2:Y3"/>
    <mergeCell ref="Z2:Z3"/>
    <mergeCell ref="AA2:AA3"/>
    <mergeCell ref="AC2:AC3"/>
    <mergeCell ref="AD2:AD3"/>
    <mergeCell ref="AE2:AE3"/>
    <mergeCell ref="AG2:AG3"/>
    <mergeCell ref="AH2:AH3"/>
    <mergeCell ref="AL2:AL3"/>
    <mergeCell ref="AM2:AM3"/>
    <mergeCell ref="B2:B3"/>
    <mergeCell ref="AI2:AI3"/>
    <mergeCell ref="AK2:AK3"/>
    <mergeCell ref="AO2:AO3"/>
    <mergeCell ref="AP2:AP3"/>
    <mergeCell ref="AQ2:AQ3"/>
    <mergeCell ref="AS2:AS3"/>
    <mergeCell ref="AT2:AT3"/>
    <mergeCell ref="AU2:AU3"/>
    <mergeCell ref="AW2:AW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001"/>
  <sheetViews>
    <sheetView workbookViewId="0"/>
  </sheetViews>
  <sheetFormatPr baseColWidth="10" defaultColWidth="14.5" defaultRowHeight="15" customHeight="1"/>
  <cols>
    <col min="2" max="2" width="25.5" customWidth="1"/>
    <col min="3" max="7" width="21.1640625" customWidth="1"/>
    <col min="9" max="9" width="22" customWidth="1"/>
    <col min="10" max="10" width="20.5" customWidth="1"/>
    <col min="11" max="11" width="19.5" customWidth="1"/>
    <col min="13" max="13" width="18.1640625" customWidth="1"/>
    <col min="14" max="14" width="20.33203125" customWidth="1"/>
    <col min="15" max="15" width="20.5" customWidth="1"/>
    <col min="16" max="16" width="20" customWidth="1"/>
    <col min="19" max="19" width="25" customWidth="1"/>
    <col min="20" max="21" width="23.33203125" customWidth="1"/>
    <col min="24" max="24" width="25.1640625" customWidth="1"/>
    <col min="25" max="25" width="20.5" customWidth="1"/>
    <col min="26" max="26" width="21" customWidth="1"/>
    <col min="28" max="28" width="16.1640625" customWidth="1"/>
    <col min="29" max="29" width="21.6640625" customWidth="1"/>
    <col min="30" max="30" width="21.5" customWidth="1"/>
    <col min="31" max="31" width="27.33203125" customWidth="1"/>
  </cols>
  <sheetData>
    <row r="1" spans="1:32" ht="29.25" customHeight="1">
      <c r="A1" s="286" t="s">
        <v>286</v>
      </c>
      <c r="B1" s="264"/>
      <c r="C1" s="264"/>
      <c r="D1" s="264"/>
      <c r="E1" s="264"/>
      <c r="F1" s="264"/>
      <c r="G1" s="287" t="s">
        <v>287</v>
      </c>
      <c r="H1" s="264"/>
      <c r="I1" s="264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</row>
    <row r="2" spans="1:32" ht="55.5" customHeight="1">
      <c r="A2" s="288" t="s">
        <v>288</v>
      </c>
      <c r="B2" s="264"/>
      <c r="C2" s="264"/>
      <c r="D2" s="264"/>
      <c r="E2" s="264"/>
      <c r="F2" s="264"/>
      <c r="G2" s="289" t="s">
        <v>289</v>
      </c>
      <c r="H2" s="264"/>
      <c r="I2" s="264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</row>
    <row r="3" spans="1:32">
      <c r="A3" s="283" t="s">
        <v>290</v>
      </c>
      <c r="B3" s="229"/>
      <c r="C3" s="229"/>
      <c r="D3" s="229"/>
      <c r="E3" s="229"/>
      <c r="F3" s="230"/>
      <c r="G3" s="159"/>
      <c r="H3" s="284" t="s">
        <v>291</v>
      </c>
      <c r="I3" s="229"/>
      <c r="J3" s="229"/>
      <c r="K3" s="230"/>
      <c r="L3" s="159"/>
      <c r="M3" s="285" t="s">
        <v>292</v>
      </c>
      <c r="N3" s="229"/>
      <c r="O3" s="229"/>
      <c r="P3" s="230"/>
      <c r="Q3" s="159"/>
      <c r="R3" s="278" t="s">
        <v>158</v>
      </c>
      <c r="S3" s="229"/>
      <c r="T3" s="229"/>
      <c r="U3" s="230"/>
      <c r="V3" s="159"/>
      <c r="W3" s="279" t="s">
        <v>159</v>
      </c>
      <c r="X3" s="229"/>
      <c r="Y3" s="229"/>
      <c r="Z3" s="230"/>
      <c r="AA3" s="159"/>
      <c r="AB3" s="280" t="s">
        <v>293</v>
      </c>
      <c r="AC3" s="281"/>
      <c r="AD3" s="281"/>
      <c r="AE3" s="282"/>
      <c r="AF3" s="160"/>
    </row>
    <row r="4" spans="1:32">
      <c r="A4" s="161" t="s">
        <v>59</v>
      </c>
      <c r="B4" s="161" t="s">
        <v>294</v>
      </c>
      <c r="C4" s="161"/>
      <c r="D4" s="161"/>
      <c r="E4" s="161" t="s">
        <v>295</v>
      </c>
      <c r="F4" s="161" t="s">
        <v>296</v>
      </c>
      <c r="G4" s="162"/>
      <c r="H4" s="161" t="s">
        <v>59</v>
      </c>
      <c r="I4" s="161" t="s">
        <v>294</v>
      </c>
      <c r="J4" s="161" t="s">
        <v>295</v>
      </c>
      <c r="K4" s="161" t="s">
        <v>296</v>
      </c>
      <c r="L4" s="162"/>
      <c r="M4" s="161" t="s">
        <v>59</v>
      </c>
      <c r="N4" s="161" t="s">
        <v>294</v>
      </c>
      <c r="O4" s="161" t="s">
        <v>295</v>
      </c>
      <c r="P4" s="161" t="s">
        <v>296</v>
      </c>
      <c r="Q4" s="162"/>
      <c r="R4" s="161" t="s">
        <v>59</v>
      </c>
      <c r="S4" s="161" t="s">
        <v>294</v>
      </c>
      <c r="T4" s="161" t="s">
        <v>295</v>
      </c>
      <c r="U4" s="161" t="s">
        <v>296</v>
      </c>
      <c r="V4" s="162"/>
      <c r="W4" s="161" t="s">
        <v>59</v>
      </c>
      <c r="X4" s="161" t="s">
        <v>294</v>
      </c>
      <c r="Y4" s="161" t="s">
        <v>295</v>
      </c>
      <c r="Z4" s="161" t="s">
        <v>296</v>
      </c>
      <c r="AA4" s="162"/>
      <c r="AB4" s="163" t="s">
        <v>59</v>
      </c>
      <c r="AC4" s="163" t="s">
        <v>294</v>
      </c>
      <c r="AD4" s="163" t="s">
        <v>295</v>
      </c>
      <c r="AE4" s="163" t="s">
        <v>296</v>
      </c>
      <c r="AF4" s="164"/>
    </row>
    <row r="5" spans="1:32">
      <c r="A5" s="165">
        <v>1</v>
      </c>
      <c r="B5" s="166">
        <v>32.299999999999997</v>
      </c>
      <c r="C5" s="166"/>
      <c r="D5" s="166"/>
      <c r="E5" s="165">
        <f t="shared" ref="E5:E28" si="0">B5/100</f>
        <v>0.32299999999999995</v>
      </c>
      <c r="F5" s="165">
        <f t="shared" ref="F5:F28" si="1">E5*1000</f>
        <v>322.99999999999994</v>
      </c>
      <c r="G5" s="159"/>
      <c r="H5" s="165">
        <v>1</v>
      </c>
      <c r="I5" s="167">
        <v>32.1</v>
      </c>
      <c r="J5" s="165">
        <f t="shared" ref="J5:J28" si="2">I5/100</f>
        <v>0.32100000000000001</v>
      </c>
      <c r="K5" s="165">
        <f t="shared" ref="K5:K28" si="3">J5*1000</f>
        <v>321</v>
      </c>
      <c r="L5" s="159"/>
      <c r="M5" s="165">
        <v>1</v>
      </c>
      <c r="N5" s="167">
        <v>32.4</v>
      </c>
      <c r="O5" s="165">
        <f t="shared" ref="O5:O28" si="4">N5/100</f>
        <v>0.32400000000000001</v>
      </c>
      <c r="P5" s="165">
        <f t="shared" ref="P5:P28" si="5">O5*1000</f>
        <v>324</v>
      </c>
      <c r="Q5" s="159"/>
      <c r="R5" s="165">
        <v>1</v>
      </c>
      <c r="S5" s="167">
        <v>33</v>
      </c>
      <c r="T5" s="165">
        <f t="shared" ref="T5:T28" si="6">S5/100</f>
        <v>0.33</v>
      </c>
      <c r="U5" s="165">
        <f t="shared" ref="U5:U28" si="7">T5*1000</f>
        <v>330</v>
      </c>
      <c r="V5" s="159"/>
      <c r="W5" s="165">
        <v>1</v>
      </c>
      <c r="X5" s="167">
        <v>34.1</v>
      </c>
      <c r="Y5" s="165">
        <f t="shared" ref="Y5:Y28" si="8">X5/100</f>
        <v>0.34100000000000003</v>
      </c>
      <c r="Z5" s="165">
        <f t="shared" ref="Z5:Z28" si="9">Y5*1000</f>
        <v>341</v>
      </c>
      <c r="AA5" s="159"/>
      <c r="AB5" s="168">
        <v>1</v>
      </c>
      <c r="AC5" s="169">
        <v>34.6</v>
      </c>
      <c r="AD5" s="168">
        <f t="shared" ref="AD5:AD28" si="10">AC5/100</f>
        <v>0.34600000000000003</v>
      </c>
      <c r="AE5" s="168">
        <f t="shared" ref="AE5:AE28" si="11">AD5*1000</f>
        <v>346.00000000000006</v>
      </c>
      <c r="AF5" s="159"/>
    </row>
    <row r="6" spans="1:32">
      <c r="A6" s="170">
        <v>2</v>
      </c>
      <c r="B6" s="171">
        <v>30.7</v>
      </c>
      <c r="C6" s="171"/>
      <c r="D6" s="171"/>
      <c r="E6" s="170">
        <f t="shared" si="0"/>
        <v>0.307</v>
      </c>
      <c r="F6" s="170">
        <f t="shared" si="1"/>
        <v>307</v>
      </c>
      <c r="G6" s="172"/>
      <c r="H6" s="170">
        <v>2</v>
      </c>
      <c r="I6" s="173">
        <v>29.7</v>
      </c>
      <c r="J6" s="170">
        <f t="shared" si="2"/>
        <v>0.29699999999999999</v>
      </c>
      <c r="K6" s="170">
        <f t="shared" si="3"/>
        <v>297</v>
      </c>
      <c r="L6" s="172"/>
      <c r="M6" s="170">
        <v>2</v>
      </c>
      <c r="N6" s="173">
        <v>30.3</v>
      </c>
      <c r="O6" s="170">
        <f t="shared" si="4"/>
        <v>0.30299999999999999</v>
      </c>
      <c r="P6" s="170">
        <f t="shared" si="5"/>
        <v>303</v>
      </c>
      <c r="Q6" s="172"/>
      <c r="R6" s="170">
        <v>2</v>
      </c>
      <c r="S6" s="173">
        <v>31.6</v>
      </c>
      <c r="T6" s="170">
        <f t="shared" si="6"/>
        <v>0.316</v>
      </c>
      <c r="U6" s="170">
        <f t="shared" si="7"/>
        <v>316</v>
      </c>
      <c r="V6" s="172"/>
      <c r="W6" s="170">
        <v>2</v>
      </c>
      <c r="X6" s="173">
        <v>31.7</v>
      </c>
      <c r="Y6" s="170">
        <f t="shared" si="8"/>
        <v>0.317</v>
      </c>
      <c r="Z6" s="170">
        <f t="shared" si="9"/>
        <v>317</v>
      </c>
      <c r="AA6" s="172"/>
      <c r="AB6" s="170">
        <v>2</v>
      </c>
      <c r="AC6" s="173">
        <v>31.6</v>
      </c>
      <c r="AD6" s="170">
        <f t="shared" si="10"/>
        <v>0.316</v>
      </c>
      <c r="AE6" s="170">
        <f t="shared" si="11"/>
        <v>316</v>
      </c>
      <c r="AF6" s="172"/>
    </row>
    <row r="7" spans="1:32">
      <c r="A7" s="165">
        <v>3</v>
      </c>
      <c r="B7" s="166">
        <v>33</v>
      </c>
      <c r="C7" s="166"/>
      <c r="D7" s="166"/>
      <c r="E7" s="165">
        <f t="shared" si="0"/>
        <v>0.33</v>
      </c>
      <c r="F7" s="165">
        <f t="shared" si="1"/>
        <v>330</v>
      </c>
      <c r="G7" s="159"/>
      <c r="H7" s="165">
        <v>3</v>
      </c>
      <c r="I7" s="167">
        <v>35.1</v>
      </c>
      <c r="J7" s="165">
        <f t="shared" si="2"/>
        <v>0.35100000000000003</v>
      </c>
      <c r="K7" s="165">
        <f t="shared" si="3"/>
        <v>351.00000000000006</v>
      </c>
      <c r="L7" s="159"/>
      <c r="M7" s="165">
        <v>3</v>
      </c>
      <c r="N7" s="167">
        <v>35.4</v>
      </c>
      <c r="O7" s="165">
        <f t="shared" si="4"/>
        <v>0.35399999999999998</v>
      </c>
      <c r="P7" s="165">
        <f t="shared" si="5"/>
        <v>354</v>
      </c>
      <c r="Q7" s="159"/>
      <c r="R7" s="165">
        <v>3</v>
      </c>
      <c r="S7" s="167">
        <v>36.6</v>
      </c>
      <c r="T7" s="165">
        <f t="shared" si="6"/>
        <v>0.36599999999999999</v>
      </c>
      <c r="U7" s="165">
        <f t="shared" si="7"/>
        <v>366</v>
      </c>
      <c r="V7" s="159"/>
      <c r="W7" s="165">
        <v>3</v>
      </c>
      <c r="X7" s="167">
        <v>37.4</v>
      </c>
      <c r="Y7" s="165">
        <f t="shared" si="8"/>
        <v>0.374</v>
      </c>
      <c r="Z7" s="165">
        <f t="shared" si="9"/>
        <v>374</v>
      </c>
      <c r="AA7" s="159"/>
      <c r="AB7" s="168">
        <v>3</v>
      </c>
      <c r="AC7" s="169">
        <v>37.200000000000003</v>
      </c>
      <c r="AD7" s="168">
        <f t="shared" si="10"/>
        <v>0.37200000000000005</v>
      </c>
      <c r="AE7" s="168">
        <f t="shared" si="11"/>
        <v>372.00000000000006</v>
      </c>
      <c r="AF7" s="159"/>
    </row>
    <row r="8" spans="1:32">
      <c r="A8" s="170">
        <v>4</v>
      </c>
      <c r="B8" s="171">
        <v>31.5</v>
      </c>
      <c r="C8" s="171"/>
      <c r="D8" s="171"/>
      <c r="E8" s="170">
        <f t="shared" si="0"/>
        <v>0.315</v>
      </c>
      <c r="F8" s="170">
        <f t="shared" si="1"/>
        <v>315</v>
      </c>
      <c r="G8" s="172"/>
      <c r="H8" s="170">
        <v>4</v>
      </c>
      <c r="I8" s="173">
        <v>31.6</v>
      </c>
      <c r="J8" s="170">
        <f t="shared" si="2"/>
        <v>0.316</v>
      </c>
      <c r="K8" s="170">
        <f t="shared" si="3"/>
        <v>316</v>
      </c>
      <c r="L8" s="172"/>
      <c r="M8" s="170">
        <v>4</v>
      </c>
      <c r="N8" s="173">
        <v>32.700000000000003</v>
      </c>
      <c r="O8" s="170">
        <f t="shared" si="4"/>
        <v>0.32700000000000001</v>
      </c>
      <c r="P8" s="170">
        <f t="shared" si="5"/>
        <v>327</v>
      </c>
      <c r="Q8" s="172"/>
      <c r="R8" s="170">
        <v>4</v>
      </c>
      <c r="S8" s="173">
        <v>32.4</v>
      </c>
      <c r="T8" s="170">
        <f t="shared" si="6"/>
        <v>0.32400000000000001</v>
      </c>
      <c r="U8" s="170">
        <f t="shared" si="7"/>
        <v>324</v>
      </c>
      <c r="V8" s="172"/>
      <c r="W8" s="170">
        <v>4</v>
      </c>
      <c r="X8" s="173">
        <v>33.4</v>
      </c>
      <c r="Y8" s="170">
        <f t="shared" si="8"/>
        <v>0.33399999999999996</v>
      </c>
      <c r="Z8" s="170">
        <f t="shared" si="9"/>
        <v>333.99999999999994</v>
      </c>
      <c r="AA8" s="172"/>
      <c r="AB8" s="170">
        <v>4</v>
      </c>
      <c r="AC8" s="173">
        <v>33.4</v>
      </c>
      <c r="AD8" s="170">
        <f t="shared" si="10"/>
        <v>0.33399999999999996</v>
      </c>
      <c r="AE8" s="170">
        <f t="shared" si="11"/>
        <v>333.99999999999994</v>
      </c>
      <c r="AF8" s="172"/>
    </row>
    <row r="9" spans="1:32">
      <c r="A9" s="165">
        <v>5</v>
      </c>
      <c r="B9" s="166">
        <v>30.3</v>
      </c>
      <c r="C9" s="166"/>
      <c r="D9" s="166"/>
      <c r="E9" s="165">
        <f t="shared" si="0"/>
        <v>0.30299999999999999</v>
      </c>
      <c r="F9" s="165">
        <f t="shared" si="1"/>
        <v>303</v>
      </c>
      <c r="G9" s="159"/>
      <c r="H9" s="165">
        <v>5</v>
      </c>
      <c r="I9" s="167">
        <v>30.2</v>
      </c>
      <c r="J9" s="165">
        <f t="shared" si="2"/>
        <v>0.30199999999999999</v>
      </c>
      <c r="K9" s="165">
        <f t="shared" si="3"/>
        <v>302</v>
      </c>
      <c r="L9" s="159"/>
      <c r="M9" s="165">
        <v>5</v>
      </c>
      <c r="N9" s="167">
        <v>30.8</v>
      </c>
      <c r="O9" s="165">
        <f t="shared" si="4"/>
        <v>0.308</v>
      </c>
      <c r="P9" s="165">
        <f t="shared" si="5"/>
        <v>308</v>
      </c>
      <c r="Q9" s="159"/>
      <c r="R9" s="165">
        <v>5</v>
      </c>
      <c r="S9" s="167">
        <v>31.8</v>
      </c>
      <c r="T9" s="165">
        <f t="shared" si="6"/>
        <v>0.318</v>
      </c>
      <c r="U9" s="165">
        <f t="shared" si="7"/>
        <v>318</v>
      </c>
      <c r="V9" s="159"/>
      <c r="W9" s="165">
        <v>5</v>
      </c>
      <c r="X9" s="167">
        <v>33</v>
      </c>
      <c r="Y9" s="165">
        <f t="shared" si="8"/>
        <v>0.33</v>
      </c>
      <c r="Z9" s="165">
        <f t="shared" si="9"/>
        <v>330</v>
      </c>
      <c r="AA9" s="159"/>
      <c r="AB9" s="168">
        <v>5</v>
      </c>
      <c r="AC9" s="169">
        <v>33.1</v>
      </c>
      <c r="AD9" s="168">
        <f t="shared" si="10"/>
        <v>0.33100000000000002</v>
      </c>
      <c r="AE9" s="168">
        <f t="shared" si="11"/>
        <v>331</v>
      </c>
      <c r="AF9" s="159"/>
    </row>
    <row r="10" spans="1:32">
      <c r="A10" s="170">
        <v>6</v>
      </c>
      <c r="B10" s="171">
        <v>30</v>
      </c>
      <c r="C10" s="171"/>
      <c r="D10" s="171"/>
      <c r="E10" s="170">
        <f t="shared" si="0"/>
        <v>0.3</v>
      </c>
      <c r="F10" s="170">
        <f t="shared" si="1"/>
        <v>300</v>
      </c>
      <c r="G10" s="172"/>
      <c r="H10" s="170">
        <v>6</v>
      </c>
      <c r="I10" s="173">
        <v>29</v>
      </c>
      <c r="J10" s="170">
        <f t="shared" si="2"/>
        <v>0.28999999999999998</v>
      </c>
      <c r="K10" s="170">
        <f t="shared" si="3"/>
        <v>290</v>
      </c>
      <c r="L10" s="172"/>
      <c r="M10" s="170">
        <v>6</v>
      </c>
      <c r="N10" s="173">
        <v>28.9</v>
      </c>
      <c r="O10" s="170">
        <f t="shared" si="4"/>
        <v>0.28899999999999998</v>
      </c>
      <c r="P10" s="170">
        <f t="shared" si="5"/>
        <v>289</v>
      </c>
      <c r="Q10" s="172"/>
      <c r="R10" s="170">
        <v>6</v>
      </c>
      <c r="S10" s="173">
        <v>29.6</v>
      </c>
      <c r="T10" s="170">
        <f t="shared" si="6"/>
        <v>0.29600000000000004</v>
      </c>
      <c r="U10" s="170">
        <f t="shared" si="7"/>
        <v>296.00000000000006</v>
      </c>
      <c r="V10" s="172"/>
      <c r="W10" s="170">
        <v>6</v>
      </c>
      <c r="X10" s="173">
        <v>30.5</v>
      </c>
      <c r="Y10" s="170">
        <f t="shared" si="8"/>
        <v>0.30499999999999999</v>
      </c>
      <c r="Z10" s="170">
        <f t="shared" si="9"/>
        <v>305</v>
      </c>
      <c r="AA10" s="172"/>
      <c r="AB10" s="170">
        <v>6</v>
      </c>
      <c r="AC10" s="173">
        <v>30.4</v>
      </c>
      <c r="AD10" s="170">
        <f t="shared" si="10"/>
        <v>0.30399999999999999</v>
      </c>
      <c r="AE10" s="170">
        <f t="shared" si="11"/>
        <v>304</v>
      </c>
      <c r="AF10" s="172"/>
    </row>
    <row r="11" spans="1:32">
      <c r="A11" s="165">
        <v>7</v>
      </c>
      <c r="B11" s="166">
        <v>20.8</v>
      </c>
      <c r="C11" s="166"/>
      <c r="D11" s="166"/>
      <c r="E11" s="165">
        <f t="shared" si="0"/>
        <v>0.20800000000000002</v>
      </c>
      <c r="F11" s="165">
        <f t="shared" si="1"/>
        <v>208.00000000000003</v>
      </c>
      <c r="G11" s="159"/>
      <c r="H11" s="165">
        <v>7</v>
      </c>
      <c r="I11" s="167">
        <v>20.6</v>
      </c>
      <c r="J11" s="165">
        <f t="shared" si="2"/>
        <v>0.20600000000000002</v>
      </c>
      <c r="K11" s="165">
        <f t="shared" si="3"/>
        <v>206.00000000000003</v>
      </c>
      <c r="L11" s="159"/>
      <c r="M11" s="165">
        <v>7</v>
      </c>
      <c r="N11" s="167">
        <v>21.3</v>
      </c>
      <c r="O11" s="165">
        <f t="shared" si="4"/>
        <v>0.21299999999999999</v>
      </c>
      <c r="P11" s="165">
        <f t="shared" si="5"/>
        <v>213</v>
      </c>
      <c r="Q11" s="159"/>
      <c r="R11" s="165">
        <v>7</v>
      </c>
      <c r="S11" s="167">
        <v>21.7</v>
      </c>
      <c r="T11" s="165">
        <f t="shared" si="6"/>
        <v>0.217</v>
      </c>
      <c r="U11" s="165">
        <f t="shared" si="7"/>
        <v>217</v>
      </c>
      <c r="V11" s="159"/>
      <c r="W11" s="165">
        <v>7</v>
      </c>
      <c r="X11" s="167">
        <v>22.1</v>
      </c>
      <c r="Y11" s="165">
        <f t="shared" si="8"/>
        <v>0.221</v>
      </c>
      <c r="Z11" s="165">
        <f t="shared" si="9"/>
        <v>221</v>
      </c>
      <c r="AA11" s="159"/>
      <c r="AB11" s="168">
        <v>7</v>
      </c>
      <c r="AC11" s="169">
        <v>21.7</v>
      </c>
      <c r="AD11" s="168">
        <f t="shared" si="10"/>
        <v>0.217</v>
      </c>
      <c r="AE11" s="168">
        <f t="shared" si="11"/>
        <v>217</v>
      </c>
      <c r="AF11" s="159"/>
    </row>
    <row r="12" spans="1:32">
      <c r="A12" s="170">
        <v>8</v>
      </c>
      <c r="B12" s="171">
        <v>21.7</v>
      </c>
      <c r="C12" s="171"/>
      <c r="D12" s="171"/>
      <c r="E12" s="170">
        <f t="shared" si="0"/>
        <v>0.217</v>
      </c>
      <c r="F12" s="170">
        <f t="shared" si="1"/>
        <v>217</v>
      </c>
      <c r="G12" s="172"/>
      <c r="H12" s="170">
        <v>8</v>
      </c>
      <c r="I12" s="173">
        <v>21.7</v>
      </c>
      <c r="J12" s="170">
        <f t="shared" si="2"/>
        <v>0.217</v>
      </c>
      <c r="K12" s="170">
        <f t="shared" si="3"/>
        <v>217</v>
      </c>
      <c r="L12" s="172"/>
      <c r="M12" s="170">
        <v>8</v>
      </c>
      <c r="N12" s="173">
        <v>22.6</v>
      </c>
      <c r="O12" s="170">
        <f t="shared" si="4"/>
        <v>0.22600000000000001</v>
      </c>
      <c r="P12" s="170">
        <f t="shared" si="5"/>
        <v>226</v>
      </c>
      <c r="Q12" s="172"/>
      <c r="R12" s="170">
        <v>8</v>
      </c>
      <c r="S12" s="173">
        <v>22.6</v>
      </c>
      <c r="T12" s="170">
        <f t="shared" si="6"/>
        <v>0.22600000000000001</v>
      </c>
      <c r="U12" s="170">
        <f t="shared" si="7"/>
        <v>226</v>
      </c>
      <c r="V12" s="172"/>
      <c r="W12" s="170">
        <v>8</v>
      </c>
      <c r="X12" s="173">
        <v>23.3</v>
      </c>
      <c r="Y12" s="170">
        <f t="shared" si="8"/>
        <v>0.23300000000000001</v>
      </c>
      <c r="Z12" s="170">
        <f t="shared" si="9"/>
        <v>233</v>
      </c>
      <c r="AA12" s="172"/>
      <c r="AB12" s="170">
        <v>8</v>
      </c>
      <c r="AC12" s="173">
        <v>23.6</v>
      </c>
      <c r="AD12" s="170">
        <f t="shared" si="10"/>
        <v>0.23600000000000002</v>
      </c>
      <c r="AE12" s="170">
        <f t="shared" si="11"/>
        <v>236.00000000000003</v>
      </c>
      <c r="AF12" s="172"/>
    </row>
    <row r="13" spans="1:32">
      <c r="A13" s="165">
        <v>9</v>
      </c>
      <c r="B13" s="166">
        <v>20.8</v>
      </c>
      <c r="C13" s="166"/>
      <c r="D13" s="166"/>
      <c r="E13" s="165">
        <f t="shared" si="0"/>
        <v>0.20800000000000002</v>
      </c>
      <c r="F13" s="165">
        <f t="shared" si="1"/>
        <v>208.00000000000003</v>
      </c>
      <c r="G13" s="159"/>
      <c r="H13" s="165">
        <v>9</v>
      </c>
      <c r="I13" s="167">
        <v>21.9</v>
      </c>
      <c r="J13" s="165">
        <f t="shared" si="2"/>
        <v>0.21899999999999997</v>
      </c>
      <c r="K13" s="165">
        <f t="shared" si="3"/>
        <v>218.99999999999997</v>
      </c>
      <c r="L13" s="159"/>
      <c r="M13" s="165">
        <v>9</v>
      </c>
      <c r="N13" s="167">
        <v>23.2</v>
      </c>
      <c r="O13" s="165">
        <f t="shared" si="4"/>
        <v>0.23199999999999998</v>
      </c>
      <c r="P13" s="165">
        <f t="shared" si="5"/>
        <v>231.99999999999997</v>
      </c>
      <c r="Q13" s="159"/>
      <c r="R13" s="165">
        <v>9</v>
      </c>
      <c r="S13" s="167">
        <v>22.9</v>
      </c>
      <c r="T13" s="165">
        <f t="shared" si="6"/>
        <v>0.22899999999999998</v>
      </c>
      <c r="U13" s="165">
        <f t="shared" si="7"/>
        <v>228.99999999999997</v>
      </c>
      <c r="V13" s="159"/>
      <c r="W13" s="165">
        <v>9</v>
      </c>
      <c r="X13" s="167">
        <v>22.2</v>
      </c>
      <c r="Y13" s="165">
        <f t="shared" si="8"/>
        <v>0.222</v>
      </c>
      <c r="Z13" s="165">
        <f t="shared" si="9"/>
        <v>222</v>
      </c>
      <c r="AA13" s="159"/>
      <c r="AB13" s="168">
        <v>9</v>
      </c>
      <c r="AC13" s="169">
        <v>22.6</v>
      </c>
      <c r="AD13" s="168">
        <f t="shared" si="10"/>
        <v>0.22600000000000001</v>
      </c>
      <c r="AE13" s="168">
        <f t="shared" si="11"/>
        <v>226</v>
      </c>
      <c r="AF13" s="159"/>
    </row>
    <row r="14" spans="1:32">
      <c r="A14" s="170">
        <v>10</v>
      </c>
      <c r="B14" s="171">
        <v>21.4</v>
      </c>
      <c r="C14" s="171"/>
      <c r="D14" s="171"/>
      <c r="E14" s="170">
        <f t="shared" si="0"/>
        <v>0.214</v>
      </c>
      <c r="F14" s="170">
        <f t="shared" si="1"/>
        <v>214</v>
      </c>
      <c r="G14" s="172"/>
      <c r="H14" s="170">
        <v>10</v>
      </c>
      <c r="I14" s="173">
        <v>21.5</v>
      </c>
      <c r="J14" s="170">
        <f t="shared" si="2"/>
        <v>0.215</v>
      </c>
      <c r="K14" s="170">
        <f t="shared" si="3"/>
        <v>215</v>
      </c>
      <c r="L14" s="172"/>
      <c r="M14" s="170">
        <v>10</v>
      </c>
      <c r="N14" s="173">
        <v>21.7</v>
      </c>
      <c r="O14" s="170">
        <f t="shared" si="4"/>
        <v>0.217</v>
      </c>
      <c r="P14" s="170">
        <f t="shared" si="5"/>
        <v>217</v>
      </c>
      <c r="Q14" s="172"/>
      <c r="R14" s="170">
        <v>10</v>
      </c>
      <c r="S14" s="173">
        <v>21.9</v>
      </c>
      <c r="T14" s="170">
        <f t="shared" si="6"/>
        <v>0.21899999999999997</v>
      </c>
      <c r="U14" s="170">
        <f t="shared" si="7"/>
        <v>218.99999999999997</v>
      </c>
      <c r="V14" s="172"/>
      <c r="W14" s="170">
        <v>10</v>
      </c>
      <c r="X14" s="173">
        <v>22.9</v>
      </c>
      <c r="Y14" s="170">
        <f t="shared" si="8"/>
        <v>0.22899999999999998</v>
      </c>
      <c r="Z14" s="170">
        <f t="shared" si="9"/>
        <v>228.99999999999997</v>
      </c>
      <c r="AA14" s="172"/>
      <c r="AB14" s="170">
        <v>10</v>
      </c>
      <c r="AC14" s="173">
        <v>22.8</v>
      </c>
      <c r="AD14" s="170">
        <f t="shared" si="10"/>
        <v>0.22800000000000001</v>
      </c>
      <c r="AE14" s="170">
        <f t="shared" si="11"/>
        <v>228</v>
      </c>
      <c r="AF14" s="172"/>
    </row>
    <row r="15" spans="1:32">
      <c r="A15" s="165">
        <v>11</v>
      </c>
      <c r="B15" s="166">
        <v>22</v>
      </c>
      <c r="C15" s="166"/>
      <c r="D15" s="166"/>
      <c r="E15" s="165">
        <f t="shared" si="0"/>
        <v>0.22</v>
      </c>
      <c r="F15" s="165">
        <f t="shared" si="1"/>
        <v>220</v>
      </c>
      <c r="G15" s="159"/>
      <c r="H15" s="165">
        <v>11</v>
      </c>
      <c r="I15" s="167">
        <v>22.2</v>
      </c>
      <c r="J15" s="165">
        <f t="shared" si="2"/>
        <v>0.222</v>
      </c>
      <c r="K15" s="165">
        <f t="shared" si="3"/>
        <v>222</v>
      </c>
      <c r="L15" s="159"/>
      <c r="M15" s="165">
        <v>11</v>
      </c>
      <c r="N15" s="167">
        <v>22.2</v>
      </c>
      <c r="O15" s="165">
        <f t="shared" si="4"/>
        <v>0.222</v>
      </c>
      <c r="P15" s="165">
        <f t="shared" si="5"/>
        <v>222</v>
      </c>
      <c r="Q15" s="159"/>
      <c r="R15" s="165">
        <v>11</v>
      </c>
      <c r="S15" s="167">
        <v>22.2</v>
      </c>
      <c r="T15" s="165">
        <f t="shared" si="6"/>
        <v>0.222</v>
      </c>
      <c r="U15" s="165">
        <f t="shared" si="7"/>
        <v>222</v>
      </c>
      <c r="V15" s="159"/>
      <c r="W15" s="165">
        <v>11</v>
      </c>
      <c r="X15" s="167">
        <v>22.9</v>
      </c>
      <c r="Y15" s="165">
        <f t="shared" si="8"/>
        <v>0.22899999999999998</v>
      </c>
      <c r="Z15" s="165">
        <f t="shared" si="9"/>
        <v>228.99999999999997</v>
      </c>
      <c r="AA15" s="159"/>
      <c r="AB15" s="168">
        <v>11</v>
      </c>
      <c r="AC15" s="169">
        <v>23.2</v>
      </c>
      <c r="AD15" s="168">
        <f t="shared" si="10"/>
        <v>0.23199999999999998</v>
      </c>
      <c r="AE15" s="168">
        <f t="shared" si="11"/>
        <v>231.99999999999997</v>
      </c>
      <c r="AF15" s="159"/>
    </row>
    <row r="16" spans="1:32">
      <c r="A16" s="170">
        <v>12</v>
      </c>
      <c r="B16" s="171">
        <v>23</v>
      </c>
      <c r="C16" s="171"/>
      <c r="D16" s="171"/>
      <c r="E16" s="170">
        <f t="shared" si="0"/>
        <v>0.23</v>
      </c>
      <c r="F16" s="170">
        <f t="shared" si="1"/>
        <v>230</v>
      </c>
      <c r="G16" s="172"/>
      <c r="H16" s="170">
        <v>12</v>
      </c>
      <c r="I16" s="173">
        <v>23.3</v>
      </c>
      <c r="J16" s="170">
        <f t="shared" si="2"/>
        <v>0.23300000000000001</v>
      </c>
      <c r="K16" s="170">
        <f t="shared" si="3"/>
        <v>233</v>
      </c>
      <c r="L16" s="172"/>
      <c r="M16" s="170">
        <v>12</v>
      </c>
      <c r="N16" s="173">
        <v>24.6</v>
      </c>
      <c r="O16" s="170">
        <f t="shared" si="4"/>
        <v>0.24600000000000002</v>
      </c>
      <c r="P16" s="170">
        <f t="shared" si="5"/>
        <v>246.00000000000003</v>
      </c>
      <c r="Q16" s="172"/>
      <c r="R16" s="170">
        <v>12</v>
      </c>
      <c r="S16" s="173">
        <v>24.5</v>
      </c>
      <c r="T16" s="170">
        <f t="shared" si="6"/>
        <v>0.245</v>
      </c>
      <c r="U16" s="170">
        <f t="shared" si="7"/>
        <v>245</v>
      </c>
      <c r="V16" s="172"/>
      <c r="W16" s="170">
        <v>12</v>
      </c>
      <c r="X16" s="173">
        <v>25.9</v>
      </c>
      <c r="Y16" s="170">
        <f t="shared" si="8"/>
        <v>0.25900000000000001</v>
      </c>
      <c r="Z16" s="170">
        <f t="shared" si="9"/>
        <v>259</v>
      </c>
      <c r="AA16" s="172"/>
      <c r="AB16" s="170">
        <v>12</v>
      </c>
      <c r="AC16" s="173">
        <v>25.8</v>
      </c>
      <c r="AD16" s="170">
        <f t="shared" si="10"/>
        <v>0.25800000000000001</v>
      </c>
      <c r="AE16" s="170">
        <f t="shared" si="11"/>
        <v>258</v>
      </c>
      <c r="AF16" s="172"/>
    </row>
    <row r="17" spans="1:32">
      <c r="A17" s="165">
        <v>13</v>
      </c>
      <c r="B17" s="166">
        <v>52.3</v>
      </c>
      <c r="C17" s="166"/>
      <c r="D17" s="166"/>
      <c r="E17" s="165">
        <f t="shared" si="0"/>
        <v>0.52300000000000002</v>
      </c>
      <c r="F17" s="165">
        <f t="shared" si="1"/>
        <v>523</v>
      </c>
      <c r="G17" s="159"/>
      <c r="H17" s="165">
        <v>13</v>
      </c>
      <c r="I17" s="167">
        <v>51.6</v>
      </c>
      <c r="J17" s="165">
        <f t="shared" si="2"/>
        <v>0.51600000000000001</v>
      </c>
      <c r="K17" s="165">
        <f t="shared" si="3"/>
        <v>516</v>
      </c>
      <c r="L17" s="159"/>
      <c r="M17" s="165">
        <v>13</v>
      </c>
      <c r="N17" s="167">
        <v>50.6</v>
      </c>
      <c r="O17" s="165">
        <f t="shared" si="4"/>
        <v>0.50600000000000001</v>
      </c>
      <c r="P17" s="165">
        <f t="shared" si="5"/>
        <v>506</v>
      </c>
      <c r="Q17" s="159"/>
      <c r="R17" s="165">
        <v>13</v>
      </c>
      <c r="S17" s="167">
        <v>49.7</v>
      </c>
      <c r="T17" s="165">
        <f t="shared" si="6"/>
        <v>0.49700000000000005</v>
      </c>
      <c r="U17" s="165">
        <f t="shared" si="7"/>
        <v>497.00000000000006</v>
      </c>
      <c r="V17" s="159"/>
      <c r="W17" s="165">
        <v>13</v>
      </c>
      <c r="X17" s="167">
        <v>47.6</v>
      </c>
      <c r="Y17" s="165">
        <f t="shared" si="8"/>
        <v>0.47600000000000003</v>
      </c>
      <c r="Z17" s="165">
        <f t="shared" si="9"/>
        <v>476.00000000000006</v>
      </c>
      <c r="AA17" s="159"/>
      <c r="AB17" s="168">
        <v>13</v>
      </c>
      <c r="AC17" s="169">
        <v>45.7</v>
      </c>
      <c r="AD17" s="168">
        <f t="shared" si="10"/>
        <v>0.45700000000000002</v>
      </c>
      <c r="AE17" s="168">
        <f t="shared" si="11"/>
        <v>457</v>
      </c>
      <c r="AF17" s="159"/>
    </row>
    <row r="18" spans="1:32">
      <c r="A18" s="170">
        <v>14</v>
      </c>
      <c r="B18" s="171">
        <v>54.1</v>
      </c>
      <c r="C18" s="171"/>
      <c r="D18" s="171"/>
      <c r="E18" s="170">
        <f t="shared" si="0"/>
        <v>0.54100000000000004</v>
      </c>
      <c r="F18" s="170">
        <f t="shared" si="1"/>
        <v>541</v>
      </c>
      <c r="G18" s="172"/>
      <c r="H18" s="170">
        <v>14</v>
      </c>
      <c r="I18" s="173">
        <v>53.7</v>
      </c>
      <c r="J18" s="170">
        <f t="shared" si="2"/>
        <v>0.53700000000000003</v>
      </c>
      <c r="K18" s="170">
        <f t="shared" si="3"/>
        <v>537</v>
      </c>
      <c r="L18" s="172"/>
      <c r="M18" s="170">
        <v>14</v>
      </c>
      <c r="N18" s="173">
        <v>52.4</v>
      </c>
      <c r="O18" s="170">
        <f t="shared" si="4"/>
        <v>0.52400000000000002</v>
      </c>
      <c r="P18" s="170">
        <f t="shared" si="5"/>
        <v>524</v>
      </c>
      <c r="Q18" s="172"/>
      <c r="R18" s="170">
        <v>14</v>
      </c>
      <c r="S18" s="173">
        <v>51.9</v>
      </c>
      <c r="T18" s="170">
        <f t="shared" si="6"/>
        <v>0.51900000000000002</v>
      </c>
      <c r="U18" s="170">
        <f t="shared" si="7"/>
        <v>519</v>
      </c>
      <c r="V18" s="172"/>
      <c r="W18" s="170">
        <v>14</v>
      </c>
      <c r="X18" s="173">
        <v>50.5</v>
      </c>
      <c r="Y18" s="170">
        <f t="shared" si="8"/>
        <v>0.505</v>
      </c>
      <c r="Z18" s="170">
        <f t="shared" si="9"/>
        <v>505</v>
      </c>
      <c r="AA18" s="172"/>
      <c r="AB18" s="170">
        <v>14</v>
      </c>
      <c r="AC18" s="173">
        <v>47.6</v>
      </c>
      <c r="AD18" s="170">
        <f t="shared" si="10"/>
        <v>0.47600000000000003</v>
      </c>
      <c r="AE18" s="170">
        <f t="shared" si="11"/>
        <v>476.00000000000006</v>
      </c>
      <c r="AF18" s="172"/>
    </row>
    <row r="19" spans="1:32">
      <c r="A19" s="165">
        <v>15</v>
      </c>
      <c r="B19" s="166">
        <v>44.2</v>
      </c>
      <c r="C19" s="166"/>
      <c r="D19" s="166"/>
      <c r="E19" s="165">
        <f t="shared" si="0"/>
        <v>0.442</v>
      </c>
      <c r="F19" s="165">
        <f t="shared" si="1"/>
        <v>442</v>
      </c>
      <c r="G19" s="159"/>
      <c r="H19" s="165">
        <v>15</v>
      </c>
      <c r="I19" s="167">
        <v>41.2</v>
      </c>
      <c r="J19" s="165">
        <f t="shared" si="2"/>
        <v>0.41200000000000003</v>
      </c>
      <c r="K19" s="165">
        <f t="shared" si="3"/>
        <v>412.00000000000006</v>
      </c>
      <c r="L19" s="159"/>
      <c r="M19" s="165">
        <v>15</v>
      </c>
      <c r="N19" s="167">
        <v>40.6</v>
      </c>
      <c r="O19" s="165">
        <f t="shared" si="4"/>
        <v>0.40600000000000003</v>
      </c>
      <c r="P19" s="165">
        <f t="shared" si="5"/>
        <v>406</v>
      </c>
      <c r="Q19" s="159"/>
      <c r="R19" s="165">
        <v>15</v>
      </c>
      <c r="S19" s="167">
        <v>40.200000000000003</v>
      </c>
      <c r="T19" s="165">
        <f t="shared" si="6"/>
        <v>0.40200000000000002</v>
      </c>
      <c r="U19" s="165">
        <f t="shared" si="7"/>
        <v>402</v>
      </c>
      <c r="V19" s="159"/>
      <c r="W19" s="165">
        <v>15</v>
      </c>
      <c r="X19" s="167">
        <v>41.3</v>
      </c>
      <c r="Y19" s="165">
        <f t="shared" si="8"/>
        <v>0.41299999999999998</v>
      </c>
      <c r="Z19" s="165">
        <f t="shared" si="9"/>
        <v>413</v>
      </c>
      <c r="AA19" s="159"/>
      <c r="AB19" s="168">
        <v>15</v>
      </c>
      <c r="AC19" s="169">
        <v>41.4</v>
      </c>
      <c r="AD19" s="168">
        <f t="shared" si="10"/>
        <v>0.41399999999999998</v>
      </c>
      <c r="AE19" s="168">
        <f t="shared" si="11"/>
        <v>414</v>
      </c>
      <c r="AF19" s="159"/>
    </row>
    <row r="20" spans="1:32">
      <c r="A20" s="170">
        <v>16</v>
      </c>
      <c r="B20" s="171">
        <v>50</v>
      </c>
      <c r="C20" s="171"/>
      <c r="D20" s="171"/>
      <c r="E20" s="170">
        <f t="shared" si="0"/>
        <v>0.5</v>
      </c>
      <c r="F20" s="170">
        <f t="shared" si="1"/>
        <v>500</v>
      </c>
      <c r="G20" s="172"/>
      <c r="H20" s="170">
        <v>16</v>
      </c>
      <c r="I20" s="173">
        <v>50.9</v>
      </c>
      <c r="J20" s="170">
        <f t="shared" si="2"/>
        <v>0.50900000000000001</v>
      </c>
      <c r="K20" s="170">
        <f t="shared" si="3"/>
        <v>509</v>
      </c>
      <c r="L20" s="172"/>
      <c r="M20" s="170">
        <v>16</v>
      </c>
      <c r="N20" s="173">
        <v>51.5</v>
      </c>
      <c r="O20" s="170">
        <f t="shared" si="4"/>
        <v>0.51500000000000001</v>
      </c>
      <c r="P20" s="170">
        <f t="shared" si="5"/>
        <v>515</v>
      </c>
      <c r="Q20" s="172"/>
      <c r="R20" s="170">
        <v>16</v>
      </c>
      <c r="S20" s="173">
        <v>52.3</v>
      </c>
      <c r="T20" s="170">
        <f t="shared" si="6"/>
        <v>0.52300000000000002</v>
      </c>
      <c r="U20" s="170">
        <f t="shared" si="7"/>
        <v>523</v>
      </c>
      <c r="V20" s="172"/>
      <c r="W20" s="170">
        <v>16</v>
      </c>
      <c r="X20" s="173">
        <v>53.8</v>
      </c>
      <c r="Y20" s="170">
        <f t="shared" si="8"/>
        <v>0.53799999999999992</v>
      </c>
      <c r="Z20" s="170">
        <f t="shared" si="9"/>
        <v>537.99999999999989</v>
      </c>
      <c r="AA20" s="172"/>
      <c r="AB20" s="170">
        <v>16</v>
      </c>
      <c r="AC20" s="173">
        <v>53.9</v>
      </c>
      <c r="AD20" s="170">
        <f t="shared" si="10"/>
        <v>0.53900000000000003</v>
      </c>
      <c r="AE20" s="170">
        <f t="shared" si="11"/>
        <v>539</v>
      </c>
      <c r="AF20" s="172"/>
    </row>
    <row r="21" spans="1:32">
      <c r="A21" s="165">
        <v>17</v>
      </c>
      <c r="B21" s="166">
        <v>52.2</v>
      </c>
      <c r="C21" s="166"/>
      <c r="D21" s="166"/>
      <c r="E21" s="165">
        <f t="shared" si="0"/>
        <v>0.52200000000000002</v>
      </c>
      <c r="F21" s="165">
        <f t="shared" si="1"/>
        <v>522</v>
      </c>
      <c r="G21" s="159"/>
      <c r="H21" s="165">
        <v>17</v>
      </c>
      <c r="I21" s="167">
        <v>48.8</v>
      </c>
      <c r="J21" s="165">
        <f t="shared" si="2"/>
        <v>0.48799999999999999</v>
      </c>
      <c r="K21" s="165">
        <f t="shared" si="3"/>
        <v>488</v>
      </c>
      <c r="L21" s="159"/>
      <c r="M21" s="165">
        <v>17</v>
      </c>
      <c r="N21" s="167">
        <v>45.5</v>
      </c>
      <c r="O21" s="165">
        <f t="shared" si="4"/>
        <v>0.45500000000000002</v>
      </c>
      <c r="P21" s="165">
        <f t="shared" si="5"/>
        <v>455</v>
      </c>
      <c r="Q21" s="159"/>
      <c r="R21" s="165">
        <v>17</v>
      </c>
      <c r="S21" s="167">
        <v>44.7</v>
      </c>
      <c r="T21" s="165">
        <f t="shared" si="6"/>
        <v>0.44700000000000001</v>
      </c>
      <c r="U21" s="165">
        <f t="shared" si="7"/>
        <v>447</v>
      </c>
      <c r="V21" s="159"/>
      <c r="W21" s="165">
        <v>17</v>
      </c>
      <c r="X21" s="167">
        <v>43.2</v>
      </c>
      <c r="Y21" s="165">
        <f t="shared" si="8"/>
        <v>0.43200000000000005</v>
      </c>
      <c r="Z21" s="165">
        <f t="shared" si="9"/>
        <v>432.00000000000006</v>
      </c>
      <c r="AA21" s="159"/>
      <c r="AB21" s="168">
        <v>17</v>
      </c>
      <c r="AC21" s="169">
        <v>43.6</v>
      </c>
      <c r="AD21" s="168">
        <f t="shared" si="10"/>
        <v>0.436</v>
      </c>
      <c r="AE21" s="168">
        <f t="shared" si="11"/>
        <v>436</v>
      </c>
      <c r="AF21" s="159"/>
    </row>
    <row r="22" spans="1:32">
      <c r="A22" s="170">
        <v>18</v>
      </c>
      <c r="B22" s="171">
        <v>52.9</v>
      </c>
      <c r="C22" s="171"/>
      <c r="D22" s="171"/>
      <c r="E22" s="170">
        <f t="shared" si="0"/>
        <v>0.52900000000000003</v>
      </c>
      <c r="F22" s="170">
        <f t="shared" si="1"/>
        <v>529</v>
      </c>
      <c r="G22" s="172"/>
      <c r="H22" s="170">
        <v>18</v>
      </c>
      <c r="I22" s="173">
        <v>50.8</v>
      </c>
      <c r="J22" s="170">
        <f t="shared" si="2"/>
        <v>0.50800000000000001</v>
      </c>
      <c r="K22" s="170">
        <f t="shared" si="3"/>
        <v>508</v>
      </c>
      <c r="L22" s="172"/>
      <c r="M22" s="170">
        <v>18</v>
      </c>
      <c r="N22" s="173">
        <v>46.5</v>
      </c>
      <c r="O22" s="170">
        <f t="shared" si="4"/>
        <v>0.46500000000000002</v>
      </c>
      <c r="P22" s="170">
        <f t="shared" si="5"/>
        <v>465</v>
      </c>
      <c r="Q22" s="172"/>
      <c r="R22" s="170">
        <v>18</v>
      </c>
      <c r="S22" s="173">
        <v>47.1</v>
      </c>
      <c r="T22" s="170">
        <f t="shared" si="6"/>
        <v>0.47100000000000003</v>
      </c>
      <c r="U22" s="170">
        <f t="shared" si="7"/>
        <v>471.00000000000006</v>
      </c>
      <c r="V22" s="172"/>
      <c r="W22" s="170">
        <v>18</v>
      </c>
      <c r="X22" s="173">
        <v>46</v>
      </c>
      <c r="Y22" s="170">
        <f t="shared" si="8"/>
        <v>0.46</v>
      </c>
      <c r="Z22" s="170">
        <f t="shared" si="9"/>
        <v>460</v>
      </c>
      <c r="AA22" s="172"/>
      <c r="AB22" s="170">
        <v>18</v>
      </c>
      <c r="AC22" s="173">
        <v>44.7</v>
      </c>
      <c r="AD22" s="170">
        <f t="shared" si="10"/>
        <v>0.44700000000000001</v>
      </c>
      <c r="AE22" s="170">
        <f t="shared" si="11"/>
        <v>447</v>
      </c>
      <c r="AF22" s="172"/>
    </row>
    <row r="23" spans="1:32">
      <c r="A23" s="165">
        <v>19</v>
      </c>
      <c r="B23" s="166">
        <v>42.6</v>
      </c>
      <c r="C23" s="166"/>
      <c r="D23" s="166"/>
      <c r="E23" s="165">
        <f t="shared" si="0"/>
        <v>0.42599999999999999</v>
      </c>
      <c r="F23" s="165">
        <f t="shared" si="1"/>
        <v>426</v>
      </c>
      <c r="G23" s="159"/>
      <c r="H23" s="165">
        <v>19</v>
      </c>
      <c r="I23" s="167">
        <v>43.5</v>
      </c>
      <c r="J23" s="165">
        <f t="shared" si="2"/>
        <v>0.435</v>
      </c>
      <c r="K23" s="165">
        <f t="shared" si="3"/>
        <v>435</v>
      </c>
      <c r="L23" s="159"/>
      <c r="M23" s="165">
        <v>19</v>
      </c>
      <c r="N23" s="167">
        <v>45</v>
      </c>
      <c r="O23" s="165">
        <f t="shared" si="4"/>
        <v>0.45</v>
      </c>
      <c r="P23" s="165">
        <f t="shared" si="5"/>
        <v>450</v>
      </c>
      <c r="Q23" s="159"/>
      <c r="R23" s="165">
        <v>19</v>
      </c>
      <c r="S23" s="167">
        <v>46</v>
      </c>
      <c r="T23" s="165">
        <f t="shared" si="6"/>
        <v>0.46</v>
      </c>
      <c r="U23" s="165">
        <f t="shared" si="7"/>
        <v>460</v>
      </c>
      <c r="V23" s="159"/>
      <c r="W23" s="165">
        <v>19</v>
      </c>
      <c r="X23" s="167">
        <v>46.5</v>
      </c>
      <c r="Y23" s="165">
        <f t="shared" si="8"/>
        <v>0.46500000000000002</v>
      </c>
      <c r="Z23" s="165">
        <f t="shared" si="9"/>
        <v>465</v>
      </c>
      <c r="AA23" s="159"/>
      <c r="AB23" s="168">
        <v>19</v>
      </c>
      <c r="AC23" s="169">
        <v>46.6</v>
      </c>
      <c r="AD23" s="168">
        <f t="shared" si="10"/>
        <v>0.46600000000000003</v>
      </c>
      <c r="AE23" s="168">
        <f t="shared" si="11"/>
        <v>466</v>
      </c>
      <c r="AF23" s="159"/>
    </row>
    <row r="24" spans="1:32">
      <c r="A24" s="170">
        <v>20</v>
      </c>
      <c r="B24" s="171">
        <v>46.1</v>
      </c>
      <c r="C24" s="171"/>
      <c r="D24" s="171"/>
      <c r="E24" s="170">
        <f t="shared" si="0"/>
        <v>0.46100000000000002</v>
      </c>
      <c r="F24" s="170">
        <f t="shared" si="1"/>
        <v>461</v>
      </c>
      <c r="G24" s="172"/>
      <c r="H24" s="170">
        <v>20</v>
      </c>
      <c r="I24" s="173">
        <v>45.1</v>
      </c>
      <c r="J24" s="170">
        <f t="shared" si="2"/>
        <v>0.45100000000000001</v>
      </c>
      <c r="K24" s="170">
        <f t="shared" si="3"/>
        <v>451</v>
      </c>
      <c r="L24" s="172"/>
      <c r="M24" s="170">
        <v>20</v>
      </c>
      <c r="N24" s="173">
        <v>44.2</v>
      </c>
      <c r="O24" s="170">
        <f t="shared" si="4"/>
        <v>0.442</v>
      </c>
      <c r="P24" s="170">
        <f t="shared" si="5"/>
        <v>442</v>
      </c>
      <c r="Q24" s="172"/>
      <c r="R24" s="170">
        <v>20</v>
      </c>
      <c r="S24" s="173">
        <v>44.7</v>
      </c>
      <c r="T24" s="170">
        <f t="shared" si="6"/>
        <v>0.44700000000000001</v>
      </c>
      <c r="U24" s="170">
        <f t="shared" si="7"/>
        <v>447</v>
      </c>
      <c r="V24" s="172"/>
      <c r="W24" s="170">
        <v>20</v>
      </c>
      <c r="X24" s="173">
        <v>44.1</v>
      </c>
      <c r="Y24" s="170">
        <f t="shared" si="8"/>
        <v>0.441</v>
      </c>
      <c r="Z24" s="170">
        <f t="shared" si="9"/>
        <v>441</v>
      </c>
      <c r="AA24" s="172"/>
      <c r="AB24" s="170">
        <v>20</v>
      </c>
      <c r="AC24" s="173">
        <v>46.8</v>
      </c>
      <c r="AD24" s="170">
        <f t="shared" si="10"/>
        <v>0.46799999999999997</v>
      </c>
      <c r="AE24" s="170">
        <f t="shared" si="11"/>
        <v>468</v>
      </c>
      <c r="AF24" s="172"/>
    </row>
    <row r="25" spans="1:32">
      <c r="A25" s="165">
        <v>21</v>
      </c>
      <c r="B25" s="166">
        <v>45.9</v>
      </c>
      <c r="C25" s="166"/>
      <c r="D25" s="166"/>
      <c r="E25" s="165">
        <f t="shared" si="0"/>
        <v>0.45899999999999996</v>
      </c>
      <c r="F25" s="165">
        <f t="shared" si="1"/>
        <v>458.99999999999994</v>
      </c>
      <c r="G25" s="159"/>
      <c r="H25" s="165">
        <v>21</v>
      </c>
      <c r="I25" s="167">
        <v>47.3</v>
      </c>
      <c r="J25" s="165">
        <f t="shared" si="2"/>
        <v>0.47299999999999998</v>
      </c>
      <c r="K25" s="165">
        <f t="shared" si="3"/>
        <v>473</v>
      </c>
      <c r="L25" s="159"/>
      <c r="M25" s="165">
        <v>21</v>
      </c>
      <c r="N25" s="167">
        <v>48.3</v>
      </c>
      <c r="O25" s="165">
        <f t="shared" si="4"/>
        <v>0.48299999999999998</v>
      </c>
      <c r="P25" s="165">
        <f t="shared" si="5"/>
        <v>483</v>
      </c>
      <c r="Q25" s="159"/>
      <c r="R25" s="165">
        <v>21</v>
      </c>
      <c r="S25" s="167">
        <v>49.5</v>
      </c>
      <c r="T25" s="165">
        <f t="shared" si="6"/>
        <v>0.495</v>
      </c>
      <c r="U25" s="165">
        <f t="shared" si="7"/>
        <v>495</v>
      </c>
      <c r="V25" s="159"/>
      <c r="W25" s="165">
        <v>21</v>
      </c>
      <c r="X25" s="167">
        <v>51.7</v>
      </c>
      <c r="Y25" s="165">
        <f t="shared" si="8"/>
        <v>0.51700000000000002</v>
      </c>
      <c r="Z25" s="165">
        <f t="shared" si="9"/>
        <v>517</v>
      </c>
      <c r="AA25" s="159"/>
      <c r="AB25" s="168">
        <v>21</v>
      </c>
      <c r="AC25" s="169">
        <v>52.5</v>
      </c>
      <c r="AD25" s="168">
        <f t="shared" si="10"/>
        <v>0.52500000000000002</v>
      </c>
      <c r="AE25" s="168">
        <f t="shared" si="11"/>
        <v>525</v>
      </c>
      <c r="AF25" s="159"/>
    </row>
    <row r="26" spans="1:32">
      <c r="A26" s="170">
        <v>22</v>
      </c>
      <c r="B26" s="171">
        <v>39.5</v>
      </c>
      <c r="C26" s="171"/>
      <c r="D26" s="171"/>
      <c r="E26" s="170">
        <f t="shared" si="0"/>
        <v>0.39500000000000002</v>
      </c>
      <c r="F26" s="170">
        <f t="shared" si="1"/>
        <v>395</v>
      </c>
      <c r="G26" s="172"/>
      <c r="H26" s="170">
        <v>22</v>
      </c>
      <c r="I26" s="173">
        <v>40.9</v>
      </c>
      <c r="J26" s="170">
        <f t="shared" si="2"/>
        <v>0.40899999999999997</v>
      </c>
      <c r="K26" s="170">
        <f t="shared" si="3"/>
        <v>409</v>
      </c>
      <c r="L26" s="172"/>
      <c r="M26" s="170">
        <v>22</v>
      </c>
      <c r="N26" s="173">
        <v>39.6</v>
      </c>
      <c r="O26" s="170">
        <f t="shared" si="4"/>
        <v>0.39600000000000002</v>
      </c>
      <c r="P26" s="170">
        <f t="shared" si="5"/>
        <v>396</v>
      </c>
      <c r="Q26" s="172"/>
      <c r="R26" s="170">
        <v>22</v>
      </c>
      <c r="S26" s="173">
        <v>40.9</v>
      </c>
      <c r="T26" s="170">
        <f t="shared" si="6"/>
        <v>0.40899999999999997</v>
      </c>
      <c r="U26" s="170">
        <f t="shared" si="7"/>
        <v>409</v>
      </c>
      <c r="V26" s="172"/>
      <c r="W26" s="170">
        <v>22</v>
      </c>
      <c r="X26" s="173">
        <v>41.5</v>
      </c>
      <c r="Y26" s="170">
        <f t="shared" si="8"/>
        <v>0.41499999999999998</v>
      </c>
      <c r="Z26" s="170">
        <f t="shared" si="9"/>
        <v>415</v>
      </c>
      <c r="AA26" s="172"/>
      <c r="AB26" s="170">
        <v>22</v>
      </c>
      <c r="AC26" s="173">
        <v>43.2</v>
      </c>
      <c r="AD26" s="170">
        <f t="shared" si="10"/>
        <v>0.43200000000000005</v>
      </c>
      <c r="AE26" s="170">
        <f t="shared" si="11"/>
        <v>432.00000000000006</v>
      </c>
      <c r="AF26" s="172"/>
    </row>
    <row r="27" spans="1:32">
      <c r="A27" s="165">
        <v>23</v>
      </c>
      <c r="B27" s="166">
        <v>46.3</v>
      </c>
      <c r="C27" s="166"/>
      <c r="D27" s="166"/>
      <c r="E27" s="165">
        <f t="shared" si="0"/>
        <v>0.46299999999999997</v>
      </c>
      <c r="F27" s="165">
        <f t="shared" si="1"/>
        <v>462.99999999999994</v>
      </c>
      <c r="G27" s="159"/>
      <c r="H27" s="165">
        <v>23</v>
      </c>
      <c r="I27" s="167">
        <v>49.9</v>
      </c>
      <c r="J27" s="165">
        <f t="shared" si="2"/>
        <v>0.499</v>
      </c>
      <c r="K27" s="165">
        <f t="shared" si="3"/>
        <v>499</v>
      </c>
      <c r="L27" s="159"/>
      <c r="M27" s="165">
        <v>23</v>
      </c>
      <c r="N27" s="167">
        <v>52.8</v>
      </c>
      <c r="O27" s="165">
        <f t="shared" si="4"/>
        <v>0.52800000000000002</v>
      </c>
      <c r="P27" s="165">
        <f t="shared" si="5"/>
        <v>528</v>
      </c>
      <c r="Q27" s="159"/>
      <c r="R27" s="165">
        <v>23</v>
      </c>
      <c r="S27" s="167">
        <v>55.4</v>
      </c>
      <c r="T27" s="165">
        <f t="shared" si="6"/>
        <v>0.55399999999999994</v>
      </c>
      <c r="U27" s="165">
        <f t="shared" si="7"/>
        <v>553.99999999999989</v>
      </c>
      <c r="V27" s="159"/>
      <c r="W27" s="165">
        <v>23</v>
      </c>
      <c r="X27" s="167">
        <v>58.4</v>
      </c>
      <c r="Y27" s="165">
        <f t="shared" si="8"/>
        <v>0.58399999999999996</v>
      </c>
      <c r="Z27" s="165">
        <f t="shared" si="9"/>
        <v>584</v>
      </c>
      <c r="AA27" s="159"/>
      <c r="AB27" s="168">
        <v>23</v>
      </c>
      <c r="AC27" s="169">
        <v>58.9</v>
      </c>
      <c r="AD27" s="168">
        <f t="shared" si="10"/>
        <v>0.58899999999999997</v>
      </c>
      <c r="AE27" s="168">
        <f t="shared" si="11"/>
        <v>589</v>
      </c>
      <c r="AF27" s="159"/>
    </row>
    <row r="28" spans="1:32">
      <c r="A28" s="170">
        <v>24</v>
      </c>
      <c r="B28" s="171">
        <v>44.6</v>
      </c>
      <c r="C28" s="171"/>
      <c r="D28" s="171"/>
      <c r="E28" s="170">
        <f t="shared" si="0"/>
        <v>0.44600000000000001</v>
      </c>
      <c r="F28" s="170">
        <f t="shared" si="1"/>
        <v>446</v>
      </c>
      <c r="G28" s="172"/>
      <c r="H28" s="170">
        <v>24</v>
      </c>
      <c r="I28" s="173">
        <v>45.9</v>
      </c>
      <c r="J28" s="170">
        <f t="shared" si="2"/>
        <v>0.45899999999999996</v>
      </c>
      <c r="K28" s="170">
        <f t="shared" si="3"/>
        <v>458.99999999999994</v>
      </c>
      <c r="L28" s="172"/>
      <c r="M28" s="170">
        <v>24</v>
      </c>
      <c r="N28" s="173">
        <v>44.2</v>
      </c>
      <c r="O28" s="170">
        <f t="shared" si="4"/>
        <v>0.442</v>
      </c>
      <c r="P28" s="170">
        <f t="shared" si="5"/>
        <v>442</v>
      </c>
      <c r="Q28" s="172"/>
      <c r="R28" s="170">
        <v>24</v>
      </c>
      <c r="S28" s="173">
        <v>45.9</v>
      </c>
      <c r="T28" s="170">
        <f t="shared" si="6"/>
        <v>0.45899999999999996</v>
      </c>
      <c r="U28" s="170">
        <f t="shared" si="7"/>
        <v>458.99999999999994</v>
      </c>
      <c r="V28" s="172"/>
      <c r="W28" s="170">
        <v>24</v>
      </c>
      <c r="X28" s="173">
        <v>45.9</v>
      </c>
      <c r="Y28" s="170">
        <f t="shared" si="8"/>
        <v>0.45899999999999996</v>
      </c>
      <c r="Z28" s="170">
        <f t="shared" si="9"/>
        <v>458.99999999999994</v>
      </c>
      <c r="AA28" s="172"/>
      <c r="AB28" s="170">
        <v>24</v>
      </c>
      <c r="AC28" s="173">
        <v>47.4</v>
      </c>
      <c r="AD28" s="170">
        <f t="shared" si="10"/>
        <v>0.47399999999999998</v>
      </c>
      <c r="AE28" s="170">
        <f t="shared" si="11"/>
        <v>474</v>
      </c>
      <c r="AF28" s="172"/>
    </row>
    <row r="29" spans="1:32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74"/>
      <c r="AC29" s="175"/>
      <c r="AD29" s="174"/>
      <c r="AE29" s="174"/>
      <c r="AF29" s="159"/>
    </row>
    <row r="30" spans="1:32">
      <c r="A30" s="161" t="s">
        <v>59</v>
      </c>
      <c r="B30" s="161" t="s">
        <v>294</v>
      </c>
      <c r="C30" s="161"/>
      <c r="D30" s="161"/>
      <c r="E30" s="161" t="s">
        <v>295</v>
      </c>
      <c r="F30" s="161" t="s">
        <v>296</v>
      </c>
      <c r="G30" s="159"/>
      <c r="H30" s="161" t="s">
        <v>59</v>
      </c>
      <c r="I30" s="161" t="s">
        <v>294</v>
      </c>
      <c r="J30" s="161" t="s">
        <v>295</v>
      </c>
      <c r="K30" s="161" t="s">
        <v>296</v>
      </c>
      <c r="L30" s="159"/>
      <c r="M30" s="161" t="s">
        <v>59</v>
      </c>
      <c r="N30" s="161" t="s">
        <v>294</v>
      </c>
      <c r="O30" s="161" t="s">
        <v>295</v>
      </c>
      <c r="P30" s="161" t="s">
        <v>296</v>
      </c>
      <c r="Q30" s="159"/>
      <c r="R30" s="161" t="s">
        <v>59</v>
      </c>
      <c r="S30" s="161" t="s">
        <v>294</v>
      </c>
      <c r="T30" s="161" t="s">
        <v>295</v>
      </c>
      <c r="U30" s="161" t="s">
        <v>296</v>
      </c>
      <c r="V30" s="159"/>
      <c r="W30" s="161" t="s">
        <v>59</v>
      </c>
      <c r="X30" s="161" t="s">
        <v>294</v>
      </c>
      <c r="Y30" s="161" t="s">
        <v>295</v>
      </c>
      <c r="Z30" s="161" t="s">
        <v>296</v>
      </c>
      <c r="AA30" s="159"/>
      <c r="AB30" s="161" t="s">
        <v>59</v>
      </c>
      <c r="AC30" s="161" t="s">
        <v>294</v>
      </c>
      <c r="AD30" s="161" t="s">
        <v>295</v>
      </c>
      <c r="AE30" s="161" t="s">
        <v>296</v>
      </c>
      <c r="AF30" s="159"/>
    </row>
    <row r="31" spans="1:32">
      <c r="A31" s="167">
        <v>25</v>
      </c>
      <c r="B31" s="167">
        <v>30.18</v>
      </c>
      <c r="C31" s="167"/>
      <c r="D31" s="167"/>
      <c r="E31" s="176">
        <f t="shared" ref="E31:E54" si="12">B31/100</f>
        <v>0.30180000000000001</v>
      </c>
      <c r="F31" s="177">
        <f t="shared" ref="F31:F54" si="13">E31*1000</f>
        <v>301.8</v>
      </c>
      <c r="G31" s="159"/>
      <c r="H31" s="167">
        <v>25</v>
      </c>
      <c r="I31" s="167">
        <v>31.5</v>
      </c>
      <c r="J31" s="165">
        <f t="shared" ref="J31:J54" si="14">I31/100</f>
        <v>0.315</v>
      </c>
      <c r="K31" s="165">
        <f t="shared" ref="K31:K54" si="15">J31*1000</f>
        <v>315</v>
      </c>
      <c r="L31" s="159"/>
      <c r="M31" s="167">
        <v>25</v>
      </c>
      <c r="N31" s="15">
        <v>32.6</v>
      </c>
      <c r="O31" s="165">
        <f t="shared" ref="O31:O54" si="16">N31/100</f>
        <v>0.32600000000000001</v>
      </c>
      <c r="P31" s="165">
        <f t="shared" ref="P31:P54" si="17">O31*1000</f>
        <v>326</v>
      </c>
      <c r="Q31" s="159"/>
      <c r="R31" s="167">
        <v>25</v>
      </c>
      <c r="S31" s="15">
        <v>33.299999999999997</v>
      </c>
      <c r="T31" s="165">
        <f t="shared" ref="T31:T54" si="18">S31/100</f>
        <v>0.33299999999999996</v>
      </c>
      <c r="U31" s="165">
        <f t="shared" ref="U31:U54" si="19">T31*1000</f>
        <v>332.99999999999994</v>
      </c>
      <c r="V31" s="159"/>
      <c r="W31" s="167">
        <v>25</v>
      </c>
      <c r="X31" s="15">
        <v>34.299999999999997</v>
      </c>
      <c r="Y31" s="165">
        <f t="shared" ref="Y31:Y54" si="20">X31/100</f>
        <v>0.34299999999999997</v>
      </c>
      <c r="Z31" s="165">
        <f t="shared" ref="Z31:Z54" si="21">Y31*1000</f>
        <v>343</v>
      </c>
      <c r="AA31" s="159"/>
      <c r="AB31" s="167">
        <v>25</v>
      </c>
      <c r="AC31" s="15">
        <v>32.9</v>
      </c>
      <c r="AD31" s="165">
        <f t="shared" ref="AD31:AD54" si="22">AC31/100</f>
        <v>0.32899999999999996</v>
      </c>
      <c r="AE31" s="165">
        <f t="shared" ref="AE31:AE54" si="23">AD31*1000</f>
        <v>328.99999999999994</v>
      </c>
      <c r="AF31" s="159"/>
    </row>
    <row r="32" spans="1:32">
      <c r="A32" s="173">
        <v>26</v>
      </c>
      <c r="B32" s="173">
        <v>30.9</v>
      </c>
      <c r="C32" s="173"/>
      <c r="D32" s="173"/>
      <c r="E32" s="178">
        <f t="shared" si="12"/>
        <v>0.309</v>
      </c>
      <c r="F32" s="179">
        <f t="shared" si="13"/>
        <v>309</v>
      </c>
      <c r="G32" s="172"/>
      <c r="H32" s="173">
        <v>26</v>
      </c>
      <c r="I32" s="173">
        <v>32.799999999999997</v>
      </c>
      <c r="J32" s="170">
        <f t="shared" si="14"/>
        <v>0.32799999999999996</v>
      </c>
      <c r="K32" s="170">
        <f t="shared" si="15"/>
        <v>327.99999999999994</v>
      </c>
      <c r="L32" s="172"/>
      <c r="M32" s="173">
        <v>26</v>
      </c>
      <c r="N32" s="22">
        <v>33.4</v>
      </c>
      <c r="O32" s="170">
        <f t="shared" si="16"/>
        <v>0.33399999999999996</v>
      </c>
      <c r="P32" s="170">
        <f t="shared" si="17"/>
        <v>333.99999999999994</v>
      </c>
      <c r="Q32" s="172"/>
      <c r="R32" s="173">
        <v>26</v>
      </c>
      <c r="S32" s="22">
        <v>33.6</v>
      </c>
      <c r="T32" s="170">
        <f t="shared" si="18"/>
        <v>0.33600000000000002</v>
      </c>
      <c r="U32" s="170">
        <f t="shared" si="19"/>
        <v>336</v>
      </c>
      <c r="V32" s="172"/>
      <c r="W32" s="173">
        <v>26</v>
      </c>
      <c r="X32" s="22">
        <v>34</v>
      </c>
      <c r="Y32" s="170">
        <f t="shared" si="20"/>
        <v>0.34</v>
      </c>
      <c r="Z32" s="170">
        <f t="shared" si="21"/>
        <v>340</v>
      </c>
      <c r="AA32" s="172"/>
      <c r="AB32" s="173">
        <v>26</v>
      </c>
      <c r="AC32" s="22">
        <v>33.799999999999997</v>
      </c>
      <c r="AD32" s="170">
        <f t="shared" si="22"/>
        <v>0.33799999999999997</v>
      </c>
      <c r="AE32" s="170">
        <f t="shared" si="23"/>
        <v>337.99999999999994</v>
      </c>
      <c r="AF32" s="172"/>
    </row>
    <row r="33" spans="1:32">
      <c r="A33" s="167">
        <v>27</v>
      </c>
      <c r="B33" s="167">
        <v>28.84</v>
      </c>
      <c r="C33" s="167"/>
      <c r="D33" s="167"/>
      <c r="E33" s="176">
        <f t="shared" si="12"/>
        <v>0.28839999999999999</v>
      </c>
      <c r="F33" s="177">
        <f t="shared" si="13"/>
        <v>288.39999999999998</v>
      </c>
      <c r="G33" s="159"/>
      <c r="H33" s="167">
        <v>27</v>
      </c>
      <c r="I33" s="167">
        <v>29.7</v>
      </c>
      <c r="J33" s="165">
        <f t="shared" si="14"/>
        <v>0.29699999999999999</v>
      </c>
      <c r="K33" s="165">
        <f t="shared" si="15"/>
        <v>297</v>
      </c>
      <c r="L33" s="159"/>
      <c r="M33" s="167">
        <v>27</v>
      </c>
      <c r="N33" s="15">
        <v>30.2</v>
      </c>
      <c r="O33" s="165">
        <f t="shared" si="16"/>
        <v>0.30199999999999999</v>
      </c>
      <c r="P33" s="165">
        <f t="shared" si="17"/>
        <v>302</v>
      </c>
      <c r="Q33" s="159"/>
      <c r="R33" s="167">
        <v>27</v>
      </c>
      <c r="S33" s="15">
        <v>30.8</v>
      </c>
      <c r="T33" s="165">
        <f t="shared" si="18"/>
        <v>0.308</v>
      </c>
      <c r="U33" s="165">
        <f t="shared" si="19"/>
        <v>308</v>
      </c>
      <c r="V33" s="159"/>
      <c r="W33" s="167">
        <v>27</v>
      </c>
      <c r="X33" s="15">
        <v>30.9</v>
      </c>
      <c r="Y33" s="165">
        <f t="shared" si="20"/>
        <v>0.309</v>
      </c>
      <c r="Z33" s="165">
        <f t="shared" si="21"/>
        <v>309</v>
      </c>
      <c r="AA33" s="159"/>
      <c r="AB33" s="167">
        <v>27</v>
      </c>
      <c r="AC33" s="15">
        <v>30.9</v>
      </c>
      <c r="AD33" s="165">
        <f t="shared" si="22"/>
        <v>0.309</v>
      </c>
      <c r="AE33" s="165">
        <f t="shared" si="23"/>
        <v>309</v>
      </c>
      <c r="AF33" s="159"/>
    </row>
    <row r="34" spans="1:32">
      <c r="A34" s="173">
        <v>28</v>
      </c>
      <c r="B34" s="173">
        <v>26.09</v>
      </c>
      <c r="C34" s="173"/>
      <c r="D34" s="173"/>
      <c r="E34" s="178">
        <f t="shared" si="12"/>
        <v>0.26090000000000002</v>
      </c>
      <c r="F34" s="179">
        <f t="shared" si="13"/>
        <v>260.90000000000003</v>
      </c>
      <c r="G34" s="172"/>
      <c r="H34" s="173">
        <v>28</v>
      </c>
      <c r="I34" s="173">
        <v>27.1</v>
      </c>
      <c r="J34" s="170">
        <f t="shared" si="14"/>
        <v>0.27100000000000002</v>
      </c>
      <c r="K34" s="170">
        <f t="shared" si="15"/>
        <v>271</v>
      </c>
      <c r="L34" s="172"/>
      <c r="M34" s="173">
        <v>28</v>
      </c>
      <c r="N34" s="22">
        <v>27.7</v>
      </c>
      <c r="O34" s="170">
        <f t="shared" si="16"/>
        <v>0.27699999999999997</v>
      </c>
      <c r="P34" s="170">
        <f t="shared" si="17"/>
        <v>276.99999999999994</v>
      </c>
      <c r="Q34" s="172"/>
      <c r="R34" s="173">
        <v>28</v>
      </c>
      <c r="S34" s="22">
        <v>28.6</v>
      </c>
      <c r="T34" s="170">
        <f t="shared" si="18"/>
        <v>0.28600000000000003</v>
      </c>
      <c r="U34" s="170">
        <f t="shared" si="19"/>
        <v>286.00000000000006</v>
      </c>
      <c r="V34" s="172"/>
      <c r="W34" s="173">
        <v>28</v>
      </c>
      <c r="X34" s="22">
        <v>29.5</v>
      </c>
      <c r="Y34" s="170">
        <f t="shared" si="20"/>
        <v>0.29499999999999998</v>
      </c>
      <c r="Z34" s="170">
        <f t="shared" si="21"/>
        <v>295</v>
      </c>
      <c r="AA34" s="172"/>
      <c r="AB34" s="173">
        <v>28</v>
      </c>
      <c r="AC34" s="22">
        <v>29.4</v>
      </c>
      <c r="AD34" s="170">
        <f t="shared" si="22"/>
        <v>0.29399999999999998</v>
      </c>
      <c r="AE34" s="170">
        <f t="shared" si="23"/>
        <v>294</v>
      </c>
      <c r="AF34" s="172"/>
    </row>
    <row r="35" spans="1:32">
      <c r="A35" s="173">
        <v>29</v>
      </c>
      <c r="B35" s="173">
        <v>27.8</v>
      </c>
      <c r="C35" s="173"/>
      <c r="D35" s="173"/>
      <c r="E35" s="178">
        <f t="shared" si="12"/>
        <v>0.27800000000000002</v>
      </c>
      <c r="F35" s="179">
        <f t="shared" si="13"/>
        <v>278</v>
      </c>
      <c r="G35" s="172"/>
      <c r="H35" s="173">
        <v>29</v>
      </c>
      <c r="I35" s="173">
        <v>28.4</v>
      </c>
      <c r="J35" s="170">
        <f t="shared" si="14"/>
        <v>0.28399999999999997</v>
      </c>
      <c r="K35" s="170">
        <f t="shared" si="15"/>
        <v>284</v>
      </c>
      <c r="L35" s="172"/>
      <c r="M35" s="173">
        <v>29</v>
      </c>
      <c r="N35" s="22">
        <v>29.3</v>
      </c>
      <c r="O35" s="170">
        <f t="shared" si="16"/>
        <v>0.29299999999999998</v>
      </c>
      <c r="P35" s="170">
        <f t="shared" si="17"/>
        <v>293</v>
      </c>
      <c r="Q35" s="172"/>
      <c r="R35" s="173">
        <v>29</v>
      </c>
      <c r="S35" s="22">
        <v>29.1</v>
      </c>
      <c r="T35" s="170">
        <f t="shared" si="18"/>
        <v>0.29100000000000004</v>
      </c>
      <c r="U35" s="170">
        <f t="shared" si="19"/>
        <v>291.00000000000006</v>
      </c>
      <c r="V35" s="172"/>
      <c r="W35" s="173">
        <v>29</v>
      </c>
      <c r="X35" s="22">
        <v>29.5</v>
      </c>
      <c r="Y35" s="170">
        <f t="shared" si="20"/>
        <v>0.29499999999999998</v>
      </c>
      <c r="Z35" s="170">
        <f t="shared" si="21"/>
        <v>295</v>
      </c>
      <c r="AA35" s="172"/>
      <c r="AB35" s="173">
        <v>29</v>
      </c>
      <c r="AC35" s="22">
        <v>29.1</v>
      </c>
      <c r="AD35" s="170">
        <f t="shared" si="22"/>
        <v>0.29100000000000004</v>
      </c>
      <c r="AE35" s="170">
        <f t="shared" si="23"/>
        <v>291.00000000000006</v>
      </c>
      <c r="AF35" s="172"/>
    </row>
    <row r="36" spans="1:32">
      <c r="A36" s="169">
        <v>30</v>
      </c>
      <c r="B36" s="169">
        <v>26.28</v>
      </c>
      <c r="C36" s="169"/>
      <c r="D36" s="169"/>
      <c r="E36" s="176">
        <f t="shared" si="12"/>
        <v>0.26280000000000003</v>
      </c>
      <c r="F36" s="177">
        <f t="shared" si="13"/>
        <v>262.8</v>
      </c>
      <c r="G36" s="159"/>
      <c r="H36" s="169">
        <v>30</v>
      </c>
      <c r="I36" s="169">
        <v>27.3</v>
      </c>
      <c r="J36" s="165">
        <f t="shared" si="14"/>
        <v>0.27300000000000002</v>
      </c>
      <c r="K36" s="165">
        <f t="shared" si="15"/>
        <v>273</v>
      </c>
      <c r="L36" s="159"/>
      <c r="M36" s="169">
        <v>30</v>
      </c>
      <c r="N36" s="52">
        <v>28.5</v>
      </c>
      <c r="O36" s="165">
        <f t="shared" si="16"/>
        <v>0.28499999999999998</v>
      </c>
      <c r="P36" s="165">
        <f t="shared" si="17"/>
        <v>285</v>
      </c>
      <c r="Q36" s="159"/>
      <c r="R36" s="169">
        <v>30</v>
      </c>
      <c r="S36" s="52">
        <v>29.2</v>
      </c>
      <c r="T36" s="165">
        <f t="shared" si="18"/>
        <v>0.29199999999999998</v>
      </c>
      <c r="U36" s="165">
        <f t="shared" si="19"/>
        <v>292</v>
      </c>
      <c r="V36" s="159"/>
      <c r="W36" s="169">
        <v>30</v>
      </c>
      <c r="X36" s="52">
        <v>30.3</v>
      </c>
      <c r="Y36" s="165">
        <f t="shared" si="20"/>
        <v>0.30299999999999999</v>
      </c>
      <c r="Z36" s="165">
        <f t="shared" si="21"/>
        <v>303</v>
      </c>
      <c r="AA36" s="159"/>
      <c r="AB36" s="169">
        <v>30</v>
      </c>
      <c r="AC36" s="52">
        <v>29.3</v>
      </c>
      <c r="AD36" s="165">
        <f t="shared" si="22"/>
        <v>0.29299999999999998</v>
      </c>
      <c r="AE36" s="165">
        <f t="shared" si="23"/>
        <v>293</v>
      </c>
      <c r="AF36" s="159"/>
    </row>
    <row r="37" spans="1:32">
      <c r="A37" s="167">
        <v>31</v>
      </c>
      <c r="B37" s="167">
        <v>19.95</v>
      </c>
      <c r="C37" s="167"/>
      <c r="D37" s="167"/>
      <c r="E37" s="176">
        <f t="shared" si="12"/>
        <v>0.19949999999999998</v>
      </c>
      <c r="F37" s="177">
        <f t="shared" si="13"/>
        <v>199.49999999999997</v>
      </c>
      <c r="G37" s="159"/>
      <c r="H37" s="167">
        <v>31</v>
      </c>
      <c r="I37" s="167">
        <v>20.37</v>
      </c>
      <c r="J37" s="165">
        <f t="shared" si="14"/>
        <v>0.20370000000000002</v>
      </c>
      <c r="K37" s="165">
        <f t="shared" si="15"/>
        <v>203.70000000000002</v>
      </c>
      <c r="L37" s="159"/>
      <c r="M37" s="167">
        <v>31</v>
      </c>
      <c r="N37" s="15">
        <v>20.7</v>
      </c>
      <c r="O37" s="165">
        <f t="shared" si="16"/>
        <v>0.20699999999999999</v>
      </c>
      <c r="P37" s="165">
        <f t="shared" si="17"/>
        <v>207</v>
      </c>
      <c r="Q37" s="159"/>
      <c r="R37" s="167">
        <v>31</v>
      </c>
      <c r="S37" s="15">
        <v>21.1</v>
      </c>
      <c r="T37" s="165">
        <f t="shared" si="18"/>
        <v>0.21100000000000002</v>
      </c>
      <c r="U37" s="165">
        <f t="shared" si="19"/>
        <v>211.00000000000003</v>
      </c>
      <c r="V37" s="159"/>
      <c r="W37" s="167">
        <v>31</v>
      </c>
      <c r="X37" s="15">
        <v>20.8</v>
      </c>
      <c r="Y37" s="165">
        <f t="shared" si="20"/>
        <v>0.20800000000000002</v>
      </c>
      <c r="Z37" s="165">
        <f t="shared" si="21"/>
        <v>208.00000000000003</v>
      </c>
      <c r="AA37" s="159"/>
      <c r="AB37" s="167">
        <v>31</v>
      </c>
      <c r="AC37" s="15">
        <v>21.1</v>
      </c>
      <c r="AD37" s="165">
        <f t="shared" si="22"/>
        <v>0.21100000000000002</v>
      </c>
      <c r="AE37" s="165">
        <f t="shared" si="23"/>
        <v>211.00000000000003</v>
      </c>
      <c r="AF37" s="159"/>
    </row>
    <row r="38" spans="1:32">
      <c r="A38" s="173">
        <v>32</v>
      </c>
      <c r="B38" s="173">
        <v>20.53</v>
      </c>
      <c r="C38" s="173"/>
      <c r="D38" s="173"/>
      <c r="E38" s="178">
        <f t="shared" si="12"/>
        <v>0.20530000000000001</v>
      </c>
      <c r="F38" s="179">
        <f t="shared" si="13"/>
        <v>205.3</v>
      </c>
      <c r="G38" s="172"/>
      <c r="H38" s="173">
        <v>32</v>
      </c>
      <c r="I38" s="173">
        <v>20.82</v>
      </c>
      <c r="J38" s="170">
        <f t="shared" si="14"/>
        <v>0.2082</v>
      </c>
      <c r="K38" s="170">
        <f t="shared" si="15"/>
        <v>208.2</v>
      </c>
      <c r="L38" s="172"/>
      <c r="M38" s="173">
        <v>32</v>
      </c>
      <c r="N38" s="22">
        <v>20.6</v>
      </c>
      <c r="O38" s="170">
        <f t="shared" si="16"/>
        <v>0.20600000000000002</v>
      </c>
      <c r="P38" s="170">
        <f t="shared" si="17"/>
        <v>206.00000000000003</v>
      </c>
      <c r="Q38" s="172"/>
      <c r="R38" s="173">
        <v>32</v>
      </c>
      <c r="S38" s="22">
        <v>20.7</v>
      </c>
      <c r="T38" s="170">
        <f t="shared" si="18"/>
        <v>0.20699999999999999</v>
      </c>
      <c r="U38" s="170">
        <f t="shared" si="19"/>
        <v>207</v>
      </c>
      <c r="V38" s="172"/>
      <c r="W38" s="173">
        <v>32</v>
      </c>
      <c r="X38" s="22">
        <v>20.8</v>
      </c>
      <c r="Y38" s="170">
        <f t="shared" si="20"/>
        <v>0.20800000000000002</v>
      </c>
      <c r="Z38" s="170">
        <f t="shared" si="21"/>
        <v>208.00000000000003</v>
      </c>
      <c r="AA38" s="172"/>
      <c r="AB38" s="173">
        <v>32</v>
      </c>
      <c r="AC38" s="22">
        <v>20.7</v>
      </c>
      <c r="AD38" s="170">
        <f t="shared" si="22"/>
        <v>0.20699999999999999</v>
      </c>
      <c r="AE38" s="170">
        <f t="shared" si="23"/>
        <v>207</v>
      </c>
      <c r="AF38" s="172"/>
    </row>
    <row r="39" spans="1:32">
      <c r="A39" s="167">
        <v>33</v>
      </c>
      <c r="B39" s="167">
        <v>21.28</v>
      </c>
      <c r="C39" s="167"/>
      <c r="D39" s="167"/>
      <c r="E39" s="176">
        <f t="shared" si="12"/>
        <v>0.21280000000000002</v>
      </c>
      <c r="F39" s="177">
        <f t="shared" si="13"/>
        <v>212.8</v>
      </c>
      <c r="G39" s="159"/>
      <c r="H39" s="167">
        <v>33</v>
      </c>
      <c r="I39" s="167">
        <v>21.6</v>
      </c>
      <c r="J39" s="165">
        <f t="shared" si="14"/>
        <v>0.21600000000000003</v>
      </c>
      <c r="K39" s="165">
        <f t="shared" si="15"/>
        <v>216.00000000000003</v>
      </c>
      <c r="L39" s="159"/>
      <c r="M39" s="167">
        <v>33</v>
      </c>
      <c r="N39" s="15">
        <v>21.05</v>
      </c>
      <c r="O39" s="165">
        <f t="shared" si="16"/>
        <v>0.21050000000000002</v>
      </c>
      <c r="P39" s="165">
        <f t="shared" si="17"/>
        <v>210.50000000000003</v>
      </c>
      <c r="Q39" s="159"/>
      <c r="R39" s="167">
        <v>33</v>
      </c>
      <c r="S39" s="15">
        <v>21.8</v>
      </c>
      <c r="T39" s="165">
        <f t="shared" si="18"/>
        <v>0.218</v>
      </c>
      <c r="U39" s="165">
        <f t="shared" si="19"/>
        <v>218</v>
      </c>
      <c r="V39" s="159"/>
      <c r="W39" s="167">
        <v>33</v>
      </c>
      <c r="X39" s="15">
        <v>21.6</v>
      </c>
      <c r="Y39" s="165">
        <f t="shared" si="20"/>
        <v>0.21600000000000003</v>
      </c>
      <c r="Z39" s="165">
        <f t="shared" si="21"/>
        <v>216.00000000000003</v>
      </c>
      <c r="AA39" s="159"/>
      <c r="AB39" s="167">
        <v>33</v>
      </c>
      <c r="AC39" s="15">
        <v>21.7</v>
      </c>
      <c r="AD39" s="165">
        <f t="shared" si="22"/>
        <v>0.217</v>
      </c>
      <c r="AE39" s="165">
        <f t="shared" si="23"/>
        <v>217</v>
      </c>
      <c r="AF39" s="159"/>
    </row>
    <row r="40" spans="1:32">
      <c r="A40" s="173">
        <v>34</v>
      </c>
      <c r="B40" s="173">
        <v>21.62</v>
      </c>
      <c r="C40" s="173"/>
      <c r="D40" s="173"/>
      <c r="E40" s="178">
        <f t="shared" si="12"/>
        <v>0.2162</v>
      </c>
      <c r="F40" s="179">
        <f t="shared" si="13"/>
        <v>216.20000000000002</v>
      </c>
      <c r="G40" s="172"/>
      <c r="H40" s="173">
        <v>34</v>
      </c>
      <c r="I40" s="173">
        <v>22.47</v>
      </c>
      <c r="J40" s="170">
        <f t="shared" si="14"/>
        <v>0.22469999999999998</v>
      </c>
      <c r="K40" s="170">
        <f t="shared" si="15"/>
        <v>224.7</v>
      </c>
      <c r="L40" s="172"/>
      <c r="M40" s="173">
        <v>34</v>
      </c>
      <c r="N40" s="22">
        <v>22.7</v>
      </c>
      <c r="O40" s="170">
        <f t="shared" si="16"/>
        <v>0.22699999999999998</v>
      </c>
      <c r="P40" s="170">
        <f t="shared" si="17"/>
        <v>226.99999999999997</v>
      </c>
      <c r="Q40" s="172"/>
      <c r="R40" s="173">
        <v>34</v>
      </c>
      <c r="S40" s="22">
        <v>22.4</v>
      </c>
      <c r="T40" s="170">
        <f t="shared" si="18"/>
        <v>0.22399999999999998</v>
      </c>
      <c r="U40" s="170">
        <f t="shared" si="19"/>
        <v>223.99999999999997</v>
      </c>
      <c r="V40" s="172"/>
      <c r="W40" s="173">
        <v>34</v>
      </c>
      <c r="X40" s="22">
        <v>23.4</v>
      </c>
      <c r="Y40" s="170">
        <f t="shared" si="20"/>
        <v>0.23399999999999999</v>
      </c>
      <c r="Z40" s="170">
        <f t="shared" si="21"/>
        <v>234</v>
      </c>
      <c r="AA40" s="172"/>
      <c r="AB40" s="173">
        <v>34</v>
      </c>
      <c r="AC40" s="22">
        <v>23.1</v>
      </c>
      <c r="AD40" s="170">
        <f t="shared" si="22"/>
        <v>0.23100000000000001</v>
      </c>
      <c r="AE40" s="170">
        <f t="shared" si="23"/>
        <v>231</v>
      </c>
      <c r="AF40" s="172"/>
    </row>
    <row r="41" spans="1:32">
      <c r="A41" s="167">
        <v>35</v>
      </c>
      <c r="B41" s="167">
        <v>22.95</v>
      </c>
      <c r="C41" s="167"/>
      <c r="D41" s="167"/>
      <c r="E41" s="176">
        <f t="shared" si="12"/>
        <v>0.22949999999999998</v>
      </c>
      <c r="F41" s="177">
        <f t="shared" si="13"/>
        <v>229.49999999999997</v>
      </c>
      <c r="G41" s="159"/>
      <c r="H41" s="167">
        <v>35</v>
      </c>
      <c r="I41" s="167">
        <v>23.8</v>
      </c>
      <c r="J41" s="165">
        <f t="shared" si="14"/>
        <v>0.23800000000000002</v>
      </c>
      <c r="K41" s="165">
        <f t="shared" si="15"/>
        <v>238.00000000000003</v>
      </c>
      <c r="L41" s="159"/>
      <c r="M41" s="167">
        <v>35</v>
      </c>
      <c r="N41" s="15">
        <v>24.2</v>
      </c>
      <c r="O41" s="165">
        <f t="shared" si="16"/>
        <v>0.24199999999999999</v>
      </c>
      <c r="P41" s="165">
        <f t="shared" si="17"/>
        <v>242</v>
      </c>
      <c r="Q41" s="159"/>
      <c r="R41" s="167">
        <v>35</v>
      </c>
      <c r="S41" s="15">
        <v>25.5</v>
      </c>
      <c r="T41" s="165">
        <f t="shared" si="18"/>
        <v>0.255</v>
      </c>
      <c r="U41" s="165">
        <f t="shared" si="19"/>
        <v>255</v>
      </c>
      <c r="V41" s="159"/>
      <c r="W41" s="167">
        <v>35</v>
      </c>
      <c r="X41" s="15">
        <v>26.5</v>
      </c>
      <c r="Y41" s="165">
        <f t="shared" si="20"/>
        <v>0.26500000000000001</v>
      </c>
      <c r="Z41" s="165">
        <f t="shared" si="21"/>
        <v>265</v>
      </c>
      <c r="AA41" s="159"/>
      <c r="AB41" s="167">
        <v>35</v>
      </c>
      <c r="AC41" s="15">
        <v>24.6</v>
      </c>
      <c r="AD41" s="165">
        <f t="shared" si="22"/>
        <v>0.24600000000000002</v>
      </c>
      <c r="AE41" s="165">
        <f t="shared" si="23"/>
        <v>246.00000000000003</v>
      </c>
      <c r="AF41" s="159"/>
    </row>
    <row r="42" spans="1:32">
      <c r="A42" s="173">
        <v>36</v>
      </c>
      <c r="B42" s="173">
        <v>21.85</v>
      </c>
      <c r="C42" s="173"/>
      <c r="D42" s="173"/>
      <c r="E42" s="178">
        <f t="shared" si="12"/>
        <v>0.21850000000000003</v>
      </c>
      <c r="F42" s="179">
        <f t="shared" si="13"/>
        <v>218.50000000000003</v>
      </c>
      <c r="G42" s="172"/>
      <c r="H42" s="173">
        <v>36</v>
      </c>
      <c r="I42" s="173">
        <v>23.2</v>
      </c>
      <c r="J42" s="170">
        <f t="shared" si="14"/>
        <v>0.23199999999999998</v>
      </c>
      <c r="K42" s="170">
        <f t="shared" si="15"/>
        <v>231.99999999999997</v>
      </c>
      <c r="L42" s="172"/>
      <c r="M42" s="173">
        <v>36</v>
      </c>
      <c r="N42" s="22">
        <v>23.7</v>
      </c>
      <c r="O42" s="170">
        <f t="shared" si="16"/>
        <v>0.23699999999999999</v>
      </c>
      <c r="P42" s="170">
        <f t="shared" si="17"/>
        <v>237</v>
      </c>
      <c r="Q42" s="172"/>
      <c r="R42" s="173">
        <v>36</v>
      </c>
      <c r="S42" s="22">
        <v>24</v>
      </c>
      <c r="T42" s="170">
        <f t="shared" si="18"/>
        <v>0.24</v>
      </c>
      <c r="U42" s="170">
        <f t="shared" si="19"/>
        <v>240</v>
      </c>
      <c r="V42" s="172"/>
      <c r="W42" s="173">
        <v>36</v>
      </c>
      <c r="X42" s="22">
        <v>24</v>
      </c>
      <c r="Y42" s="170">
        <f t="shared" si="20"/>
        <v>0.24</v>
      </c>
      <c r="Z42" s="170">
        <f t="shared" si="21"/>
        <v>240</v>
      </c>
      <c r="AA42" s="172"/>
      <c r="AB42" s="173">
        <v>36</v>
      </c>
      <c r="AC42" s="22">
        <v>23.7</v>
      </c>
      <c r="AD42" s="170">
        <f t="shared" si="22"/>
        <v>0.23699999999999999</v>
      </c>
      <c r="AE42" s="170">
        <f t="shared" si="23"/>
        <v>237</v>
      </c>
      <c r="AF42" s="172"/>
    </row>
    <row r="43" spans="1:32">
      <c r="A43" s="167">
        <v>37</v>
      </c>
      <c r="B43" s="167">
        <v>51.98</v>
      </c>
      <c r="C43" s="167"/>
      <c r="D43" s="167"/>
      <c r="E43" s="176">
        <f t="shared" si="12"/>
        <v>0.51979999999999993</v>
      </c>
      <c r="F43" s="177">
        <f t="shared" si="13"/>
        <v>519.79999999999995</v>
      </c>
      <c r="G43" s="159"/>
      <c r="H43" s="167">
        <v>37</v>
      </c>
      <c r="I43" s="167">
        <v>51.92</v>
      </c>
      <c r="J43" s="165">
        <f t="shared" si="14"/>
        <v>0.51919999999999999</v>
      </c>
      <c r="K43" s="165">
        <f t="shared" si="15"/>
        <v>519.20000000000005</v>
      </c>
      <c r="L43" s="159"/>
      <c r="M43" s="167">
        <v>37</v>
      </c>
      <c r="N43" s="15">
        <v>52.1</v>
      </c>
      <c r="O43" s="165">
        <f t="shared" si="16"/>
        <v>0.52100000000000002</v>
      </c>
      <c r="P43" s="165">
        <f t="shared" si="17"/>
        <v>521</v>
      </c>
      <c r="Q43" s="159"/>
      <c r="R43" s="167">
        <v>37</v>
      </c>
      <c r="S43" s="15">
        <v>49.3</v>
      </c>
      <c r="T43" s="165">
        <f t="shared" si="18"/>
        <v>0.49299999999999999</v>
      </c>
      <c r="U43" s="165">
        <f t="shared" si="19"/>
        <v>493</v>
      </c>
      <c r="V43" s="159"/>
      <c r="W43" s="167">
        <v>37</v>
      </c>
      <c r="X43" s="15">
        <v>47.1</v>
      </c>
      <c r="Y43" s="165">
        <f t="shared" si="20"/>
        <v>0.47100000000000003</v>
      </c>
      <c r="Z43" s="165">
        <f t="shared" si="21"/>
        <v>471.00000000000006</v>
      </c>
      <c r="AA43" s="159"/>
      <c r="AB43" s="167">
        <v>37</v>
      </c>
      <c r="AC43" s="15">
        <v>46.2</v>
      </c>
      <c r="AD43" s="165">
        <f t="shared" si="22"/>
        <v>0.46200000000000002</v>
      </c>
      <c r="AE43" s="165">
        <f t="shared" si="23"/>
        <v>462</v>
      </c>
      <c r="AF43" s="159"/>
    </row>
    <row r="44" spans="1:32">
      <c r="A44" s="173">
        <v>38</v>
      </c>
      <c r="B44" s="173">
        <v>45.82</v>
      </c>
      <c r="C44" s="173"/>
      <c r="D44" s="173"/>
      <c r="E44" s="178">
        <f t="shared" si="12"/>
        <v>0.4582</v>
      </c>
      <c r="F44" s="179">
        <f t="shared" si="13"/>
        <v>458.2</v>
      </c>
      <c r="G44" s="172"/>
      <c r="H44" s="173">
        <v>38</v>
      </c>
      <c r="I44" s="173">
        <v>42.68</v>
      </c>
      <c r="J44" s="170">
        <f t="shared" si="14"/>
        <v>0.42680000000000001</v>
      </c>
      <c r="K44" s="170">
        <f t="shared" si="15"/>
        <v>426.8</v>
      </c>
      <c r="L44" s="172"/>
      <c r="M44" s="173">
        <v>38</v>
      </c>
      <c r="N44" s="22">
        <v>41.4</v>
      </c>
      <c r="O44" s="170">
        <f t="shared" si="16"/>
        <v>0.41399999999999998</v>
      </c>
      <c r="P44" s="170">
        <f t="shared" si="17"/>
        <v>414</v>
      </c>
      <c r="Q44" s="172"/>
      <c r="R44" s="173">
        <v>38</v>
      </c>
      <c r="S44" s="22">
        <v>40</v>
      </c>
      <c r="T44" s="170">
        <f t="shared" si="18"/>
        <v>0.4</v>
      </c>
      <c r="U44" s="170">
        <f t="shared" si="19"/>
        <v>400</v>
      </c>
      <c r="V44" s="172"/>
      <c r="W44" s="173">
        <v>38</v>
      </c>
      <c r="X44" s="22">
        <v>39.5</v>
      </c>
      <c r="Y44" s="170">
        <f t="shared" si="20"/>
        <v>0.39500000000000002</v>
      </c>
      <c r="Z44" s="170">
        <f t="shared" si="21"/>
        <v>395</v>
      </c>
      <c r="AA44" s="172"/>
      <c r="AB44" s="173">
        <v>38</v>
      </c>
      <c r="AC44" s="22">
        <v>39.1</v>
      </c>
      <c r="AD44" s="170">
        <f t="shared" si="22"/>
        <v>0.39100000000000001</v>
      </c>
      <c r="AE44" s="170">
        <f t="shared" si="23"/>
        <v>391</v>
      </c>
      <c r="AF44" s="172"/>
    </row>
    <row r="45" spans="1:32">
      <c r="A45" s="167">
        <v>39</v>
      </c>
      <c r="B45" s="167">
        <v>50.65</v>
      </c>
      <c r="C45" s="167"/>
      <c r="D45" s="167"/>
      <c r="E45" s="176">
        <f t="shared" si="12"/>
        <v>0.50649999999999995</v>
      </c>
      <c r="F45" s="177">
        <f t="shared" si="13"/>
        <v>506.49999999999994</v>
      </c>
      <c r="G45" s="159"/>
      <c r="H45" s="167">
        <v>39</v>
      </c>
      <c r="I45" s="167">
        <v>49.53</v>
      </c>
      <c r="J45" s="165">
        <f t="shared" si="14"/>
        <v>0.49530000000000002</v>
      </c>
      <c r="K45" s="165">
        <f t="shared" si="15"/>
        <v>495.3</v>
      </c>
      <c r="L45" s="159"/>
      <c r="M45" s="167">
        <v>39</v>
      </c>
      <c r="N45" s="15">
        <v>47.05</v>
      </c>
      <c r="O45" s="165">
        <f t="shared" si="16"/>
        <v>0.47049999999999997</v>
      </c>
      <c r="P45" s="165">
        <f t="shared" si="17"/>
        <v>470.5</v>
      </c>
      <c r="Q45" s="159"/>
      <c r="R45" s="167">
        <v>39</v>
      </c>
      <c r="S45" s="15">
        <v>48.1</v>
      </c>
      <c r="T45" s="165">
        <f t="shared" si="18"/>
        <v>0.48100000000000004</v>
      </c>
      <c r="U45" s="165">
        <f t="shared" si="19"/>
        <v>481.00000000000006</v>
      </c>
      <c r="V45" s="159"/>
      <c r="W45" s="167">
        <v>39</v>
      </c>
      <c r="X45" s="15">
        <v>45</v>
      </c>
      <c r="Y45" s="165">
        <f t="shared" si="20"/>
        <v>0.45</v>
      </c>
      <c r="Z45" s="165">
        <f t="shared" si="21"/>
        <v>450</v>
      </c>
      <c r="AA45" s="159"/>
      <c r="AB45" s="167">
        <v>39</v>
      </c>
      <c r="AC45" s="15">
        <v>44.1</v>
      </c>
      <c r="AD45" s="165">
        <f t="shared" si="22"/>
        <v>0.441</v>
      </c>
      <c r="AE45" s="165">
        <f t="shared" si="23"/>
        <v>441</v>
      </c>
      <c r="AF45" s="159"/>
    </row>
    <row r="46" spans="1:32">
      <c r="A46" s="173">
        <v>40</v>
      </c>
      <c r="B46" s="173">
        <v>45.3</v>
      </c>
      <c r="C46" s="173"/>
      <c r="D46" s="173"/>
      <c r="E46" s="178">
        <f t="shared" si="12"/>
        <v>0.45299999999999996</v>
      </c>
      <c r="F46" s="179">
        <f t="shared" si="13"/>
        <v>452.99999999999994</v>
      </c>
      <c r="G46" s="172"/>
      <c r="H46" s="173">
        <v>40</v>
      </c>
      <c r="I46" s="173">
        <v>43.88</v>
      </c>
      <c r="J46" s="170">
        <f t="shared" si="14"/>
        <v>0.43880000000000002</v>
      </c>
      <c r="K46" s="170">
        <f t="shared" si="15"/>
        <v>438.8</v>
      </c>
      <c r="L46" s="172"/>
      <c r="M46" s="173">
        <v>40</v>
      </c>
      <c r="N46" s="22">
        <v>40.4</v>
      </c>
      <c r="O46" s="170">
        <f t="shared" si="16"/>
        <v>0.40399999999999997</v>
      </c>
      <c r="P46" s="170">
        <f t="shared" si="17"/>
        <v>403.99999999999994</v>
      </c>
      <c r="Q46" s="172"/>
      <c r="R46" s="173">
        <v>40</v>
      </c>
      <c r="S46" s="22">
        <v>42.1</v>
      </c>
      <c r="T46" s="170">
        <f t="shared" si="18"/>
        <v>0.42100000000000004</v>
      </c>
      <c r="U46" s="170">
        <f t="shared" si="19"/>
        <v>421.00000000000006</v>
      </c>
      <c r="V46" s="172"/>
      <c r="W46" s="173">
        <v>40</v>
      </c>
      <c r="X46" s="22">
        <v>40.799999999999997</v>
      </c>
      <c r="Y46" s="170">
        <f t="shared" si="20"/>
        <v>0.40799999999999997</v>
      </c>
      <c r="Z46" s="170">
        <f t="shared" si="21"/>
        <v>408</v>
      </c>
      <c r="AA46" s="172"/>
      <c r="AB46" s="173">
        <v>40</v>
      </c>
      <c r="AC46" s="22">
        <v>39.1</v>
      </c>
      <c r="AD46" s="170">
        <f t="shared" si="22"/>
        <v>0.39100000000000001</v>
      </c>
      <c r="AE46" s="170">
        <f t="shared" si="23"/>
        <v>391</v>
      </c>
      <c r="AF46" s="172"/>
    </row>
    <row r="47" spans="1:32">
      <c r="A47" s="167">
        <v>41</v>
      </c>
      <c r="B47" s="167">
        <v>48.22</v>
      </c>
      <c r="C47" s="167"/>
      <c r="D47" s="167"/>
      <c r="E47" s="176">
        <f t="shared" si="12"/>
        <v>0.48219999999999996</v>
      </c>
      <c r="F47" s="177">
        <f t="shared" si="13"/>
        <v>482.2</v>
      </c>
      <c r="G47" s="159"/>
      <c r="H47" s="167">
        <v>41</v>
      </c>
      <c r="I47" s="167">
        <v>44.88</v>
      </c>
      <c r="J47" s="165">
        <f t="shared" si="14"/>
        <v>0.44880000000000003</v>
      </c>
      <c r="K47" s="165">
        <f t="shared" si="15"/>
        <v>448.8</v>
      </c>
      <c r="L47" s="159"/>
      <c r="M47" s="167">
        <v>41</v>
      </c>
      <c r="N47" s="15">
        <v>44.7</v>
      </c>
      <c r="O47" s="165">
        <f t="shared" si="16"/>
        <v>0.44700000000000001</v>
      </c>
      <c r="P47" s="165">
        <f t="shared" si="17"/>
        <v>447</v>
      </c>
      <c r="Q47" s="159"/>
      <c r="R47" s="167">
        <v>41</v>
      </c>
      <c r="S47" s="15">
        <v>43</v>
      </c>
      <c r="T47" s="165">
        <f t="shared" si="18"/>
        <v>0.43</v>
      </c>
      <c r="U47" s="165">
        <f t="shared" si="19"/>
        <v>430</v>
      </c>
      <c r="V47" s="159"/>
      <c r="W47" s="167">
        <v>41</v>
      </c>
      <c r="X47" s="15">
        <v>43.7</v>
      </c>
      <c r="Y47" s="165">
        <f t="shared" si="20"/>
        <v>0.43700000000000006</v>
      </c>
      <c r="Z47" s="165">
        <f t="shared" si="21"/>
        <v>437.00000000000006</v>
      </c>
      <c r="AA47" s="159"/>
      <c r="AB47" s="167">
        <v>41</v>
      </c>
      <c r="AC47" s="15">
        <v>43.6</v>
      </c>
      <c r="AD47" s="165">
        <f t="shared" si="22"/>
        <v>0.436</v>
      </c>
      <c r="AE47" s="165">
        <f t="shared" si="23"/>
        <v>436</v>
      </c>
      <c r="AF47" s="159"/>
    </row>
    <row r="48" spans="1:32">
      <c r="A48" s="173">
        <v>42</v>
      </c>
      <c r="B48" s="173">
        <v>44.7</v>
      </c>
      <c r="C48" s="173"/>
      <c r="D48" s="173"/>
      <c r="E48" s="178">
        <f t="shared" si="12"/>
        <v>0.44700000000000001</v>
      </c>
      <c r="F48" s="179">
        <f t="shared" si="13"/>
        <v>447</v>
      </c>
      <c r="G48" s="172"/>
      <c r="H48" s="173">
        <v>42</v>
      </c>
      <c r="I48" s="173">
        <v>46.46</v>
      </c>
      <c r="J48" s="170">
        <f t="shared" si="14"/>
        <v>0.46460000000000001</v>
      </c>
      <c r="K48" s="170">
        <f t="shared" si="15"/>
        <v>464.6</v>
      </c>
      <c r="L48" s="172"/>
      <c r="M48" s="173">
        <v>42</v>
      </c>
      <c r="N48" s="22">
        <v>45.4</v>
      </c>
      <c r="O48" s="170">
        <f t="shared" si="16"/>
        <v>0.45399999999999996</v>
      </c>
      <c r="P48" s="170">
        <f t="shared" si="17"/>
        <v>453.99999999999994</v>
      </c>
      <c r="Q48" s="172"/>
      <c r="R48" s="173">
        <v>42</v>
      </c>
      <c r="S48" s="22">
        <v>46.9</v>
      </c>
      <c r="T48" s="170">
        <f t="shared" si="18"/>
        <v>0.46899999999999997</v>
      </c>
      <c r="U48" s="170">
        <f t="shared" si="19"/>
        <v>469</v>
      </c>
      <c r="V48" s="172"/>
      <c r="W48" s="173">
        <v>42</v>
      </c>
      <c r="X48" s="22">
        <v>48.6</v>
      </c>
      <c r="Y48" s="170">
        <f t="shared" si="20"/>
        <v>0.48599999999999999</v>
      </c>
      <c r="Z48" s="170">
        <f t="shared" si="21"/>
        <v>486</v>
      </c>
      <c r="AA48" s="172"/>
      <c r="AB48" s="173">
        <v>42</v>
      </c>
      <c r="AC48" s="22">
        <v>50.2</v>
      </c>
      <c r="AD48" s="170">
        <f t="shared" si="22"/>
        <v>0.502</v>
      </c>
      <c r="AE48" s="170">
        <f t="shared" si="23"/>
        <v>502</v>
      </c>
      <c r="AF48" s="172"/>
    </row>
    <row r="49" spans="1:32">
      <c r="A49" s="167">
        <v>43</v>
      </c>
      <c r="B49" s="167">
        <v>52.05</v>
      </c>
      <c r="C49" s="167"/>
      <c r="D49" s="167"/>
      <c r="E49" s="176">
        <f t="shared" si="12"/>
        <v>0.52049999999999996</v>
      </c>
      <c r="F49" s="177">
        <f t="shared" si="13"/>
        <v>520.5</v>
      </c>
      <c r="G49" s="159"/>
      <c r="H49" s="167">
        <v>43</v>
      </c>
      <c r="I49" s="167">
        <v>52.48</v>
      </c>
      <c r="J49" s="165">
        <f t="shared" si="14"/>
        <v>0.52479999999999993</v>
      </c>
      <c r="K49" s="165">
        <f t="shared" si="15"/>
        <v>524.79999999999995</v>
      </c>
      <c r="L49" s="159"/>
      <c r="M49" s="167">
        <v>43</v>
      </c>
      <c r="N49" s="15">
        <v>55.6</v>
      </c>
      <c r="O49" s="165">
        <f t="shared" si="16"/>
        <v>0.55600000000000005</v>
      </c>
      <c r="P49" s="165">
        <f t="shared" si="17"/>
        <v>556</v>
      </c>
      <c r="Q49" s="159"/>
      <c r="R49" s="167">
        <v>43</v>
      </c>
      <c r="S49" s="15">
        <v>57.2</v>
      </c>
      <c r="T49" s="165">
        <f t="shared" si="18"/>
        <v>0.57200000000000006</v>
      </c>
      <c r="U49" s="165">
        <f t="shared" si="19"/>
        <v>572.00000000000011</v>
      </c>
      <c r="V49" s="159"/>
      <c r="W49" s="167">
        <v>43</v>
      </c>
      <c r="X49" s="15">
        <v>58</v>
      </c>
      <c r="Y49" s="165">
        <f t="shared" si="20"/>
        <v>0.57999999999999996</v>
      </c>
      <c r="Z49" s="165">
        <f t="shared" si="21"/>
        <v>580</v>
      </c>
      <c r="AA49" s="159"/>
      <c r="AB49" s="167">
        <v>43</v>
      </c>
      <c r="AC49" s="15">
        <v>59.5</v>
      </c>
      <c r="AD49" s="165">
        <f t="shared" si="22"/>
        <v>0.59499999999999997</v>
      </c>
      <c r="AE49" s="165">
        <f t="shared" si="23"/>
        <v>595</v>
      </c>
      <c r="AF49" s="159"/>
    </row>
    <row r="50" spans="1:32">
      <c r="A50" s="173">
        <v>44</v>
      </c>
      <c r="B50" s="173">
        <v>47.39</v>
      </c>
      <c r="C50" s="173"/>
      <c r="D50" s="173"/>
      <c r="E50" s="178">
        <f t="shared" si="12"/>
        <v>0.47389999999999999</v>
      </c>
      <c r="F50" s="179">
        <f t="shared" si="13"/>
        <v>473.9</v>
      </c>
      <c r="G50" s="172"/>
      <c r="H50" s="173">
        <v>44</v>
      </c>
      <c r="I50" s="173">
        <v>50</v>
      </c>
      <c r="J50" s="170">
        <f t="shared" si="14"/>
        <v>0.5</v>
      </c>
      <c r="K50" s="170">
        <f t="shared" si="15"/>
        <v>500</v>
      </c>
      <c r="L50" s="172"/>
      <c r="M50" s="173">
        <v>44</v>
      </c>
      <c r="N50" s="22">
        <v>50.5</v>
      </c>
      <c r="O50" s="170">
        <f t="shared" si="16"/>
        <v>0.505</v>
      </c>
      <c r="P50" s="170">
        <f t="shared" si="17"/>
        <v>505</v>
      </c>
      <c r="Q50" s="172"/>
      <c r="R50" s="173">
        <v>44</v>
      </c>
      <c r="S50" s="22">
        <v>52.3</v>
      </c>
      <c r="T50" s="170">
        <f t="shared" si="18"/>
        <v>0.52300000000000002</v>
      </c>
      <c r="U50" s="170">
        <f t="shared" si="19"/>
        <v>523</v>
      </c>
      <c r="V50" s="172"/>
      <c r="W50" s="173">
        <v>44</v>
      </c>
      <c r="X50" s="22">
        <v>53</v>
      </c>
      <c r="Y50" s="170">
        <f t="shared" si="20"/>
        <v>0.53</v>
      </c>
      <c r="Z50" s="170">
        <f t="shared" si="21"/>
        <v>530</v>
      </c>
      <c r="AA50" s="172"/>
      <c r="AB50" s="173">
        <v>44</v>
      </c>
      <c r="AC50" s="22">
        <v>53.9</v>
      </c>
      <c r="AD50" s="170">
        <f t="shared" si="22"/>
        <v>0.53900000000000003</v>
      </c>
      <c r="AE50" s="170">
        <f t="shared" si="23"/>
        <v>539</v>
      </c>
      <c r="AF50" s="172"/>
    </row>
    <row r="51" spans="1:32">
      <c r="A51" s="167">
        <v>45</v>
      </c>
      <c r="B51" s="167">
        <v>48.92</v>
      </c>
      <c r="C51" s="167"/>
      <c r="D51" s="167"/>
      <c r="E51" s="176">
        <f t="shared" si="12"/>
        <v>0.48920000000000002</v>
      </c>
      <c r="F51" s="177">
        <f t="shared" si="13"/>
        <v>489.20000000000005</v>
      </c>
      <c r="G51" s="159"/>
      <c r="H51" s="167">
        <v>45</v>
      </c>
      <c r="I51" s="167">
        <v>50.74</v>
      </c>
      <c r="J51" s="165">
        <f t="shared" si="14"/>
        <v>0.50740000000000007</v>
      </c>
      <c r="K51" s="165">
        <f t="shared" si="15"/>
        <v>507.40000000000009</v>
      </c>
      <c r="L51" s="159"/>
      <c r="M51" s="167">
        <v>45</v>
      </c>
      <c r="N51" s="15">
        <v>52</v>
      </c>
      <c r="O51" s="165">
        <f t="shared" si="16"/>
        <v>0.52</v>
      </c>
      <c r="P51" s="165">
        <f t="shared" si="17"/>
        <v>520</v>
      </c>
      <c r="Q51" s="159"/>
      <c r="R51" s="167">
        <v>45</v>
      </c>
      <c r="S51" s="15">
        <v>53.8</v>
      </c>
      <c r="T51" s="165">
        <f t="shared" si="18"/>
        <v>0.53799999999999992</v>
      </c>
      <c r="U51" s="165">
        <f t="shared" si="19"/>
        <v>537.99999999999989</v>
      </c>
      <c r="V51" s="159"/>
      <c r="W51" s="167">
        <v>45</v>
      </c>
      <c r="X51" s="15">
        <v>54.1</v>
      </c>
      <c r="Y51" s="165">
        <f t="shared" si="20"/>
        <v>0.54100000000000004</v>
      </c>
      <c r="Z51" s="165">
        <f t="shared" si="21"/>
        <v>541</v>
      </c>
      <c r="AA51" s="159"/>
      <c r="AB51" s="167">
        <v>45</v>
      </c>
      <c r="AC51" s="15">
        <v>55.4</v>
      </c>
      <c r="AD51" s="165">
        <f t="shared" si="22"/>
        <v>0.55399999999999994</v>
      </c>
      <c r="AE51" s="165">
        <f t="shared" si="23"/>
        <v>553.99999999999989</v>
      </c>
      <c r="AF51" s="159"/>
    </row>
    <row r="52" spans="1:32">
      <c r="A52" s="173">
        <v>46</v>
      </c>
      <c r="B52" s="173">
        <v>44.74</v>
      </c>
      <c r="C52" s="173"/>
      <c r="D52" s="173"/>
      <c r="E52" s="178">
        <f t="shared" si="12"/>
        <v>0.44740000000000002</v>
      </c>
      <c r="F52" s="179">
        <f t="shared" si="13"/>
        <v>447.40000000000003</v>
      </c>
      <c r="G52" s="172"/>
      <c r="H52" s="173">
        <v>46</v>
      </c>
      <c r="I52" s="173">
        <v>46.59</v>
      </c>
      <c r="J52" s="170">
        <f t="shared" si="14"/>
        <v>0.46590000000000004</v>
      </c>
      <c r="K52" s="170">
        <f t="shared" si="15"/>
        <v>465.90000000000003</v>
      </c>
      <c r="L52" s="172"/>
      <c r="M52" s="173">
        <v>46</v>
      </c>
      <c r="N52" s="22">
        <v>49.3</v>
      </c>
      <c r="O52" s="170">
        <f t="shared" si="16"/>
        <v>0.49299999999999999</v>
      </c>
      <c r="P52" s="170">
        <f t="shared" si="17"/>
        <v>493</v>
      </c>
      <c r="Q52" s="172"/>
      <c r="R52" s="173">
        <v>46</v>
      </c>
      <c r="S52" s="22">
        <v>49.2</v>
      </c>
      <c r="T52" s="170">
        <f t="shared" si="18"/>
        <v>0.49200000000000005</v>
      </c>
      <c r="U52" s="170">
        <f t="shared" si="19"/>
        <v>492.00000000000006</v>
      </c>
      <c r="V52" s="172"/>
      <c r="W52" s="173">
        <v>46</v>
      </c>
      <c r="X52" s="22">
        <v>49.6</v>
      </c>
      <c r="Y52" s="170">
        <f t="shared" si="20"/>
        <v>0.496</v>
      </c>
      <c r="Z52" s="170">
        <f t="shared" si="21"/>
        <v>496</v>
      </c>
      <c r="AA52" s="172"/>
      <c r="AB52" s="173">
        <v>46</v>
      </c>
      <c r="AC52" s="22">
        <v>51</v>
      </c>
      <c r="AD52" s="170">
        <f t="shared" si="22"/>
        <v>0.51</v>
      </c>
      <c r="AE52" s="170">
        <f t="shared" si="23"/>
        <v>510</v>
      </c>
      <c r="AF52" s="172"/>
    </row>
    <row r="53" spans="1:32">
      <c r="A53" s="180">
        <v>47</v>
      </c>
      <c r="B53" s="180">
        <v>50.2</v>
      </c>
      <c r="C53" s="180"/>
      <c r="D53" s="180"/>
      <c r="E53" s="178">
        <f t="shared" si="12"/>
        <v>0.502</v>
      </c>
      <c r="F53" s="179">
        <f t="shared" si="13"/>
        <v>502</v>
      </c>
      <c r="G53" s="172"/>
      <c r="H53" s="180">
        <v>47</v>
      </c>
      <c r="I53" s="180">
        <v>53.89</v>
      </c>
      <c r="J53" s="170">
        <f t="shared" si="14"/>
        <v>0.53890000000000005</v>
      </c>
      <c r="K53" s="170">
        <f t="shared" si="15"/>
        <v>538.90000000000009</v>
      </c>
      <c r="L53" s="172"/>
      <c r="M53" s="180">
        <v>47</v>
      </c>
      <c r="N53" s="59">
        <v>56.9</v>
      </c>
      <c r="O53" s="170">
        <f t="shared" si="16"/>
        <v>0.56899999999999995</v>
      </c>
      <c r="P53" s="170">
        <f t="shared" si="17"/>
        <v>569</v>
      </c>
      <c r="Q53" s="172"/>
      <c r="R53" s="180">
        <v>47</v>
      </c>
      <c r="S53" s="59">
        <v>58.9</v>
      </c>
      <c r="T53" s="170">
        <f t="shared" si="18"/>
        <v>0.58899999999999997</v>
      </c>
      <c r="U53" s="170">
        <f t="shared" si="19"/>
        <v>589</v>
      </c>
      <c r="V53" s="172"/>
      <c r="W53" s="180">
        <v>47</v>
      </c>
      <c r="X53" s="59">
        <v>60.5</v>
      </c>
      <c r="Y53" s="170">
        <f t="shared" si="20"/>
        <v>0.60499999999999998</v>
      </c>
      <c r="Z53" s="170">
        <f t="shared" si="21"/>
        <v>605</v>
      </c>
      <c r="AA53" s="172"/>
      <c r="AB53" s="180">
        <v>47</v>
      </c>
      <c r="AC53" s="59">
        <v>60.4</v>
      </c>
      <c r="AD53" s="170">
        <f t="shared" si="22"/>
        <v>0.60399999999999998</v>
      </c>
      <c r="AE53" s="170">
        <f t="shared" si="23"/>
        <v>604</v>
      </c>
      <c r="AF53" s="172"/>
    </row>
    <row r="54" spans="1:32">
      <c r="A54" s="181">
        <v>48</v>
      </c>
      <c r="B54" s="181">
        <v>43</v>
      </c>
      <c r="C54" s="181"/>
      <c r="D54" s="181"/>
      <c r="E54" s="176">
        <f t="shared" si="12"/>
        <v>0.43</v>
      </c>
      <c r="F54" s="177">
        <f t="shared" si="13"/>
        <v>430</v>
      </c>
      <c r="G54" s="159"/>
      <c r="H54" s="181">
        <v>48</v>
      </c>
      <c r="I54" s="181">
        <v>43.41</v>
      </c>
      <c r="J54" s="165">
        <f t="shared" si="14"/>
        <v>0.43409999999999999</v>
      </c>
      <c r="K54" s="165">
        <f t="shared" si="15"/>
        <v>434.09999999999997</v>
      </c>
      <c r="L54" s="159"/>
      <c r="M54" s="181">
        <v>48</v>
      </c>
      <c r="N54" s="62">
        <v>43.5</v>
      </c>
      <c r="O54" s="165">
        <f t="shared" si="16"/>
        <v>0.435</v>
      </c>
      <c r="P54" s="165">
        <f t="shared" si="17"/>
        <v>435</v>
      </c>
      <c r="Q54" s="159"/>
      <c r="R54" s="181">
        <v>48</v>
      </c>
      <c r="S54" s="62">
        <v>44</v>
      </c>
      <c r="T54" s="165">
        <f t="shared" si="18"/>
        <v>0.44</v>
      </c>
      <c r="U54" s="165">
        <f t="shared" si="19"/>
        <v>440</v>
      </c>
      <c r="V54" s="159"/>
      <c r="W54" s="181">
        <v>48</v>
      </c>
      <c r="X54" s="62">
        <v>44.8</v>
      </c>
      <c r="Y54" s="165">
        <f t="shared" si="20"/>
        <v>0.44799999999999995</v>
      </c>
      <c r="Z54" s="165">
        <f t="shared" si="21"/>
        <v>447.99999999999994</v>
      </c>
      <c r="AA54" s="159"/>
      <c r="AB54" s="181">
        <v>48</v>
      </c>
      <c r="AC54" s="62">
        <v>46.4</v>
      </c>
      <c r="AD54" s="165">
        <f t="shared" si="22"/>
        <v>0.46399999999999997</v>
      </c>
      <c r="AE54" s="165">
        <f t="shared" si="23"/>
        <v>463.99999999999994</v>
      </c>
      <c r="AF54" s="159"/>
    </row>
    <row r="55" spans="1:32">
      <c r="A55" s="159"/>
      <c r="B55" s="159"/>
      <c r="C55" s="159"/>
      <c r="D55" s="159"/>
      <c r="E55" s="159">
        <f>SUM(E32,E34,E35,E38,E40,E42,E44,E46,E48,E50,E52,E53)*5</f>
        <v>21.347000000000001</v>
      </c>
      <c r="F55" s="159"/>
      <c r="G55" s="159"/>
      <c r="H55" s="159"/>
      <c r="I55" s="159"/>
      <c r="J55" s="159">
        <f>SUM(J32,J34,J35,J38,J40,J42,J44,J46,J48,J50,J52,J53)*5</f>
        <v>21.9145</v>
      </c>
      <c r="K55" s="159"/>
      <c r="L55" s="159"/>
      <c r="M55" s="159"/>
      <c r="N55" s="159"/>
      <c r="O55" s="159">
        <f>SUM(O32,O34,O35,O38,O40,O42,O44,O46,O48,O50,O52,O53)*5</f>
        <v>22.065000000000001</v>
      </c>
      <c r="P55" s="159"/>
      <c r="Q55" s="159"/>
      <c r="R55" s="159"/>
      <c r="S55" s="159"/>
      <c r="T55" s="159">
        <f>SUM(T32,T34,T35,T38,T40,T42,T44,T46,T48,T50,T52:T53)*5</f>
        <v>22.39</v>
      </c>
      <c r="U55" s="159"/>
      <c r="V55" s="159"/>
      <c r="W55" s="159"/>
      <c r="X55" s="159"/>
      <c r="Y55" s="159">
        <f>SUM(Y32,Y34,Y35,Y38,Y40,Y42,Y44,Y46,Y48,Y50,Y52:Y53)*5</f>
        <v>22.66</v>
      </c>
      <c r="Z55" s="159"/>
      <c r="AA55" s="159"/>
      <c r="AB55" s="159"/>
      <c r="AC55" s="159"/>
      <c r="AD55" s="159">
        <f>SUM(AD32,AD34,AD35,AD38,AD40,AD42,AD44,AD46,AD48,AD50,AD52,AD53)*5</f>
        <v>22.675000000000001</v>
      </c>
      <c r="AE55" s="159"/>
      <c r="AF55" s="159"/>
    </row>
    <row r="56" spans="1:32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</row>
    <row r="57" spans="1:32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</row>
    <row r="58" spans="1:32">
      <c r="A58" s="283" t="s">
        <v>290</v>
      </c>
      <c r="B58" s="229"/>
      <c r="C58" s="229"/>
      <c r="D58" s="229"/>
      <c r="E58" s="229"/>
      <c r="F58" s="230"/>
      <c r="G58" s="159"/>
      <c r="H58" s="284" t="s">
        <v>291</v>
      </c>
      <c r="I58" s="229"/>
      <c r="J58" s="229"/>
      <c r="K58" s="230"/>
      <c r="L58" s="159"/>
      <c r="M58" s="285" t="s">
        <v>292</v>
      </c>
      <c r="N58" s="229"/>
      <c r="O58" s="229"/>
      <c r="P58" s="230"/>
      <c r="Q58" s="159"/>
      <c r="R58" s="278" t="s">
        <v>158</v>
      </c>
      <c r="S58" s="229"/>
      <c r="T58" s="229"/>
      <c r="U58" s="230"/>
      <c r="V58" s="159"/>
      <c r="W58" s="279" t="s">
        <v>159</v>
      </c>
      <c r="X58" s="229"/>
      <c r="Y58" s="229"/>
      <c r="Z58" s="230"/>
      <c r="AA58" s="159"/>
      <c r="AB58" s="280" t="s">
        <v>293</v>
      </c>
      <c r="AC58" s="281"/>
      <c r="AD58" s="281"/>
      <c r="AE58" s="282"/>
      <c r="AF58" s="160"/>
    </row>
    <row r="59" spans="1:32">
      <c r="A59" s="161" t="s">
        <v>59</v>
      </c>
      <c r="B59" s="161" t="s">
        <v>294</v>
      </c>
      <c r="C59" s="161"/>
      <c r="D59" s="161"/>
      <c r="E59" s="161" t="s">
        <v>295</v>
      </c>
      <c r="F59" s="161" t="s">
        <v>296</v>
      </c>
      <c r="G59" s="162"/>
      <c r="H59" s="161" t="s">
        <v>59</v>
      </c>
      <c r="I59" s="161" t="s">
        <v>294</v>
      </c>
      <c r="J59" s="161" t="s">
        <v>295</v>
      </c>
      <c r="K59" s="161" t="s">
        <v>296</v>
      </c>
      <c r="L59" s="162"/>
      <c r="M59" s="161" t="s">
        <v>59</v>
      </c>
      <c r="N59" s="161" t="s">
        <v>294</v>
      </c>
      <c r="O59" s="161" t="s">
        <v>295</v>
      </c>
      <c r="P59" s="161" t="s">
        <v>296</v>
      </c>
      <c r="Q59" s="162"/>
      <c r="R59" s="161" t="s">
        <v>59</v>
      </c>
      <c r="S59" s="161" t="s">
        <v>294</v>
      </c>
      <c r="T59" s="161" t="s">
        <v>295</v>
      </c>
      <c r="U59" s="161" t="s">
        <v>296</v>
      </c>
      <c r="V59" s="162"/>
      <c r="W59" s="161" t="s">
        <v>59</v>
      </c>
      <c r="X59" s="161" t="s">
        <v>294</v>
      </c>
      <c r="Y59" s="161" t="s">
        <v>295</v>
      </c>
      <c r="Z59" s="161" t="s">
        <v>296</v>
      </c>
      <c r="AA59" s="162"/>
      <c r="AB59" s="163" t="s">
        <v>59</v>
      </c>
      <c r="AC59" s="163" t="s">
        <v>294</v>
      </c>
      <c r="AD59" s="163" t="s">
        <v>295</v>
      </c>
      <c r="AE59" s="163" t="s">
        <v>296</v>
      </c>
      <c r="AF59" s="164"/>
    </row>
    <row r="60" spans="1:32">
      <c r="A60" s="182">
        <v>49</v>
      </c>
      <c r="B60" s="183">
        <v>20.8</v>
      </c>
      <c r="C60" s="183"/>
      <c r="D60" s="183"/>
      <c r="E60" s="182">
        <f t="shared" ref="E60:E82" si="24">B60/100</f>
        <v>0.20800000000000002</v>
      </c>
      <c r="F60" s="182">
        <f t="shared" ref="F60:F82" si="25">E60*1000</f>
        <v>208.00000000000003</v>
      </c>
      <c r="G60" s="184"/>
      <c r="H60" s="182">
        <v>49</v>
      </c>
      <c r="I60" s="185">
        <v>21.5</v>
      </c>
      <c r="J60" s="182">
        <f t="shared" ref="J60:J82" si="26">I60/100</f>
        <v>0.215</v>
      </c>
      <c r="K60" s="182">
        <f t="shared" ref="K60:K82" si="27">J60*1000</f>
        <v>215</v>
      </c>
      <c r="L60" s="184"/>
      <c r="M60" s="182">
        <v>1</v>
      </c>
      <c r="N60" s="185"/>
      <c r="O60" s="182">
        <f t="shared" ref="O60:O82" si="28">N60/100</f>
        <v>0</v>
      </c>
      <c r="P60" s="182">
        <f t="shared" ref="P60:P82" si="29">O60*1000</f>
        <v>0</v>
      </c>
      <c r="Q60" s="184"/>
      <c r="R60" s="182">
        <v>1</v>
      </c>
      <c r="S60" s="185"/>
      <c r="T60" s="182">
        <f t="shared" ref="T60:T82" si="30">S60/100</f>
        <v>0</v>
      </c>
      <c r="U60" s="182">
        <f t="shared" ref="U60:U82" si="31">T60*1000</f>
        <v>0</v>
      </c>
      <c r="V60" s="184"/>
      <c r="W60" s="182">
        <v>1</v>
      </c>
      <c r="X60" s="185"/>
      <c r="Y60" s="182">
        <f t="shared" ref="Y60:Y82" si="32">X60/100</f>
        <v>0</v>
      </c>
      <c r="Z60" s="182">
        <f t="shared" ref="Z60:Z82" si="33">Y60*1000</f>
        <v>0</v>
      </c>
      <c r="AA60" s="184"/>
      <c r="AB60" s="182">
        <v>1</v>
      </c>
      <c r="AC60" s="185"/>
      <c r="AD60" s="182">
        <f t="shared" ref="AD60:AD82" si="34">AC60/100</f>
        <v>0</v>
      </c>
      <c r="AE60" s="182">
        <f t="shared" ref="AE60:AE82" si="35">AD60*1000</f>
        <v>0</v>
      </c>
      <c r="AF60" s="184"/>
    </row>
    <row r="61" spans="1:32">
      <c r="A61" s="165">
        <v>50</v>
      </c>
      <c r="B61" s="166">
        <v>21.8</v>
      </c>
      <c r="C61" s="166"/>
      <c r="D61" s="166"/>
      <c r="E61" s="165">
        <f t="shared" si="24"/>
        <v>0.218</v>
      </c>
      <c r="F61" s="165">
        <f t="shared" si="25"/>
        <v>218</v>
      </c>
      <c r="G61" s="159"/>
      <c r="H61" s="165">
        <v>50</v>
      </c>
      <c r="I61" s="167">
        <v>21.8</v>
      </c>
      <c r="J61" s="165">
        <f t="shared" si="26"/>
        <v>0.218</v>
      </c>
      <c r="K61" s="165">
        <f t="shared" si="27"/>
        <v>218</v>
      </c>
      <c r="L61" s="159"/>
      <c r="M61" s="165">
        <v>2</v>
      </c>
      <c r="N61" s="167"/>
      <c r="O61" s="165">
        <f t="shared" si="28"/>
        <v>0</v>
      </c>
      <c r="P61" s="165">
        <f t="shared" si="29"/>
        <v>0</v>
      </c>
      <c r="Q61" s="159"/>
      <c r="R61" s="165">
        <v>2</v>
      </c>
      <c r="S61" s="167"/>
      <c r="T61" s="165">
        <f t="shared" si="30"/>
        <v>0</v>
      </c>
      <c r="U61" s="165">
        <f t="shared" si="31"/>
        <v>0</v>
      </c>
      <c r="V61" s="159"/>
      <c r="W61" s="165">
        <v>2</v>
      </c>
      <c r="X61" s="167"/>
      <c r="Y61" s="165">
        <f t="shared" si="32"/>
        <v>0</v>
      </c>
      <c r="Z61" s="165">
        <f t="shared" si="33"/>
        <v>0</v>
      </c>
      <c r="AA61" s="159"/>
      <c r="AB61" s="186">
        <v>2</v>
      </c>
      <c r="AC61" s="187"/>
      <c r="AD61" s="186">
        <f t="shared" si="34"/>
        <v>0</v>
      </c>
      <c r="AE61" s="186">
        <f t="shared" si="35"/>
        <v>0</v>
      </c>
      <c r="AF61" s="159"/>
    </row>
    <row r="62" spans="1:32">
      <c r="A62" s="165">
        <v>51</v>
      </c>
      <c r="B62" s="166">
        <v>21</v>
      </c>
      <c r="C62" s="166"/>
      <c r="D62" s="166"/>
      <c r="E62" s="165">
        <f t="shared" si="24"/>
        <v>0.21</v>
      </c>
      <c r="F62" s="165">
        <f t="shared" si="25"/>
        <v>210</v>
      </c>
      <c r="G62" s="159"/>
      <c r="H62" s="165">
        <v>51</v>
      </c>
      <c r="I62" s="167">
        <v>21.8</v>
      </c>
      <c r="J62" s="165">
        <f t="shared" si="26"/>
        <v>0.218</v>
      </c>
      <c r="K62" s="165">
        <f t="shared" si="27"/>
        <v>218</v>
      </c>
      <c r="L62" s="159"/>
      <c r="M62" s="165">
        <v>3</v>
      </c>
      <c r="N62" s="167"/>
      <c r="O62" s="165">
        <f t="shared" si="28"/>
        <v>0</v>
      </c>
      <c r="P62" s="165">
        <f t="shared" si="29"/>
        <v>0</v>
      </c>
      <c r="Q62" s="159"/>
      <c r="R62" s="165">
        <v>3</v>
      </c>
      <c r="S62" s="167"/>
      <c r="T62" s="165">
        <f t="shared" si="30"/>
        <v>0</v>
      </c>
      <c r="U62" s="165">
        <f t="shared" si="31"/>
        <v>0</v>
      </c>
      <c r="V62" s="159"/>
      <c r="W62" s="165">
        <v>3</v>
      </c>
      <c r="X62" s="167"/>
      <c r="Y62" s="165">
        <f t="shared" si="32"/>
        <v>0</v>
      </c>
      <c r="Z62" s="165">
        <f t="shared" si="33"/>
        <v>0</v>
      </c>
      <c r="AA62" s="159"/>
      <c r="AB62" s="174">
        <v>3</v>
      </c>
      <c r="AC62" s="175"/>
      <c r="AD62" s="174">
        <f t="shared" si="34"/>
        <v>0</v>
      </c>
      <c r="AE62" s="174">
        <f t="shared" si="35"/>
        <v>0</v>
      </c>
      <c r="AF62" s="159"/>
    </row>
    <row r="63" spans="1:32">
      <c r="A63" s="165">
        <v>52</v>
      </c>
      <c r="B63" s="166">
        <v>21.2</v>
      </c>
      <c r="C63" s="166"/>
      <c r="D63" s="166"/>
      <c r="E63" s="165">
        <f t="shared" si="24"/>
        <v>0.21199999999999999</v>
      </c>
      <c r="F63" s="165">
        <f t="shared" si="25"/>
        <v>212</v>
      </c>
      <c r="G63" s="159"/>
      <c r="H63" s="165">
        <v>52</v>
      </c>
      <c r="I63" s="167">
        <v>21</v>
      </c>
      <c r="J63" s="165">
        <f t="shared" si="26"/>
        <v>0.21</v>
      </c>
      <c r="K63" s="165">
        <f t="shared" si="27"/>
        <v>210</v>
      </c>
      <c r="L63" s="159"/>
      <c r="M63" s="165">
        <v>4</v>
      </c>
      <c r="N63" s="167"/>
      <c r="O63" s="165">
        <f t="shared" si="28"/>
        <v>0</v>
      </c>
      <c r="P63" s="165">
        <f t="shared" si="29"/>
        <v>0</v>
      </c>
      <c r="Q63" s="159"/>
      <c r="R63" s="165">
        <v>4</v>
      </c>
      <c r="S63" s="167"/>
      <c r="T63" s="165">
        <f t="shared" si="30"/>
        <v>0</v>
      </c>
      <c r="U63" s="165">
        <f t="shared" si="31"/>
        <v>0</v>
      </c>
      <c r="V63" s="159"/>
      <c r="W63" s="165">
        <v>4</v>
      </c>
      <c r="X63" s="167"/>
      <c r="Y63" s="165">
        <f t="shared" si="32"/>
        <v>0</v>
      </c>
      <c r="Z63" s="165">
        <f t="shared" si="33"/>
        <v>0</v>
      </c>
      <c r="AA63" s="159"/>
      <c r="AB63" s="186">
        <v>4</v>
      </c>
      <c r="AC63" s="187"/>
      <c r="AD63" s="186">
        <f t="shared" si="34"/>
        <v>0</v>
      </c>
      <c r="AE63" s="186">
        <f t="shared" si="35"/>
        <v>0</v>
      </c>
      <c r="AF63" s="159"/>
    </row>
    <row r="64" spans="1:32">
      <c r="A64" s="165">
        <v>53</v>
      </c>
      <c r="B64" s="166">
        <v>22.4</v>
      </c>
      <c r="C64" s="166"/>
      <c r="D64" s="166"/>
      <c r="E64" s="165">
        <f t="shared" si="24"/>
        <v>0.22399999999999998</v>
      </c>
      <c r="F64" s="165">
        <f t="shared" si="25"/>
        <v>223.99999999999997</v>
      </c>
      <c r="G64" s="159"/>
      <c r="H64" s="165">
        <v>53</v>
      </c>
      <c r="I64" s="167">
        <v>23.3</v>
      </c>
      <c r="J64" s="165">
        <f t="shared" si="26"/>
        <v>0.23300000000000001</v>
      </c>
      <c r="K64" s="165">
        <f t="shared" si="27"/>
        <v>233</v>
      </c>
      <c r="L64" s="159"/>
      <c r="M64" s="165">
        <v>5</v>
      </c>
      <c r="N64" s="167"/>
      <c r="O64" s="165">
        <f t="shared" si="28"/>
        <v>0</v>
      </c>
      <c r="P64" s="165">
        <f t="shared" si="29"/>
        <v>0</v>
      </c>
      <c r="Q64" s="159"/>
      <c r="R64" s="165">
        <v>5</v>
      </c>
      <c r="S64" s="167"/>
      <c r="T64" s="165">
        <f t="shared" si="30"/>
        <v>0</v>
      </c>
      <c r="U64" s="165">
        <f t="shared" si="31"/>
        <v>0</v>
      </c>
      <c r="V64" s="159"/>
      <c r="W64" s="165">
        <v>5</v>
      </c>
      <c r="X64" s="167"/>
      <c r="Y64" s="165">
        <f t="shared" si="32"/>
        <v>0</v>
      </c>
      <c r="Z64" s="165">
        <f t="shared" si="33"/>
        <v>0</v>
      </c>
      <c r="AA64" s="159"/>
      <c r="AB64" s="174">
        <v>5</v>
      </c>
      <c r="AC64" s="175"/>
      <c r="AD64" s="174">
        <f t="shared" si="34"/>
        <v>0</v>
      </c>
      <c r="AE64" s="174">
        <f t="shared" si="35"/>
        <v>0</v>
      </c>
      <c r="AF64" s="159"/>
    </row>
    <row r="65" spans="1:32">
      <c r="A65" s="182">
        <v>54</v>
      </c>
      <c r="B65" s="183">
        <v>22.3</v>
      </c>
      <c r="C65" s="183"/>
      <c r="D65" s="183"/>
      <c r="E65" s="182">
        <f t="shared" si="24"/>
        <v>0.223</v>
      </c>
      <c r="F65" s="182">
        <f t="shared" si="25"/>
        <v>223</v>
      </c>
      <c r="G65" s="184"/>
      <c r="H65" s="182">
        <v>54</v>
      </c>
      <c r="I65" s="185">
        <v>22.2</v>
      </c>
      <c r="J65" s="182">
        <f t="shared" si="26"/>
        <v>0.222</v>
      </c>
      <c r="K65" s="182">
        <f t="shared" si="27"/>
        <v>222</v>
      </c>
      <c r="L65" s="184"/>
      <c r="M65" s="182">
        <v>6</v>
      </c>
      <c r="N65" s="185"/>
      <c r="O65" s="182">
        <f t="shared" si="28"/>
        <v>0</v>
      </c>
      <c r="P65" s="182">
        <f t="shared" si="29"/>
        <v>0</v>
      </c>
      <c r="Q65" s="184"/>
      <c r="R65" s="182">
        <v>6</v>
      </c>
      <c r="S65" s="185"/>
      <c r="T65" s="182">
        <f t="shared" si="30"/>
        <v>0</v>
      </c>
      <c r="U65" s="182">
        <f t="shared" si="31"/>
        <v>0</v>
      </c>
      <c r="V65" s="184"/>
      <c r="W65" s="182">
        <v>6</v>
      </c>
      <c r="X65" s="185"/>
      <c r="Y65" s="182">
        <f t="shared" si="32"/>
        <v>0</v>
      </c>
      <c r="Z65" s="182">
        <f t="shared" si="33"/>
        <v>0</v>
      </c>
      <c r="AA65" s="184"/>
      <c r="AB65" s="182">
        <v>6</v>
      </c>
      <c r="AC65" s="185"/>
      <c r="AD65" s="182">
        <f t="shared" si="34"/>
        <v>0</v>
      </c>
      <c r="AE65" s="182">
        <f t="shared" si="35"/>
        <v>0</v>
      </c>
      <c r="AF65" s="184"/>
    </row>
    <row r="66" spans="1:32">
      <c r="A66" s="182">
        <v>55</v>
      </c>
      <c r="B66" s="183">
        <v>22.4</v>
      </c>
      <c r="C66" s="183"/>
      <c r="D66" s="183"/>
      <c r="E66" s="182">
        <f t="shared" si="24"/>
        <v>0.22399999999999998</v>
      </c>
      <c r="F66" s="182">
        <f t="shared" si="25"/>
        <v>223.99999999999997</v>
      </c>
      <c r="G66" s="184"/>
      <c r="H66" s="182">
        <v>55</v>
      </c>
      <c r="I66" s="185">
        <v>22.5</v>
      </c>
      <c r="J66" s="182">
        <f t="shared" si="26"/>
        <v>0.22500000000000001</v>
      </c>
      <c r="K66" s="182">
        <f t="shared" si="27"/>
        <v>225</v>
      </c>
      <c r="L66" s="184"/>
      <c r="M66" s="182">
        <v>7</v>
      </c>
      <c r="N66" s="185"/>
      <c r="O66" s="182">
        <f t="shared" si="28"/>
        <v>0</v>
      </c>
      <c r="P66" s="182">
        <f t="shared" si="29"/>
        <v>0</v>
      </c>
      <c r="Q66" s="184"/>
      <c r="R66" s="182">
        <v>7</v>
      </c>
      <c r="S66" s="185"/>
      <c r="T66" s="182">
        <f t="shared" si="30"/>
        <v>0</v>
      </c>
      <c r="U66" s="182">
        <f t="shared" si="31"/>
        <v>0</v>
      </c>
      <c r="V66" s="184"/>
      <c r="W66" s="182">
        <v>7</v>
      </c>
      <c r="X66" s="185"/>
      <c r="Y66" s="182">
        <f t="shared" si="32"/>
        <v>0</v>
      </c>
      <c r="Z66" s="182">
        <f t="shared" si="33"/>
        <v>0</v>
      </c>
      <c r="AA66" s="184"/>
      <c r="AB66" s="182">
        <v>7</v>
      </c>
      <c r="AC66" s="185"/>
      <c r="AD66" s="182">
        <f t="shared" si="34"/>
        <v>0</v>
      </c>
      <c r="AE66" s="182">
        <f t="shared" si="35"/>
        <v>0</v>
      </c>
      <c r="AF66" s="184"/>
    </row>
    <row r="67" spans="1:32">
      <c r="A67" s="165">
        <v>56</v>
      </c>
      <c r="B67" s="166">
        <v>21.8</v>
      </c>
      <c r="C67" s="166"/>
      <c r="D67" s="166"/>
      <c r="E67" s="165">
        <f t="shared" si="24"/>
        <v>0.218</v>
      </c>
      <c r="F67" s="165">
        <f t="shared" si="25"/>
        <v>218</v>
      </c>
      <c r="G67" s="159"/>
      <c r="H67" s="165">
        <v>56</v>
      </c>
      <c r="I67" s="167">
        <v>22.7</v>
      </c>
      <c r="J67" s="165">
        <f t="shared" si="26"/>
        <v>0.22699999999999998</v>
      </c>
      <c r="K67" s="165">
        <f t="shared" si="27"/>
        <v>226.99999999999997</v>
      </c>
      <c r="L67" s="159"/>
      <c r="M67" s="165">
        <v>8</v>
      </c>
      <c r="N67" s="167"/>
      <c r="O67" s="165">
        <f t="shared" si="28"/>
        <v>0</v>
      </c>
      <c r="P67" s="165">
        <f t="shared" si="29"/>
        <v>0</v>
      </c>
      <c r="Q67" s="159"/>
      <c r="R67" s="165">
        <v>8</v>
      </c>
      <c r="S67" s="167"/>
      <c r="T67" s="165">
        <f t="shared" si="30"/>
        <v>0</v>
      </c>
      <c r="U67" s="165">
        <f t="shared" si="31"/>
        <v>0</v>
      </c>
      <c r="V67" s="159"/>
      <c r="W67" s="165">
        <v>8</v>
      </c>
      <c r="X67" s="167"/>
      <c r="Y67" s="165">
        <f t="shared" si="32"/>
        <v>0</v>
      </c>
      <c r="Z67" s="165">
        <f t="shared" si="33"/>
        <v>0</v>
      </c>
      <c r="AA67" s="159"/>
      <c r="AB67" s="186">
        <v>8</v>
      </c>
      <c r="AC67" s="187"/>
      <c r="AD67" s="186">
        <f t="shared" si="34"/>
        <v>0</v>
      </c>
      <c r="AE67" s="186">
        <f t="shared" si="35"/>
        <v>0</v>
      </c>
      <c r="AF67" s="159"/>
    </row>
    <row r="68" spans="1:32">
      <c r="A68" s="165">
        <v>57</v>
      </c>
      <c r="B68" s="166">
        <v>20.7</v>
      </c>
      <c r="C68" s="166"/>
      <c r="D68" s="166"/>
      <c r="E68" s="165">
        <f t="shared" si="24"/>
        <v>0.20699999999999999</v>
      </c>
      <c r="F68" s="165">
        <f t="shared" si="25"/>
        <v>207</v>
      </c>
      <c r="G68" s="159"/>
      <c r="H68" s="165">
        <v>57</v>
      </c>
      <c r="I68" s="167">
        <v>20.9</v>
      </c>
      <c r="J68" s="165">
        <f t="shared" si="26"/>
        <v>0.20899999999999999</v>
      </c>
      <c r="K68" s="165">
        <f t="shared" si="27"/>
        <v>209</v>
      </c>
      <c r="L68" s="159"/>
      <c r="M68" s="165">
        <v>9</v>
      </c>
      <c r="N68" s="167"/>
      <c r="O68" s="165">
        <f t="shared" si="28"/>
        <v>0</v>
      </c>
      <c r="P68" s="165">
        <f t="shared" si="29"/>
        <v>0</v>
      </c>
      <c r="Q68" s="159"/>
      <c r="R68" s="165">
        <v>9</v>
      </c>
      <c r="S68" s="167"/>
      <c r="T68" s="165">
        <f t="shared" si="30"/>
        <v>0</v>
      </c>
      <c r="U68" s="165">
        <f t="shared" si="31"/>
        <v>0</v>
      </c>
      <c r="V68" s="159"/>
      <c r="W68" s="165">
        <v>9</v>
      </c>
      <c r="X68" s="167"/>
      <c r="Y68" s="165">
        <f t="shared" si="32"/>
        <v>0</v>
      </c>
      <c r="Z68" s="165">
        <f t="shared" si="33"/>
        <v>0</v>
      </c>
      <c r="AA68" s="159"/>
      <c r="AB68" s="174">
        <v>9</v>
      </c>
      <c r="AC68" s="175"/>
      <c r="AD68" s="174">
        <f t="shared" si="34"/>
        <v>0</v>
      </c>
      <c r="AE68" s="174">
        <f t="shared" si="35"/>
        <v>0</v>
      </c>
      <c r="AF68" s="159"/>
    </row>
    <row r="69" spans="1:32">
      <c r="A69" s="182">
        <v>58</v>
      </c>
      <c r="B69" s="183">
        <v>21.6</v>
      </c>
      <c r="C69" s="183"/>
      <c r="D69" s="183"/>
      <c r="E69" s="182">
        <f t="shared" si="24"/>
        <v>0.21600000000000003</v>
      </c>
      <c r="F69" s="182">
        <f t="shared" si="25"/>
        <v>216.00000000000003</v>
      </c>
      <c r="G69" s="184"/>
      <c r="H69" s="182">
        <v>58</v>
      </c>
      <c r="I69" s="185">
        <v>21.4</v>
      </c>
      <c r="J69" s="182">
        <f t="shared" si="26"/>
        <v>0.214</v>
      </c>
      <c r="K69" s="182">
        <f t="shared" si="27"/>
        <v>214</v>
      </c>
      <c r="L69" s="184"/>
      <c r="M69" s="182">
        <v>10</v>
      </c>
      <c r="N69" s="185"/>
      <c r="O69" s="182">
        <f t="shared" si="28"/>
        <v>0</v>
      </c>
      <c r="P69" s="182">
        <f t="shared" si="29"/>
        <v>0</v>
      </c>
      <c r="Q69" s="184"/>
      <c r="R69" s="182">
        <v>10</v>
      </c>
      <c r="S69" s="185"/>
      <c r="T69" s="182">
        <f t="shared" si="30"/>
        <v>0</v>
      </c>
      <c r="U69" s="182">
        <f t="shared" si="31"/>
        <v>0</v>
      </c>
      <c r="V69" s="184"/>
      <c r="W69" s="182">
        <v>10</v>
      </c>
      <c r="X69" s="185"/>
      <c r="Y69" s="182">
        <f t="shared" si="32"/>
        <v>0</v>
      </c>
      <c r="Z69" s="182">
        <f t="shared" si="33"/>
        <v>0</v>
      </c>
      <c r="AA69" s="184"/>
      <c r="AB69" s="182">
        <v>10</v>
      </c>
      <c r="AC69" s="185"/>
      <c r="AD69" s="182">
        <f t="shared" si="34"/>
        <v>0</v>
      </c>
      <c r="AE69" s="182">
        <f t="shared" si="35"/>
        <v>0</v>
      </c>
      <c r="AF69" s="184"/>
    </row>
    <row r="70" spans="1:32">
      <c r="A70" s="182">
        <v>59</v>
      </c>
      <c r="B70" s="183">
        <v>21.3</v>
      </c>
      <c r="C70" s="183"/>
      <c r="D70" s="183"/>
      <c r="E70" s="182">
        <f t="shared" si="24"/>
        <v>0.21299999999999999</v>
      </c>
      <c r="F70" s="182">
        <f t="shared" si="25"/>
        <v>213</v>
      </c>
      <c r="G70" s="184"/>
      <c r="H70" s="182">
        <v>59</v>
      </c>
      <c r="I70" s="185">
        <v>21.6</v>
      </c>
      <c r="J70" s="182">
        <f t="shared" si="26"/>
        <v>0.21600000000000003</v>
      </c>
      <c r="K70" s="182">
        <f t="shared" si="27"/>
        <v>216.00000000000003</v>
      </c>
      <c r="L70" s="184"/>
      <c r="M70" s="182">
        <v>11</v>
      </c>
      <c r="N70" s="185"/>
      <c r="O70" s="182">
        <f t="shared" si="28"/>
        <v>0</v>
      </c>
      <c r="P70" s="182">
        <f t="shared" si="29"/>
        <v>0</v>
      </c>
      <c r="Q70" s="184"/>
      <c r="R70" s="182">
        <v>11</v>
      </c>
      <c r="S70" s="185"/>
      <c r="T70" s="182">
        <f t="shared" si="30"/>
        <v>0</v>
      </c>
      <c r="U70" s="182">
        <f t="shared" si="31"/>
        <v>0</v>
      </c>
      <c r="V70" s="184"/>
      <c r="W70" s="182">
        <v>11</v>
      </c>
      <c r="X70" s="185"/>
      <c r="Y70" s="182">
        <f t="shared" si="32"/>
        <v>0</v>
      </c>
      <c r="Z70" s="182">
        <f t="shared" si="33"/>
        <v>0</v>
      </c>
      <c r="AA70" s="184"/>
      <c r="AB70" s="182">
        <v>11</v>
      </c>
      <c r="AC70" s="185"/>
      <c r="AD70" s="182">
        <f t="shared" si="34"/>
        <v>0</v>
      </c>
      <c r="AE70" s="182">
        <f t="shared" si="35"/>
        <v>0</v>
      </c>
      <c r="AF70" s="184"/>
    </row>
    <row r="71" spans="1:32">
      <c r="A71" s="182">
        <v>60</v>
      </c>
      <c r="B71" s="183">
        <v>22.6</v>
      </c>
      <c r="C71" s="183"/>
      <c r="D71" s="183"/>
      <c r="E71" s="182">
        <f t="shared" si="24"/>
        <v>0.22600000000000001</v>
      </c>
      <c r="F71" s="182">
        <f t="shared" si="25"/>
        <v>226</v>
      </c>
      <c r="G71" s="184"/>
      <c r="H71" s="182">
        <v>60</v>
      </c>
      <c r="I71" s="185">
        <v>22.8</v>
      </c>
      <c r="J71" s="182">
        <f t="shared" si="26"/>
        <v>0.22800000000000001</v>
      </c>
      <c r="K71" s="182">
        <f t="shared" si="27"/>
        <v>228</v>
      </c>
      <c r="L71" s="184"/>
      <c r="M71" s="182">
        <v>12</v>
      </c>
      <c r="N71" s="185"/>
      <c r="O71" s="182">
        <f t="shared" si="28"/>
        <v>0</v>
      </c>
      <c r="P71" s="182">
        <f t="shared" si="29"/>
        <v>0</v>
      </c>
      <c r="Q71" s="184"/>
      <c r="R71" s="182">
        <v>12</v>
      </c>
      <c r="S71" s="185"/>
      <c r="T71" s="182">
        <f t="shared" si="30"/>
        <v>0</v>
      </c>
      <c r="U71" s="182">
        <f t="shared" si="31"/>
        <v>0</v>
      </c>
      <c r="V71" s="184"/>
      <c r="W71" s="182">
        <v>12</v>
      </c>
      <c r="X71" s="185"/>
      <c r="Y71" s="182">
        <f t="shared" si="32"/>
        <v>0</v>
      </c>
      <c r="Z71" s="182">
        <f t="shared" si="33"/>
        <v>0</v>
      </c>
      <c r="AA71" s="184"/>
      <c r="AB71" s="182">
        <v>12</v>
      </c>
      <c r="AC71" s="185"/>
      <c r="AD71" s="182">
        <f t="shared" si="34"/>
        <v>0</v>
      </c>
      <c r="AE71" s="182">
        <f t="shared" si="35"/>
        <v>0</v>
      </c>
      <c r="AF71" s="184"/>
    </row>
    <row r="72" spans="1:32">
      <c r="A72" s="165">
        <v>61</v>
      </c>
      <c r="B72" s="166">
        <v>49.5</v>
      </c>
      <c r="C72" s="166"/>
      <c r="D72" s="166"/>
      <c r="E72" s="165">
        <f t="shared" si="24"/>
        <v>0.495</v>
      </c>
      <c r="F72" s="165">
        <f t="shared" si="25"/>
        <v>495</v>
      </c>
      <c r="G72" s="159"/>
      <c r="H72" s="165">
        <v>61</v>
      </c>
      <c r="I72" s="167">
        <v>50.9</v>
      </c>
      <c r="J72" s="165">
        <f t="shared" si="26"/>
        <v>0.50900000000000001</v>
      </c>
      <c r="K72" s="165">
        <f t="shared" si="27"/>
        <v>509</v>
      </c>
      <c r="L72" s="159"/>
      <c r="M72" s="165">
        <v>13</v>
      </c>
      <c r="N72" s="167"/>
      <c r="O72" s="165">
        <f t="shared" si="28"/>
        <v>0</v>
      </c>
      <c r="P72" s="165">
        <f t="shared" si="29"/>
        <v>0</v>
      </c>
      <c r="Q72" s="159"/>
      <c r="R72" s="165">
        <v>13</v>
      </c>
      <c r="S72" s="167"/>
      <c r="T72" s="165">
        <f t="shared" si="30"/>
        <v>0</v>
      </c>
      <c r="U72" s="165">
        <f t="shared" si="31"/>
        <v>0</v>
      </c>
      <c r="V72" s="159"/>
      <c r="W72" s="165">
        <v>13</v>
      </c>
      <c r="X72" s="167"/>
      <c r="Y72" s="165">
        <f t="shared" si="32"/>
        <v>0</v>
      </c>
      <c r="Z72" s="165">
        <f t="shared" si="33"/>
        <v>0</v>
      </c>
      <c r="AA72" s="159"/>
      <c r="AB72" s="174">
        <v>13</v>
      </c>
      <c r="AC72" s="175"/>
      <c r="AD72" s="174">
        <f t="shared" si="34"/>
        <v>0</v>
      </c>
      <c r="AE72" s="174">
        <f t="shared" si="35"/>
        <v>0</v>
      </c>
      <c r="AF72" s="159"/>
    </row>
    <row r="73" spans="1:32">
      <c r="A73" s="182">
        <v>62</v>
      </c>
      <c r="B73" s="183">
        <v>51.6</v>
      </c>
      <c r="C73" s="183"/>
      <c r="D73" s="183"/>
      <c r="E73" s="182">
        <f t="shared" si="24"/>
        <v>0.51600000000000001</v>
      </c>
      <c r="F73" s="182">
        <f t="shared" si="25"/>
        <v>516</v>
      </c>
      <c r="G73" s="184"/>
      <c r="H73" s="182">
        <v>62</v>
      </c>
      <c r="I73" s="185">
        <v>50.3</v>
      </c>
      <c r="J73" s="182">
        <f t="shared" si="26"/>
        <v>0.503</v>
      </c>
      <c r="K73" s="182">
        <f t="shared" si="27"/>
        <v>503</v>
      </c>
      <c r="L73" s="184"/>
      <c r="M73" s="182">
        <v>14</v>
      </c>
      <c r="N73" s="185"/>
      <c r="O73" s="182">
        <f t="shared" si="28"/>
        <v>0</v>
      </c>
      <c r="P73" s="182">
        <f t="shared" si="29"/>
        <v>0</v>
      </c>
      <c r="Q73" s="184"/>
      <c r="R73" s="182">
        <v>14</v>
      </c>
      <c r="S73" s="185"/>
      <c r="T73" s="182">
        <f t="shared" si="30"/>
        <v>0</v>
      </c>
      <c r="U73" s="182">
        <f t="shared" si="31"/>
        <v>0</v>
      </c>
      <c r="V73" s="184"/>
      <c r="W73" s="182">
        <v>14</v>
      </c>
      <c r="X73" s="185"/>
      <c r="Y73" s="182">
        <f t="shared" si="32"/>
        <v>0</v>
      </c>
      <c r="Z73" s="182">
        <f t="shared" si="33"/>
        <v>0</v>
      </c>
      <c r="AA73" s="184"/>
      <c r="AB73" s="182">
        <v>14</v>
      </c>
      <c r="AC73" s="185"/>
      <c r="AD73" s="182">
        <f t="shared" si="34"/>
        <v>0</v>
      </c>
      <c r="AE73" s="182">
        <f t="shared" si="35"/>
        <v>0</v>
      </c>
      <c r="AF73" s="184"/>
    </row>
    <row r="74" spans="1:32">
      <c r="A74" s="182">
        <v>63</v>
      </c>
      <c r="B74" s="183">
        <v>50.8</v>
      </c>
      <c r="C74" s="183"/>
      <c r="D74" s="183"/>
      <c r="E74" s="182">
        <f t="shared" si="24"/>
        <v>0.50800000000000001</v>
      </c>
      <c r="F74" s="182">
        <f t="shared" si="25"/>
        <v>508</v>
      </c>
      <c r="G74" s="184"/>
      <c r="H74" s="182">
        <v>63</v>
      </c>
      <c r="I74" s="185">
        <v>50.4</v>
      </c>
      <c r="J74" s="182">
        <f t="shared" si="26"/>
        <v>0.504</v>
      </c>
      <c r="K74" s="182">
        <f t="shared" si="27"/>
        <v>504</v>
      </c>
      <c r="L74" s="184"/>
      <c r="M74" s="182">
        <v>15</v>
      </c>
      <c r="N74" s="185"/>
      <c r="O74" s="182">
        <f t="shared" si="28"/>
        <v>0</v>
      </c>
      <c r="P74" s="182">
        <f t="shared" si="29"/>
        <v>0</v>
      </c>
      <c r="Q74" s="184"/>
      <c r="R74" s="182">
        <v>15</v>
      </c>
      <c r="S74" s="185"/>
      <c r="T74" s="182">
        <f t="shared" si="30"/>
        <v>0</v>
      </c>
      <c r="U74" s="182">
        <f t="shared" si="31"/>
        <v>0</v>
      </c>
      <c r="V74" s="184"/>
      <c r="W74" s="182">
        <v>15</v>
      </c>
      <c r="X74" s="185"/>
      <c r="Y74" s="182">
        <f t="shared" si="32"/>
        <v>0</v>
      </c>
      <c r="Z74" s="182">
        <f t="shared" si="33"/>
        <v>0</v>
      </c>
      <c r="AA74" s="184"/>
      <c r="AB74" s="182">
        <v>15</v>
      </c>
      <c r="AC74" s="185"/>
      <c r="AD74" s="182">
        <f t="shared" si="34"/>
        <v>0</v>
      </c>
      <c r="AE74" s="182">
        <f t="shared" si="35"/>
        <v>0</v>
      </c>
      <c r="AF74" s="184"/>
    </row>
    <row r="75" spans="1:32">
      <c r="A75" s="182">
        <v>64</v>
      </c>
      <c r="B75" s="183">
        <v>52</v>
      </c>
      <c r="C75" s="183"/>
      <c r="D75" s="183"/>
      <c r="E75" s="182">
        <f t="shared" si="24"/>
        <v>0.52</v>
      </c>
      <c r="F75" s="182">
        <f t="shared" si="25"/>
        <v>520</v>
      </c>
      <c r="G75" s="184"/>
      <c r="H75" s="182">
        <v>64</v>
      </c>
      <c r="I75" s="185">
        <v>50.9</v>
      </c>
      <c r="J75" s="182">
        <f t="shared" si="26"/>
        <v>0.50900000000000001</v>
      </c>
      <c r="K75" s="182">
        <f t="shared" si="27"/>
        <v>509</v>
      </c>
      <c r="L75" s="184"/>
      <c r="M75" s="182">
        <v>16</v>
      </c>
      <c r="N75" s="185"/>
      <c r="O75" s="182">
        <f t="shared" si="28"/>
        <v>0</v>
      </c>
      <c r="P75" s="182">
        <f t="shared" si="29"/>
        <v>0</v>
      </c>
      <c r="Q75" s="184"/>
      <c r="R75" s="182">
        <v>16</v>
      </c>
      <c r="S75" s="185"/>
      <c r="T75" s="182">
        <f t="shared" si="30"/>
        <v>0</v>
      </c>
      <c r="U75" s="182">
        <f t="shared" si="31"/>
        <v>0</v>
      </c>
      <c r="V75" s="184"/>
      <c r="W75" s="182">
        <v>16</v>
      </c>
      <c r="X75" s="185"/>
      <c r="Y75" s="182">
        <f t="shared" si="32"/>
        <v>0</v>
      </c>
      <c r="Z75" s="182">
        <f t="shared" si="33"/>
        <v>0</v>
      </c>
      <c r="AA75" s="184"/>
      <c r="AB75" s="182">
        <v>16</v>
      </c>
      <c r="AC75" s="185"/>
      <c r="AD75" s="182">
        <f t="shared" si="34"/>
        <v>0</v>
      </c>
      <c r="AE75" s="182">
        <f t="shared" si="35"/>
        <v>0</v>
      </c>
      <c r="AF75" s="184"/>
    </row>
    <row r="76" spans="1:32">
      <c r="A76" s="182">
        <v>65</v>
      </c>
      <c r="B76" s="183">
        <v>57.2</v>
      </c>
      <c r="C76" s="183"/>
      <c r="D76" s="183"/>
      <c r="E76" s="182">
        <f t="shared" si="24"/>
        <v>0.57200000000000006</v>
      </c>
      <c r="F76" s="182">
        <f t="shared" si="25"/>
        <v>572.00000000000011</v>
      </c>
      <c r="G76" s="184"/>
      <c r="H76" s="182">
        <v>65</v>
      </c>
      <c r="I76" s="185">
        <v>57.1</v>
      </c>
      <c r="J76" s="182">
        <f t="shared" si="26"/>
        <v>0.57100000000000006</v>
      </c>
      <c r="K76" s="182">
        <f t="shared" si="27"/>
        <v>571.00000000000011</v>
      </c>
      <c r="L76" s="184"/>
      <c r="M76" s="182">
        <v>17</v>
      </c>
      <c r="N76" s="185"/>
      <c r="O76" s="182">
        <f t="shared" si="28"/>
        <v>0</v>
      </c>
      <c r="P76" s="182">
        <f t="shared" si="29"/>
        <v>0</v>
      </c>
      <c r="Q76" s="184"/>
      <c r="R76" s="182">
        <v>17</v>
      </c>
      <c r="S76" s="185"/>
      <c r="T76" s="182">
        <f t="shared" si="30"/>
        <v>0</v>
      </c>
      <c r="U76" s="182">
        <f t="shared" si="31"/>
        <v>0</v>
      </c>
      <c r="V76" s="184"/>
      <c r="W76" s="182">
        <v>17</v>
      </c>
      <c r="X76" s="185"/>
      <c r="Y76" s="182">
        <f t="shared" si="32"/>
        <v>0</v>
      </c>
      <c r="Z76" s="182">
        <f t="shared" si="33"/>
        <v>0</v>
      </c>
      <c r="AA76" s="184"/>
      <c r="AB76" s="182">
        <v>17</v>
      </c>
      <c r="AC76" s="185"/>
      <c r="AD76" s="182">
        <f t="shared" si="34"/>
        <v>0</v>
      </c>
      <c r="AE76" s="182">
        <f t="shared" si="35"/>
        <v>0</v>
      </c>
      <c r="AF76" s="184"/>
    </row>
    <row r="77" spans="1:32">
      <c r="A77" s="165">
        <v>66</v>
      </c>
      <c r="B77" s="166">
        <v>56.3</v>
      </c>
      <c r="C77" s="166"/>
      <c r="D77" s="166"/>
      <c r="E77" s="165">
        <f t="shared" si="24"/>
        <v>0.56299999999999994</v>
      </c>
      <c r="F77" s="165">
        <f t="shared" si="25"/>
        <v>563</v>
      </c>
      <c r="G77" s="159"/>
      <c r="H77" s="165">
        <v>66</v>
      </c>
      <c r="I77" s="167">
        <v>59.8</v>
      </c>
      <c r="J77" s="165">
        <f t="shared" si="26"/>
        <v>0.59799999999999998</v>
      </c>
      <c r="K77" s="165">
        <f t="shared" si="27"/>
        <v>598</v>
      </c>
      <c r="L77" s="159"/>
      <c r="M77" s="165">
        <v>18</v>
      </c>
      <c r="N77" s="167"/>
      <c r="O77" s="165">
        <f t="shared" si="28"/>
        <v>0</v>
      </c>
      <c r="P77" s="165">
        <f t="shared" si="29"/>
        <v>0</v>
      </c>
      <c r="Q77" s="159"/>
      <c r="R77" s="165">
        <v>18</v>
      </c>
      <c r="S77" s="167"/>
      <c r="T77" s="165">
        <f t="shared" si="30"/>
        <v>0</v>
      </c>
      <c r="U77" s="165">
        <f t="shared" si="31"/>
        <v>0</v>
      </c>
      <c r="V77" s="159"/>
      <c r="W77" s="165">
        <v>18</v>
      </c>
      <c r="X77" s="167"/>
      <c r="Y77" s="165">
        <f t="shared" si="32"/>
        <v>0</v>
      </c>
      <c r="Z77" s="165">
        <f t="shared" si="33"/>
        <v>0</v>
      </c>
      <c r="AA77" s="159"/>
      <c r="AB77" s="186">
        <v>18</v>
      </c>
      <c r="AC77" s="187"/>
      <c r="AD77" s="186">
        <f t="shared" si="34"/>
        <v>0</v>
      </c>
      <c r="AE77" s="186">
        <f t="shared" si="35"/>
        <v>0</v>
      </c>
      <c r="AF77" s="159"/>
    </row>
    <row r="78" spans="1:32">
      <c r="A78" s="165">
        <v>67</v>
      </c>
      <c r="B78" s="166">
        <v>44.2</v>
      </c>
      <c r="C78" s="166"/>
      <c r="D78" s="166"/>
      <c r="E78" s="165">
        <f t="shared" si="24"/>
        <v>0.442</v>
      </c>
      <c r="F78" s="165">
        <f t="shared" si="25"/>
        <v>442</v>
      </c>
      <c r="G78" s="159"/>
      <c r="H78" s="165">
        <v>67</v>
      </c>
      <c r="I78" s="167">
        <v>44.7</v>
      </c>
      <c r="J78" s="165">
        <f t="shared" si="26"/>
        <v>0.44700000000000001</v>
      </c>
      <c r="K78" s="165">
        <f t="shared" si="27"/>
        <v>447</v>
      </c>
      <c r="L78" s="159"/>
      <c r="M78" s="165">
        <v>19</v>
      </c>
      <c r="N78" s="167"/>
      <c r="O78" s="165">
        <f t="shared" si="28"/>
        <v>0</v>
      </c>
      <c r="P78" s="165">
        <f t="shared" si="29"/>
        <v>0</v>
      </c>
      <c r="Q78" s="159"/>
      <c r="R78" s="165">
        <v>19</v>
      </c>
      <c r="S78" s="167"/>
      <c r="T78" s="165">
        <f t="shared" si="30"/>
        <v>0</v>
      </c>
      <c r="U78" s="165">
        <f t="shared" si="31"/>
        <v>0</v>
      </c>
      <c r="V78" s="159"/>
      <c r="W78" s="165">
        <v>19</v>
      </c>
      <c r="X78" s="167"/>
      <c r="Y78" s="165">
        <f t="shared" si="32"/>
        <v>0</v>
      </c>
      <c r="Z78" s="165">
        <f t="shared" si="33"/>
        <v>0</v>
      </c>
      <c r="AA78" s="159"/>
      <c r="AB78" s="174">
        <v>19</v>
      </c>
      <c r="AC78" s="175"/>
      <c r="AD78" s="174">
        <f t="shared" si="34"/>
        <v>0</v>
      </c>
      <c r="AE78" s="174">
        <f t="shared" si="35"/>
        <v>0</v>
      </c>
      <c r="AF78" s="159"/>
    </row>
    <row r="79" spans="1:32">
      <c r="A79" s="165">
        <v>68</v>
      </c>
      <c r="B79" s="166">
        <v>53.7</v>
      </c>
      <c r="C79" s="166"/>
      <c r="D79" s="166"/>
      <c r="E79" s="165">
        <f t="shared" si="24"/>
        <v>0.53700000000000003</v>
      </c>
      <c r="F79" s="165">
        <f t="shared" si="25"/>
        <v>537</v>
      </c>
      <c r="G79" s="159"/>
      <c r="H79" s="165">
        <v>68</v>
      </c>
      <c r="I79" s="167">
        <v>54.1</v>
      </c>
      <c r="J79" s="165">
        <f t="shared" si="26"/>
        <v>0.54100000000000004</v>
      </c>
      <c r="K79" s="165">
        <f t="shared" si="27"/>
        <v>541</v>
      </c>
      <c r="L79" s="159"/>
      <c r="M79" s="165">
        <v>20</v>
      </c>
      <c r="N79" s="167"/>
      <c r="O79" s="165">
        <f t="shared" si="28"/>
        <v>0</v>
      </c>
      <c r="P79" s="165">
        <f t="shared" si="29"/>
        <v>0</v>
      </c>
      <c r="Q79" s="159"/>
      <c r="R79" s="165">
        <v>20</v>
      </c>
      <c r="S79" s="167"/>
      <c r="T79" s="165">
        <f t="shared" si="30"/>
        <v>0</v>
      </c>
      <c r="U79" s="165">
        <f t="shared" si="31"/>
        <v>0</v>
      </c>
      <c r="V79" s="159"/>
      <c r="W79" s="165">
        <v>20</v>
      </c>
      <c r="X79" s="167"/>
      <c r="Y79" s="165">
        <f t="shared" si="32"/>
        <v>0</v>
      </c>
      <c r="Z79" s="165">
        <f t="shared" si="33"/>
        <v>0</v>
      </c>
      <c r="AA79" s="159"/>
      <c r="AB79" s="186">
        <v>20</v>
      </c>
      <c r="AC79" s="187"/>
      <c r="AD79" s="186">
        <f t="shared" si="34"/>
        <v>0</v>
      </c>
      <c r="AE79" s="186">
        <f t="shared" si="35"/>
        <v>0</v>
      </c>
      <c r="AF79" s="159"/>
    </row>
    <row r="80" spans="1:32">
      <c r="A80" s="182">
        <v>69</v>
      </c>
      <c r="B80" s="183">
        <v>51.8</v>
      </c>
      <c r="C80" s="183"/>
      <c r="D80" s="183"/>
      <c r="E80" s="182">
        <f t="shared" si="24"/>
        <v>0.51800000000000002</v>
      </c>
      <c r="F80" s="182">
        <f t="shared" si="25"/>
        <v>518</v>
      </c>
      <c r="G80" s="184"/>
      <c r="H80" s="182">
        <v>69</v>
      </c>
      <c r="I80" s="185">
        <v>50.9</v>
      </c>
      <c r="J80" s="182">
        <f t="shared" si="26"/>
        <v>0.50900000000000001</v>
      </c>
      <c r="K80" s="182">
        <f t="shared" si="27"/>
        <v>509</v>
      </c>
      <c r="L80" s="184"/>
      <c r="M80" s="182">
        <v>21</v>
      </c>
      <c r="N80" s="185"/>
      <c r="O80" s="182">
        <f t="shared" si="28"/>
        <v>0</v>
      </c>
      <c r="P80" s="182">
        <f t="shared" si="29"/>
        <v>0</v>
      </c>
      <c r="Q80" s="184"/>
      <c r="R80" s="182">
        <v>21</v>
      </c>
      <c r="S80" s="185"/>
      <c r="T80" s="182">
        <f t="shared" si="30"/>
        <v>0</v>
      </c>
      <c r="U80" s="182">
        <f t="shared" si="31"/>
        <v>0</v>
      </c>
      <c r="V80" s="184"/>
      <c r="W80" s="182">
        <v>21</v>
      </c>
      <c r="X80" s="185"/>
      <c r="Y80" s="182">
        <f t="shared" si="32"/>
        <v>0</v>
      </c>
      <c r="Z80" s="182">
        <f t="shared" si="33"/>
        <v>0</v>
      </c>
      <c r="AA80" s="184"/>
      <c r="AB80" s="182">
        <v>21</v>
      </c>
      <c r="AC80" s="185"/>
      <c r="AD80" s="182">
        <f t="shared" si="34"/>
        <v>0</v>
      </c>
      <c r="AE80" s="182">
        <f t="shared" si="35"/>
        <v>0</v>
      </c>
      <c r="AF80" s="184"/>
    </row>
    <row r="81" spans="1:32">
      <c r="A81" s="165">
        <v>70</v>
      </c>
      <c r="B81" s="166">
        <v>46.5</v>
      </c>
      <c r="C81" s="166"/>
      <c r="D81" s="166"/>
      <c r="E81" s="165">
        <f t="shared" si="24"/>
        <v>0.46500000000000002</v>
      </c>
      <c r="F81" s="165">
        <f t="shared" si="25"/>
        <v>465</v>
      </c>
      <c r="G81" s="159"/>
      <c r="H81" s="165">
        <v>70</v>
      </c>
      <c r="I81" s="167">
        <v>46.6</v>
      </c>
      <c r="J81" s="165">
        <f t="shared" si="26"/>
        <v>0.46600000000000003</v>
      </c>
      <c r="K81" s="165">
        <f t="shared" si="27"/>
        <v>466</v>
      </c>
      <c r="L81" s="159"/>
      <c r="M81" s="165">
        <v>22</v>
      </c>
      <c r="N81" s="167"/>
      <c r="O81" s="165">
        <f t="shared" si="28"/>
        <v>0</v>
      </c>
      <c r="P81" s="165">
        <f t="shared" si="29"/>
        <v>0</v>
      </c>
      <c r="Q81" s="159"/>
      <c r="R81" s="165">
        <v>22</v>
      </c>
      <c r="S81" s="167"/>
      <c r="T81" s="165">
        <f t="shared" si="30"/>
        <v>0</v>
      </c>
      <c r="U81" s="165">
        <f t="shared" si="31"/>
        <v>0</v>
      </c>
      <c r="V81" s="159"/>
      <c r="W81" s="165">
        <v>22</v>
      </c>
      <c r="X81" s="167"/>
      <c r="Y81" s="165">
        <f t="shared" si="32"/>
        <v>0</v>
      </c>
      <c r="Z81" s="165">
        <f t="shared" si="33"/>
        <v>0</v>
      </c>
      <c r="AA81" s="159"/>
      <c r="AB81" s="186">
        <v>22</v>
      </c>
      <c r="AC81" s="187"/>
      <c r="AD81" s="186">
        <f t="shared" si="34"/>
        <v>0</v>
      </c>
      <c r="AE81" s="186">
        <f t="shared" si="35"/>
        <v>0</v>
      </c>
      <c r="AF81" s="159"/>
    </row>
    <row r="82" spans="1:32">
      <c r="A82" s="182">
        <v>71</v>
      </c>
      <c r="B82" s="183">
        <v>57.8</v>
      </c>
      <c r="C82" s="183"/>
      <c r="D82" s="183"/>
      <c r="E82" s="182">
        <f t="shared" si="24"/>
        <v>0.57799999999999996</v>
      </c>
      <c r="F82" s="182">
        <f t="shared" si="25"/>
        <v>578</v>
      </c>
      <c r="G82" s="184"/>
      <c r="H82" s="182">
        <v>71</v>
      </c>
      <c r="I82" s="185">
        <v>58.8</v>
      </c>
      <c r="J82" s="182">
        <f t="shared" si="26"/>
        <v>0.58799999999999997</v>
      </c>
      <c r="K82" s="182">
        <f t="shared" si="27"/>
        <v>588</v>
      </c>
      <c r="L82" s="184"/>
      <c r="M82" s="182">
        <v>23</v>
      </c>
      <c r="N82" s="185"/>
      <c r="O82" s="182">
        <f t="shared" si="28"/>
        <v>0</v>
      </c>
      <c r="P82" s="182">
        <f t="shared" si="29"/>
        <v>0</v>
      </c>
      <c r="Q82" s="184"/>
      <c r="R82" s="182">
        <v>23</v>
      </c>
      <c r="S82" s="185"/>
      <c r="T82" s="182">
        <f t="shared" si="30"/>
        <v>0</v>
      </c>
      <c r="U82" s="182">
        <f t="shared" si="31"/>
        <v>0</v>
      </c>
      <c r="V82" s="184"/>
      <c r="W82" s="182">
        <v>23</v>
      </c>
      <c r="X82" s="185"/>
      <c r="Y82" s="182">
        <f t="shared" si="32"/>
        <v>0</v>
      </c>
      <c r="Z82" s="182">
        <f t="shared" si="33"/>
        <v>0</v>
      </c>
      <c r="AA82" s="184"/>
      <c r="AB82" s="182">
        <v>23</v>
      </c>
      <c r="AC82" s="185"/>
      <c r="AD82" s="182">
        <f t="shared" si="34"/>
        <v>0</v>
      </c>
      <c r="AE82" s="182">
        <f t="shared" si="35"/>
        <v>0</v>
      </c>
      <c r="AF82" s="184"/>
    </row>
    <row r="83" spans="1:32">
      <c r="A83" s="165"/>
      <c r="B83" s="166"/>
      <c r="C83" s="166"/>
      <c r="D83" s="166"/>
      <c r="E83" s="165"/>
      <c r="F83" s="165"/>
      <c r="G83" s="159"/>
      <c r="H83" s="165"/>
      <c r="I83" s="167"/>
      <c r="J83" s="165"/>
      <c r="K83" s="165"/>
      <c r="L83" s="159"/>
      <c r="M83" s="165"/>
      <c r="N83" s="167"/>
      <c r="O83" s="165"/>
      <c r="P83" s="165"/>
      <c r="Q83" s="159"/>
      <c r="R83" s="165"/>
      <c r="S83" s="167"/>
      <c r="T83" s="165"/>
      <c r="U83" s="165"/>
      <c r="V83" s="159"/>
      <c r="W83" s="165"/>
      <c r="X83" s="167"/>
      <c r="Y83" s="165"/>
      <c r="Z83" s="165"/>
      <c r="AA83" s="159"/>
      <c r="AB83" s="186"/>
      <c r="AC83" s="187"/>
      <c r="AD83" s="186"/>
      <c r="AE83" s="186"/>
      <c r="AF83" s="159"/>
    </row>
    <row r="84" spans="1:32">
      <c r="A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</row>
    <row r="85" spans="1:32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</row>
    <row r="86" spans="1:32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</row>
    <row r="87" spans="1:32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</row>
    <row r="88" spans="1:32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</row>
    <row r="89" spans="1:32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</row>
    <row r="90" spans="1:32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</row>
    <row r="91" spans="1:32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</row>
    <row r="92" spans="1:3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</row>
    <row r="93" spans="1:32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</row>
    <row r="94" spans="1:32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</row>
    <row r="95" spans="1:32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</row>
    <row r="96" spans="1:32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</row>
    <row r="97" spans="1:32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</row>
    <row r="98" spans="1:32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</row>
    <row r="99" spans="1:32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</row>
    <row r="100" spans="1:32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</row>
    <row r="101" spans="1:32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</row>
    <row r="102" spans="1:3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</row>
    <row r="103" spans="1:32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</row>
    <row r="104" spans="1:32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</row>
    <row r="105" spans="1:32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</row>
    <row r="106" spans="1:32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</row>
    <row r="107" spans="1:32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</row>
    <row r="108" spans="1:32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</row>
    <row r="109" spans="1:32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</row>
    <row r="110" spans="1:32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</row>
    <row r="111" spans="1:32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</row>
    <row r="112" spans="1:3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</row>
    <row r="113" spans="1:32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</row>
    <row r="114" spans="1:32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</row>
    <row r="115" spans="1:32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</row>
    <row r="116" spans="1:32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</row>
    <row r="119" spans="1:32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</row>
    <row r="120" spans="1:32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</row>
    <row r="121" spans="1:32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</row>
    <row r="122" spans="1:3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</row>
    <row r="123" spans="1:32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</row>
    <row r="124" spans="1:32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</row>
    <row r="125" spans="1:32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</row>
    <row r="126" spans="1:32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</row>
    <row r="127" spans="1:32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</row>
    <row r="128" spans="1:32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</row>
    <row r="129" spans="1:32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</row>
    <row r="130" spans="1:32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</row>
    <row r="131" spans="1:32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</row>
    <row r="132" spans="1: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</row>
    <row r="133" spans="1:32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</row>
    <row r="134" spans="1:32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</row>
    <row r="135" spans="1:32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</row>
    <row r="136" spans="1:32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</row>
    <row r="137" spans="1:32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</row>
    <row r="138" spans="1:32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</row>
    <row r="139" spans="1:32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</row>
    <row r="140" spans="1:32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</row>
    <row r="141" spans="1:32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</row>
    <row r="142" spans="1:3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</row>
    <row r="143" spans="1:32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</row>
    <row r="144" spans="1:32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</row>
    <row r="145" spans="1:32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</row>
    <row r="146" spans="1:32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</row>
    <row r="147" spans="1:32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</row>
    <row r="148" spans="1:32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</row>
    <row r="149" spans="1:32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</row>
    <row r="150" spans="1:32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</row>
    <row r="151" spans="1:32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</row>
    <row r="152" spans="1:3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</row>
    <row r="153" spans="1:32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</row>
    <row r="154" spans="1:32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</row>
    <row r="155" spans="1:32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</row>
    <row r="156" spans="1:32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</row>
    <row r="157" spans="1:32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</row>
    <row r="158" spans="1:32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</row>
    <row r="159" spans="1:32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</row>
    <row r="160" spans="1:32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</row>
    <row r="161" spans="1:32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</row>
    <row r="162" spans="1:3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</row>
    <row r="163" spans="1:32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</row>
    <row r="164" spans="1:32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</row>
    <row r="165" spans="1:32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</row>
    <row r="166" spans="1:32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</row>
    <row r="167" spans="1:32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</row>
    <row r="168" spans="1:32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</row>
    <row r="169" spans="1:32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</row>
    <row r="170" spans="1:32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</row>
    <row r="171" spans="1:32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</row>
    <row r="172" spans="1:3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</row>
    <row r="173" spans="1:32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</row>
    <row r="174" spans="1:32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</row>
    <row r="175" spans="1:32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</row>
    <row r="176" spans="1:32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</row>
    <row r="177" spans="1:32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</row>
    <row r="178" spans="1:32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</row>
    <row r="179" spans="1:32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</row>
    <row r="180" spans="1:32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</row>
    <row r="181" spans="1:32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</row>
    <row r="182" spans="1:3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</row>
    <row r="183" spans="1:32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</row>
    <row r="184" spans="1:32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</row>
    <row r="185" spans="1:32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</row>
    <row r="186" spans="1:32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</row>
    <row r="187" spans="1:32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</row>
    <row r="188" spans="1:32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</row>
    <row r="189" spans="1:32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</row>
    <row r="190" spans="1:32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</row>
    <row r="191" spans="1:32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</row>
    <row r="192" spans="1:3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</row>
    <row r="193" spans="1:32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</row>
    <row r="194" spans="1:32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</row>
    <row r="195" spans="1:32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</row>
    <row r="196" spans="1:32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</row>
    <row r="197" spans="1:32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</row>
    <row r="198" spans="1:32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</row>
    <row r="199" spans="1:32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</row>
    <row r="200" spans="1:32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</row>
    <row r="201" spans="1:32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</row>
    <row r="202" spans="1:3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</row>
    <row r="203" spans="1:32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</row>
    <row r="204" spans="1:32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</row>
    <row r="205" spans="1:32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</row>
    <row r="206" spans="1:32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</row>
    <row r="207" spans="1:32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</row>
    <row r="208" spans="1:32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</row>
    <row r="209" spans="1:32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</row>
    <row r="210" spans="1:32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</row>
    <row r="211" spans="1:32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</row>
    <row r="212" spans="1:3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</row>
    <row r="213" spans="1:32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</row>
    <row r="214" spans="1:32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</row>
    <row r="215" spans="1:32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</row>
    <row r="216" spans="1:32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</row>
    <row r="217" spans="1:32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</row>
    <row r="218" spans="1:32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</row>
    <row r="219" spans="1:32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</row>
    <row r="220" spans="1:32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</row>
    <row r="221" spans="1:32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</row>
    <row r="222" spans="1:3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</row>
    <row r="223" spans="1:32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</row>
    <row r="224" spans="1:32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</row>
    <row r="225" spans="1:32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</row>
    <row r="226" spans="1:32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</row>
    <row r="227" spans="1:32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</row>
    <row r="228" spans="1:32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</row>
    <row r="229" spans="1:32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</row>
    <row r="230" spans="1:32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</row>
    <row r="231" spans="1:32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</row>
    <row r="232" spans="1: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</row>
    <row r="233" spans="1:32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</row>
    <row r="234" spans="1:32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</row>
    <row r="235" spans="1:32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</row>
    <row r="236" spans="1:32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</row>
    <row r="237" spans="1:32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</row>
    <row r="238" spans="1:32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</row>
    <row r="239" spans="1:32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</row>
    <row r="240" spans="1:32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</row>
    <row r="241" spans="1:32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</row>
    <row r="242" spans="1:3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</row>
    <row r="243" spans="1:32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</row>
    <row r="244" spans="1:32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</row>
    <row r="245" spans="1:32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</row>
    <row r="246" spans="1:32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</row>
    <row r="247" spans="1:32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</row>
    <row r="248" spans="1:32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</row>
    <row r="249" spans="1:32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</row>
    <row r="250" spans="1:32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</row>
    <row r="251" spans="1:32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</row>
    <row r="252" spans="1:3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</row>
    <row r="253" spans="1:32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</row>
    <row r="254" spans="1:32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</row>
    <row r="255" spans="1:32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</row>
    <row r="256" spans="1:32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</row>
    <row r="257" spans="1:32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</row>
    <row r="258" spans="1:32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</row>
    <row r="259" spans="1:32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</row>
    <row r="260" spans="1:32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</row>
    <row r="261" spans="1:32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</row>
    <row r="262" spans="1:3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</row>
    <row r="263" spans="1:32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</row>
    <row r="264" spans="1:32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</row>
    <row r="265" spans="1:32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</row>
    <row r="266" spans="1:32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</row>
    <row r="267" spans="1:32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</row>
    <row r="268" spans="1:32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</row>
    <row r="269" spans="1:32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</row>
    <row r="270" spans="1:32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</row>
    <row r="271" spans="1:32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</row>
    <row r="272" spans="1:3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</row>
    <row r="273" spans="1:32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</row>
    <row r="274" spans="1:32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</row>
    <row r="275" spans="1:32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</row>
    <row r="276" spans="1:32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</row>
    <row r="277" spans="1:32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</row>
    <row r="278" spans="1:32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</row>
    <row r="279" spans="1:32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</row>
    <row r="280" spans="1:32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</row>
    <row r="281" spans="1:32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</row>
    <row r="282" spans="1:3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</row>
    <row r="283" spans="1:32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</row>
    <row r="284" spans="1:32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</row>
    <row r="285" spans="1:32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</row>
    <row r="286" spans="1:32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</row>
    <row r="287" spans="1:32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</row>
    <row r="288" spans="1:32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</row>
    <row r="289" spans="1:32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</row>
    <row r="290" spans="1:32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</row>
    <row r="291" spans="1:32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</row>
    <row r="292" spans="1:3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</row>
    <row r="293" spans="1:32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</row>
    <row r="294" spans="1:32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</row>
    <row r="295" spans="1:32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</row>
    <row r="296" spans="1:32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</row>
    <row r="297" spans="1:32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</row>
    <row r="298" spans="1:32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</row>
    <row r="299" spans="1:32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</row>
    <row r="300" spans="1:32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</row>
    <row r="301" spans="1:32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</row>
    <row r="302" spans="1:3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</row>
    <row r="303" spans="1:32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</row>
    <row r="304" spans="1:32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</row>
    <row r="305" spans="1:32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</row>
    <row r="306" spans="1:32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</row>
    <row r="307" spans="1:32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</row>
    <row r="308" spans="1:32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</row>
    <row r="309" spans="1:32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</row>
    <row r="310" spans="1:32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</row>
    <row r="311" spans="1:32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</row>
    <row r="312" spans="1:3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</row>
    <row r="313" spans="1:32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</row>
    <row r="314" spans="1:32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</row>
    <row r="315" spans="1:32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</row>
    <row r="316" spans="1:32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</row>
    <row r="317" spans="1:32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</row>
    <row r="318" spans="1:32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</row>
    <row r="319" spans="1:32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</row>
    <row r="320" spans="1:32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</row>
    <row r="321" spans="1:32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</row>
    <row r="322" spans="1:3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</row>
    <row r="323" spans="1:32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</row>
    <row r="324" spans="1:32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</row>
    <row r="325" spans="1:32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</row>
    <row r="326" spans="1:32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</row>
    <row r="327" spans="1:32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</row>
    <row r="328" spans="1:32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</row>
    <row r="329" spans="1:32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</row>
    <row r="330" spans="1:32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</row>
    <row r="331" spans="1:32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</row>
    <row r="332" spans="1: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</row>
    <row r="333" spans="1:32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</row>
    <row r="334" spans="1:32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</row>
    <row r="335" spans="1:32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</row>
    <row r="336" spans="1:32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</row>
    <row r="337" spans="1:32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</row>
    <row r="338" spans="1:32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</row>
    <row r="339" spans="1:32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</row>
    <row r="340" spans="1:32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</row>
    <row r="341" spans="1:32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</row>
    <row r="342" spans="1:3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</row>
    <row r="343" spans="1:32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</row>
    <row r="344" spans="1:32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</row>
    <row r="345" spans="1:32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</row>
    <row r="346" spans="1:32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</row>
    <row r="347" spans="1:32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</row>
    <row r="348" spans="1:32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</row>
    <row r="349" spans="1:32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</row>
    <row r="350" spans="1:32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</row>
    <row r="351" spans="1:32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</row>
    <row r="352" spans="1:3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</row>
    <row r="353" spans="1:32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</row>
    <row r="354" spans="1:32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</row>
    <row r="355" spans="1:32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</row>
    <row r="356" spans="1:32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</row>
    <row r="357" spans="1:32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</row>
    <row r="358" spans="1:32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</row>
    <row r="359" spans="1:32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</row>
    <row r="360" spans="1:32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</row>
    <row r="361" spans="1:32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</row>
    <row r="362" spans="1:3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</row>
    <row r="363" spans="1:32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</row>
    <row r="364" spans="1:32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</row>
    <row r="365" spans="1:32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</row>
    <row r="366" spans="1:32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</row>
    <row r="367" spans="1:32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</row>
    <row r="368" spans="1:32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</row>
    <row r="369" spans="1:32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</row>
    <row r="370" spans="1:32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</row>
    <row r="371" spans="1:32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</row>
    <row r="372" spans="1:3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</row>
    <row r="373" spans="1:32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</row>
    <row r="374" spans="1:32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</row>
    <row r="375" spans="1:32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</row>
    <row r="376" spans="1:32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</row>
    <row r="377" spans="1:32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</row>
    <row r="378" spans="1:32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</row>
    <row r="379" spans="1:32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</row>
    <row r="380" spans="1:32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</row>
    <row r="381" spans="1:32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</row>
    <row r="382" spans="1:3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</row>
    <row r="383" spans="1:32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</row>
    <row r="384" spans="1:32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</row>
    <row r="385" spans="1:32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</row>
    <row r="386" spans="1:32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</row>
    <row r="387" spans="1:32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</row>
    <row r="388" spans="1:32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</row>
    <row r="389" spans="1:32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</row>
    <row r="390" spans="1:32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</row>
    <row r="391" spans="1:32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</row>
    <row r="392" spans="1:3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</row>
    <row r="393" spans="1:32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</row>
    <row r="394" spans="1:32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</row>
    <row r="395" spans="1:32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</row>
    <row r="396" spans="1:32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</row>
    <row r="397" spans="1:32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</row>
    <row r="398" spans="1:32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</row>
    <row r="399" spans="1:32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</row>
    <row r="400" spans="1:32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</row>
    <row r="401" spans="1:32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</row>
    <row r="402" spans="1:3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</row>
    <row r="403" spans="1:32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</row>
    <row r="404" spans="1:32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</row>
    <row r="405" spans="1:32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</row>
    <row r="406" spans="1:32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</row>
    <row r="407" spans="1:32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</row>
    <row r="408" spans="1:32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</row>
    <row r="409" spans="1:32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</row>
    <row r="410" spans="1:32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</row>
    <row r="411" spans="1:32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</row>
    <row r="412" spans="1:3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</row>
    <row r="413" spans="1:32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</row>
    <row r="414" spans="1:32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</row>
    <row r="415" spans="1:32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</row>
    <row r="416" spans="1:32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</row>
    <row r="417" spans="1:32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</row>
    <row r="418" spans="1:32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</row>
    <row r="419" spans="1:32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</row>
    <row r="420" spans="1:32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</row>
    <row r="421" spans="1:32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</row>
    <row r="422" spans="1:3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</row>
    <row r="423" spans="1:32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</row>
    <row r="424" spans="1:32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</row>
    <row r="425" spans="1:32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</row>
    <row r="426" spans="1:32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</row>
    <row r="427" spans="1:32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</row>
    <row r="428" spans="1:32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</row>
    <row r="429" spans="1:32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</row>
    <row r="430" spans="1:32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</row>
    <row r="431" spans="1:32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</row>
    <row r="432" spans="1: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</row>
    <row r="433" spans="1:32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</row>
    <row r="434" spans="1:32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</row>
    <row r="435" spans="1:32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</row>
    <row r="436" spans="1:32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</row>
    <row r="437" spans="1:32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</row>
    <row r="438" spans="1:32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</row>
    <row r="439" spans="1:32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</row>
    <row r="440" spans="1:32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</row>
    <row r="441" spans="1:32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</row>
    <row r="442" spans="1:3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</row>
    <row r="443" spans="1:32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</row>
    <row r="444" spans="1:32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</row>
    <row r="445" spans="1:32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</row>
    <row r="446" spans="1:32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</row>
    <row r="447" spans="1:32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</row>
    <row r="448" spans="1:32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</row>
    <row r="449" spans="1:32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</row>
    <row r="450" spans="1:32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</row>
    <row r="451" spans="1:32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</row>
    <row r="452" spans="1:3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</row>
    <row r="453" spans="1:32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</row>
    <row r="454" spans="1:32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</row>
    <row r="455" spans="1:32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</row>
    <row r="456" spans="1:32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</row>
    <row r="457" spans="1:32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</row>
    <row r="458" spans="1:32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</row>
    <row r="459" spans="1:32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</row>
    <row r="460" spans="1:32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</row>
    <row r="461" spans="1:32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</row>
    <row r="462" spans="1:3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</row>
    <row r="463" spans="1:32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</row>
    <row r="464" spans="1:32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</row>
    <row r="465" spans="1:32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</row>
    <row r="466" spans="1:32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</row>
    <row r="467" spans="1:32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</row>
    <row r="468" spans="1:32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</row>
    <row r="469" spans="1:32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</row>
    <row r="470" spans="1:32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</row>
    <row r="471" spans="1:32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</row>
    <row r="472" spans="1:3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</row>
    <row r="473" spans="1:32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</row>
    <row r="474" spans="1:32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</row>
    <row r="475" spans="1:32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</row>
    <row r="476" spans="1:32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</row>
    <row r="477" spans="1:32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</row>
    <row r="478" spans="1:32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</row>
    <row r="479" spans="1:32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</row>
    <row r="480" spans="1:32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</row>
    <row r="481" spans="1:32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</row>
    <row r="482" spans="1:3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</row>
    <row r="483" spans="1:32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</row>
    <row r="484" spans="1:32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</row>
    <row r="485" spans="1:32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</row>
    <row r="486" spans="1:32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</row>
    <row r="487" spans="1:32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</row>
    <row r="488" spans="1:32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</row>
    <row r="489" spans="1:32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</row>
    <row r="490" spans="1:32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</row>
    <row r="491" spans="1:32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</row>
    <row r="492" spans="1:3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</row>
    <row r="493" spans="1:32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</row>
    <row r="494" spans="1:32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</row>
    <row r="495" spans="1:32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</row>
    <row r="496" spans="1:32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</row>
    <row r="497" spans="1:32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</row>
    <row r="498" spans="1:32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</row>
    <row r="499" spans="1:32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</row>
    <row r="500" spans="1:32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</row>
    <row r="501" spans="1:32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</row>
    <row r="502" spans="1:3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</row>
    <row r="503" spans="1:32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</row>
    <row r="504" spans="1:32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</row>
    <row r="505" spans="1:32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</row>
    <row r="506" spans="1:32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</row>
    <row r="507" spans="1:32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</row>
    <row r="508" spans="1:32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</row>
    <row r="509" spans="1:32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</row>
    <row r="510" spans="1:32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</row>
    <row r="511" spans="1:32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</row>
    <row r="512" spans="1:3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</row>
    <row r="513" spans="1:32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</row>
    <row r="514" spans="1:32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</row>
    <row r="515" spans="1:32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</row>
    <row r="516" spans="1:32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</row>
    <row r="517" spans="1:32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</row>
    <row r="518" spans="1:32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</row>
    <row r="519" spans="1:32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</row>
    <row r="520" spans="1:32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</row>
    <row r="521" spans="1:32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</row>
    <row r="522" spans="1:3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</row>
    <row r="523" spans="1:32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</row>
    <row r="524" spans="1:32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</row>
    <row r="525" spans="1:32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</row>
    <row r="526" spans="1:32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</row>
    <row r="527" spans="1:32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</row>
    <row r="528" spans="1:32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</row>
    <row r="529" spans="1:32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</row>
    <row r="530" spans="1:32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</row>
    <row r="531" spans="1:32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</row>
    <row r="532" spans="1: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</row>
    <row r="533" spans="1:32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</row>
    <row r="534" spans="1:32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</row>
    <row r="535" spans="1:32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</row>
    <row r="536" spans="1:32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</row>
    <row r="537" spans="1:32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</row>
    <row r="538" spans="1:32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</row>
    <row r="539" spans="1:32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</row>
    <row r="540" spans="1:32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</row>
    <row r="541" spans="1:32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</row>
    <row r="542" spans="1:3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</row>
    <row r="543" spans="1:32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</row>
    <row r="544" spans="1:32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</row>
    <row r="545" spans="1:32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</row>
    <row r="546" spans="1:32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</row>
    <row r="547" spans="1:32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</row>
    <row r="548" spans="1:32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</row>
    <row r="549" spans="1:32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</row>
    <row r="550" spans="1:32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</row>
    <row r="551" spans="1:32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</row>
    <row r="552" spans="1:3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</row>
    <row r="553" spans="1:32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</row>
    <row r="554" spans="1:32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</row>
    <row r="555" spans="1:32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</row>
    <row r="556" spans="1:32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</row>
    <row r="557" spans="1:32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</row>
    <row r="558" spans="1:32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</row>
    <row r="559" spans="1:32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</row>
    <row r="560" spans="1:32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</row>
    <row r="561" spans="1:32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</row>
    <row r="562" spans="1:3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</row>
    <row r="563" spans="1:32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</row>
    <row r="564" spans="1:32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</row>
    <row r="565" spans="1:32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</row>
    <row r="566" spans="1:32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</row>
    <row r="567" spans="1:32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</row>
    <row r="568" spans="1:32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</row>
    <row r="569" spans="1:32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</row>
    <row r="570" spans="1:32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</row>
    <row r="571" spans="1:32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</row>
    <row r="572" spans="1:3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</row>
    <row r="573" spans="1:32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</row>
    <row r="574" spans="1:32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</row>
    <row r="575" spans="1:32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</row>
    <row r="576" spans="1:32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</row>
    <row r="577" spans="1:32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</row>
    <row r="578" spans="1:32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</row>
    <row r="579" spans="1:32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</row>
    <row r="580" spans="1:32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</row>
    <row r="581" spans="1:32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</row>
    <row r="582" spans="1:3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</row>
    <row r="583" spans="1:32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</row>
    <row r="584" spans="1:32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</row>
    <row r="585" spans="1:32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</row>
    <row r="586" spans="1:32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</row>
    <row r="587" spans="1:32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</row>
    <row r="588" spans="1:32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</row>
    <row r="589" spans="1:32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</row>
    <row r="590" spans="1:32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</row>
    <row r="591" spans="1:32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</row>
    <row r="592" spans="1:3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</row>
    <row r="593" spans="1:32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</row>
    <row r="594" spans="1:32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</row>
    <row r="595" spans="1:32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</row>
    <row r="596" spans="1:32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</row>
    <row r="597" spans="1:32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</row>
    <row r="598" spans="1:32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</row>
    <row r="599" spans="1:32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</row>
    <row r="600" spans="1:32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</row>
    <row r="601" spans="1:32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</row>
    <row r="602" spans="1:3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</row>
    <row r="603" spans="1:32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</row>
    <row r="604" spans="1:32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</row>
    <row r="605" spans="1:32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</row>
    <row r="606" spans="1:32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</row>
    <row r="607" spans="1:32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</row>
    <row r="608" spans="1:32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</row>
    <row r="609" spans="1:32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</row>
    <row r="610" spans="1:32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</row>
    <row r="611" spans="1:32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</row>
    <row r="612" spans="1:3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</row>
    <row r="613" spans="1:32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</row>
    <row r="614" spans="1:32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</row>
    <row r="615" spans="1:32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</row>
    <row r="616" spans="1:32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</row>
    <row r="617" spans="1:32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</row>
    <row r="618" spans="1:32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</row>
    <row r="619" spans="1:32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</row>
    <row r="620" spans="1:32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</row>
    <row r="621" spans="1:32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</row>
    <row r="622" spans="1:3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</row>
    <row r="623" spans="1:32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</row>
    <row r="624" spans="1:32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</row>
    <row r="625" spans="1:32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</row>
    <row r="626" spans="1:32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</row>
    <row r="627" spans="1:32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</row>
    <row r="628" spans="1:32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</row>
    <row r="629" spans="1:32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</row>
    <row r="630" spans="1:32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</row>
    <row r="631" spans="1:32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</row>
    <row r="632" spans="1: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</row>
    <row r="633" spans="1:32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</row>
    <row r="634" spans="1:32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</row>
    <row r="635" spans="1:32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</row>
    <row r="636" spans="1:32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</row>
    <row r="637" spans="1:32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</row>
    <row r="638" spans="1:32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</row>
    <row r="639" spans="1:32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</row>
    <row r="640" spans="1:32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</row>
    <row r="641" spans="1:32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</row>
    <row r="642" spans="1:3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</row>
    <row r="643" spans="1:32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</row>
    <row r="644" spans="1:32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</row>
    <row r="645" spans="1:32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</row>
    <row r="646" spans="1:32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</row>
    <row r="647" spans="1:32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</row>
    <row r="648" spans="1:32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</row>
    <row r="649" spans="1:32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</row>
    <row r="650" spans="1:32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</row>
    <row r="651" spans="1:32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</row>
    <row r="652" spans="1:3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</row>
    <row r="653" spans="1:32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</row>
    <row r="654" spans="1:32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</row>
    <row r="655" spans="1:32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</row>
    <row r="656" spans="1:32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</row>
    <row r="657" spans="1:32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</row>
    <row r="658" spans="1:32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</row>
    <row r="659" spans="1:32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</row>
    <row r="660" spans="1:32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</row>
    <row r="661" spans="1:32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</row>
    <row r="662" spans="1:3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</row>
    <row r="663" spans="1:32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</row>
    <row r="664" spans="1:32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</row>
    <row r="665" spans="1:32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</row>
    <row r="666" spans="1:32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</row>
    <row r="667" spans="1:32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</row>
    <row r="668" spans="1:32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</row>
    <row r="669" spans="1:32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</row>
    <row r="670" spans="1:32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</row>
    <row r="671" spans="1:32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</row>
    <row r="672" spans="1:3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</row>
    <row r="673" spans="1:32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</row>
    <row r="674" spans="1:32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</row>
    <row r="675" spans="1:32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</row>
    <row r="676" spans="1:32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</row>
    <row r="677" spans="1:32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</row>
    <row r="678" spans="1:32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</row>
    <row r="679" spans="1:32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</row>
    <row r="680" spans="1:32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</row>
    <row r="681" spans="1:32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</row>
    <row r="682" spans="1:3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</row>
    <row r="683" spans="1:32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</row>
    <row r="684" spans="1:32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</row>
    <row r="685" spans="1:32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</row>
    <row r="686" spans="1:32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</row>
    <row r="687" spans="1:32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</row>
    <row r="688" spans="1:32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</row>
    <row r="689" spans="1:32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</row>
    <row r="690" spans="1:32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</row>
    <row r="691" spans="1:32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</row>
    <row r="692" spans="1:3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</row>
    <row r="693" spans="1:32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</row>
    <row r="694" spans="1:32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</row>
    <row r="695" spans="1:32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</row>
    <row r="696" spans="1:32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</row>
    <row r="697" spans="1:32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</row>
    <row r="698" spans="1:32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</row>
    <row r="699" spans="1:32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</row>
    <row r="700" spans="1:32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</row>
    <row r="701" spans="1:32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</row>
    <row r="702" spans="1:3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</row>
    <row r="703" spans="1:32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</row>
    <row r="704" spans="1:32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</row>
    <row r="705" spans="1:32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</row>
    <row r="706" spans="1:32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</row>
    <row r="707" spans="1:32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</row>
    <row r="708" spans="1:32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</row>
    <row r="709" spans="1:32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</row>
    <row r="710" spans="1:32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</row>
    <row r="711" spans="1:32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</row>
    <row r="712" spans="1:3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</row>
    <row r="713" spans="1:32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</row>
    <row r="714" spans="1:32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</row>
    <row r="715" spans="1:32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</row>
    <row r="716" spans="1:32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</row>
    <row r="717" spans="1:32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</row>
    <row r="718" spans="1:32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</row>
    <row r="719" spans="1:32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</row>
    <row r="720" spans="1:32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</row>
    <row r="721" spans="1:32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</row>
    <row r="722" spans="1:3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</row>
    <row r="723" spans="1:32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</row>
    <row r="724" spans="1:32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</row>
    <row r="725" spans="1:32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</row>
    <row r="726" spans="1:32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</row>
    <row r="727" spans="1:32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</row>
    <row r="728" spans="1:32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</row>
    <row r="729" spans="1:32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</row>
    <row r="730" spans="1:32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</row>
    <row r="731" spans="1:32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</row>
    <row r="732" spans="1: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</row>
    <row r="733" spans="1:32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</row>
    <row r="734" spans="1:32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</row>
    <row r="735" spans="1:32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</row>
    <row r="736" spans="1:32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</row>
    <row r="737" spans="1:32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</row>
    <row r="738" spans="1:32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</row>
    <row r="739" spans="1:32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</row>
    <row r="740" spans="1:32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</row>
    <row r="741" spans="1:32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</row>
    <row r="742" spans="1:3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</row>
    <row r="743" spans="1:32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</row>
    <row r="744" spans="1:32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</row>
    <row r="745" spans="1:32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</row>
    <row r="746" spans="1:32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</row>
    <row r="747" spans="1:32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</row>
    <row r="748" spans="1:32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</row>
    <row r="749" spans="1:32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</row>
    <row r="750" spans="1:32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</row>
    <row r="751" spans="1:32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</row>
    <row r="752" spans="1:3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</row>
    <row r="753" spans="1:32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</row>
    <row r="754" spans="1:32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</row>
    <row r="755" spans="1:32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</row>
    <row r="756" spans="1:32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</row>
    <row r="757" spans="1:32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</row>
    <row r="758" spans="1:32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</row>
    <row r="759" spans="1:32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</row>
    <row r="760" spans="1:32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</row>
    <row r="761" spans="1:32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</row>
    <row r="762" spans="1:3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</row>
    <row r="763" spans="1:32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</row>
    <row r="764" spans="1:32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</row>
    <row r="765" spans="1:32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</row>
    <row r="766" spans="1:32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</row>
    <row r="767" spans="1:32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</row>
    <row r="768" spans="1:32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</row>
    <row r="769" spans="1:32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</row>
    <row r="770" spans="1:32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</row>
    <row r="771" spans="1:32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</row>
    <row r="772" spans="1:3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</row>
    <row r="773" spans="1:32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</row>
    <row r="774" spans="1:32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</row>
    <row r="775" spans="1:32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</row>
    <row r="776" spans="1:32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</row>
    <row r="777" spans="1:32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</row>
    <row r="778" spans="1:32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</row>
    <row r="779" spans="1:32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</row>
    <row r="780" spans="1:32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</row>
    <row r="781" spans="1:32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</row>
    <row r="782" spans="1:3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</row>
    <row r="783" spans="1:32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</row>
    <row r="784" spans="1:32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</row>
    <row r="785" spans="1:32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</row>
    <row r="786" spans="1:32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</row>
    <row r="787" spans="1:32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</row>
    <row r="788" spans="1:32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</row>
    <row r="789" spans="1:32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</row>
    <row r="790" spans="1:32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</row>
    <row r="791" spans="1:32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</row>
    <row r="792" spans="1:3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</row>
    <row r="793" spans="1:32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</row>
    <row r="794" spans="1:32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</row>
    <row r="795" spans="1:32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</row>
    <row r="796" spans="1:32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</row>
    <row r="797" spans="1:32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</row>
    <row r="798" spans="1:32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</row>
    <row r="799" spans="1:32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</row>
    <row r="800" spans="1:32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</row>
    <row r="801" spans="1:32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</row>
    <row r="802" spans="1:3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</row>
    <row r="803" spans="1:32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</row>
    <row r="804" spans="1:32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</row>
    <row r="805" spans="1:32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</row>
    <row r="806" spans="1:32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</row>
    <row r="807" spans="1:32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</row>
    <row r="808" spans="1:32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</row>
    <row r="809" spans="1:32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</row>
    <row r="810" spans="1:32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</row>
    <row r="811" spans="1:32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</row>
    <row r="812" spans="1:3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</row>
    <row r="813" spans="1:32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</row>
    <row r="814" spans="1:32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</row>
    <row r="815" spans="1:32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</row>
    <row r="816" spans="1:32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</row>
    <row r="817" spans="1:32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</row>
    <row r="818" spans="1:32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</row>
    <row r="819" spans="1:32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</row>
    <row r="820" spans="1:32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</row>
    <row r="821" spans="1:32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</row>
    <row r="822" spans="1:3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</row>
    <row r="823" spans="1:32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</row>
    <row r="824" spans="1:32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</row>
    <row r="825" spans="1:32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</row>
    <row r="826" spans="1:32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</row>
    <row r="827" spans="1:32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</row>
    <row r="828" spans="1:32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</row>
    <row r="829" spans="1:32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</row>
    <row r="830" spans="1:32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</row>
    <row r="831" spans="1:32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</row>
    <row r="832" spans="1: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</row>
    <row r="833" spans="1:32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</row>
    <row r="834" spans="1:32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</row>
    <row r="835" spans="1:32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</row>
    <row r="836" spans="1:32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</row>
    <row r="837" spans="1:32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</row>
    <row r="838" spans="1:32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</row>
    <row r="839" spans="1:32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</row>
    <row r="840" spans="1:32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</row>
    <row r="841" spans="1:32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</row>
    <row r="842" spans="1:3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</row>
    <row r="843" spans="1:32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</row>
    <row r="844" spans="1:32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</row>
    <row r="845" spans="1:32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</row>
    <row r="846" spans="1:32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</row>
    <row r="847" spans="1:32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</row>
    <row r="848" spans="1:32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</row>
    <row r="849" spans="1:32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</row>
    <row r="850" spans="1:32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</row>
    <row r="851" spans="1:32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</row>
    <row r="852" spans="1:3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</row>
    <row r="853" spans="1:32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</row>
    <row r="854" spans="1:32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</row>
    <row r="855" spans="1:32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</row>
    <row r="856" spans="1:32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</row>
    <row r="857" spans="1:32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</row>
    <row r="858" spans="1:32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</row>
    <row r="859" spans="1:32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</row>
    <row r="860" spans="1:32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</row>
    <row r="861" spans="1:32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</row>
    <row r="862" spans="1:3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</row>
    <row r="863" spans="1:32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</row>
    <row r="864" spans="1:32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</row>
    <row r="865" spans="1:32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</row>
    <row r="866" spans="1:32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</row>
    <row r="867" spans="1:32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</row>
    <row r="868" spans="1:32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</row>
    <row r="869" spans="1:32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</row>
    <row r="870" spans="1:32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</row>
    <row r="871" spans="1:32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</row>
    <row r="872" spans="1:3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</row>
    <row r="873" spans="1:32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</row>
    <row r="874" spans="1:32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</row>
    <row r="875" spans="1:32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</row>
    <row r="876" spans="1:32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</row>
    <row r="877" spans="1:32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</row>
    <row r="878" spans="1:32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</row>
    <row r="879" spans="1:32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</row>
    <row r="880" spans="1:32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</row>
    <row r="881" spans="1:32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</row>
    <row r="882" spans="1:3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</row>
    <row r="883" spans="1:32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</row>
    <row r="884" spans="1:32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</row>
    <row r="885" spans="1:32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</row>
    <row r="886" spans="1:32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</row>
    <row r="887" spans="1:32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</row>
    <row r="888" spans="1:32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</row>
    <row r="889" spans="1:32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</row>
    <row r="890" spans="1:32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</row>
    <row r="891" spans="1:32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</row>
    <row r="892" spans="1:3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</row>
    <row r="893" spans="1:32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</row>
    <row r="894" spans="1:32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</row>
    <row r="895" spans="1:32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</row>
    <row r="896" spans="1:32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</row>
    <row r="897" spans="1:32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</row>
    <row r="898" spans="1:32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</row>
    <row r="899" spans="1:32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</row>
    <row r="900" spans="1:32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</row>
    <row r="901" spans="1:32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</row>
    <row r="902" spans="1:3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</row>
    <row r="903" spans="1:32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</row>
    <row r="904" spans="1:32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</row>
    <row r="905" spans="1:32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</row>
    <row r="906" spans="1:32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</row>
    <row r="907" spans="1:32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</row>
    <row r="908" spans="1:32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</row>
    <row r="909" spans="1:32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</row>
    <row r="910" spans="1:32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</row>
    <row r="911" spans="1:32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</row>
    <row r="912" spans="1:3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</row>
    <row r="913" spans="1:32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</row>
    <row r="914" spans="1:32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</row>
    <row r="915" spans="1:32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</row>
    <row r="916" spans="1:32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</row>
    <row r="917" spans="1:32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</row>
    <row r="918" spans="1:32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</row>
    <row r="919" spans="1:32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</row>
    <row r="920" spans="1:32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</row>
    <row r="921" spans="1:32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</row>
    <row r="922" spans="1:3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</row>
    <row r="923" spans="1:32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</row>
    <row r="924" spans="1:32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</row>
    <row r="925" spans="1:32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</row>
    <row r="926" spans="1:32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</row>
    <row r="927" spans="1:32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</row>
    <row r="928" spans="1:32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</row>
    <row r="929" spans="1:32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</row>
    <row r="930" spans="1:32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</row>
    <row r="931" spans="1:32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</row>
    <row r="932" spans="1: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</row>
    <row r="933" spans="1:32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</row>
    <row r="934" spans="1:32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</row>
    <row r="935" spans="1:32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</row>
    <row r="936" spans="1:32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</row>
    <row r="937" spans="1:32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</row>
    <row r="938" spans="1:32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</row>
    <row r="939" spans="1:32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</row>
    <row r="940" spans="1:32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</row>
    <row r="941" spans="1:32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</row>
    <row r="942" spans="1:3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</row>
    <row r="943" spans="1:32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</row>
    <row r="944" spans="1:32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</row>
    <row r="945" spans="1:32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</row>
    <row r="946" spans="1:32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</row>
    <row r="947" spans="1:32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</row>
    <row r="948" spans="1:32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</row>
    <row r="949" spans="1:32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</row>
    <row r="950" spans="1:32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</row>
    <row r="951" spans="1:32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</row>
    <row r="952" spans="1:3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</row>
    <row r="953" spans="1:32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</row>
    <row r="954" spans="1:32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</row>
    <row r="955" spans="1:32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</row>
    <row r="956" spans="1:32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</row>
    <row r="957" spans="1:32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</row>
    <row r="958" spans="1:32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</row>
    <row r="959" spans="1:32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</row>
    <row r="960" spans="1:32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</row>
    <row r="961" spans="1:32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</row>
    <row r="962" spans="1:3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</row>
    <row r="963" spans="1:32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</row>
    <row r="964" spans="1:32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</row>
    <row r="965" spans="1:32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</row>
    <row r="966" spans="1:32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</row>
    <row r="967" spans="1:32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</row>
    <row r="968" spans="1:32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</row>
    <row r="969" spans="1:32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</row>
    <row r="970" spans="1:32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</row>
    <row r="971" spans="1:32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</row>
    <row r="972" spans="1:3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</row>
    <row r="973" spans="1:32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</row>
    <row r="974" spans="1:32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</row>
    <row r="975" spans="1:32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</row>
    <row r="976" spans="1:32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</row>
    <row r="977" spans="1:32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</row>
    <row r="978" spans="1:32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</row>
    <row r="979" spans="1:32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</row>
    <row r="980" spans="1:32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</row>
    <row r="981" spans="1:32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</row>
    <row r="982" spans="1:3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</row>
    <row r="983" spans="1:32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</row>
    <row r="984" spans="1:32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</row>
    <row r="985" spans="1:32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</row>
    <row r="986" spans="1:32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</row>
    <row r="987" spans="1:32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</row>
    <row r="988" spans="1:32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</row>
    <row r="989" spans="1:32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</row>
    <row r="990" spans="1:32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</row>
    <row r="991" spans="1:32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</row>
    <row r="992" spans="1:3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</row>
    <row r="993" spans="1:32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</row>
    <row r="994" spans="1:32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</row>
    <row r="995" spans="1:32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</row>
    <row r="996" spans="1:32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</row>
    <row r="997" spans="1:32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</row>
    <row r="998" spans="1:32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</row>
    <row r="999" spans="1:32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</row>
    <row r="1000" spans="1:32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</row>
    <row r="1001" spans="1:32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</row>
  </sheetData>
  <mergeCells count="16">
    <mergeCell ref="A1:F1"/>
    <mergeCell ref="G1:I1"/>
    <mergeCell ref="A2:F2"/>
    <mergeCell ref="G2:I2"/>
    <mergeCell ref="A3:F3"/>
    <mergeCell ref="H3:K3"/>
    <mergeCell ref="R3:U3"/>
    <mergeCell ref="W3:Z3"/>
    <mergeCell ref="AB3:AE3"/>
    <mergeCell ref="A58:F58"/>
    <mergeCell ref="H58:K58"/>
    <mergeCell ref="M58:P58"/>
    <mergeCell ref="R58:U58"/>
    <mergeCell ref="W58:Z58"/>
    <mergeCell ref="AB58:AE58"/>
    <mergeCell ref="M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01"/>
  <sheetViews>
    <sheetView workbookViewId="0"/>
  </sheetViews>
  <sheetFormatPr baseColWidth="10" defaultColWidth="14.5" defaultRowHeight="15" customHeight="1"/>
  <cols>
    <col min="1" max="35" width="8.6640625" customWidth="1"/>
  </cols>
  <sheetData>
    <row r="1" spans="1:35">
      <c r="A1" s="291" t="s">
        <v>297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188"/>
      <c r="AB1" s="292"/>
      <c r="AC1" s="264"/>
      <c r="AD1" s="264"/>
      <c r="AE1" s="264"/>
      <c r="AF1" s="189"/>
    </row>
    <row r="2" spans="1:35">
      <c r="A2" s="293" t="s">
        <v>298</v>
      </c>
      <c r="B2" s="296" t="s">
        <v>299</v>
      </c>
      <c r="C2" s="294" t="s">
        <v>300</v>
      </c>
      <c r="D2" s="229"/>
      <c r="E2" s="229"/>
      <c r="F2" s="229"/>
      <c r="G2" s="230"/>
      <c r="H2" s="295" t="s">
        <v>301</v>
      </c>
      <c r="I2" s="229"/>
      <c r="J2" s="229"/>
      <c r="K2" s="229"/>
      <c r="L2" s="230"/>
      <c r="M2" s="299" t="s">
        <v>302</v>
      </c>
      <c r="N2" s="229"/>
      <c r="O2" s="229"/>
      <c r="P2" s="229"/>
      <c r="Q2" s="230"/>
      <c r="R2" s="300" t="s">
        <v>303</v>
      </c>
      <c r="S2" s="229"/>
      <c r="T2" s="229"/>
      <c r="U2" s="229"/>
      <c r="V2" s="230"/>
      <c r="W2" s="297" t="s">
        <v>304</v>
      </c>
      <c r="X2" s="229"/>
      <c r="Y2" s="229"/>
      <c r="Z2" s="229"/>
      <c r="AA2" s="230"/>
      <c r="AB2" s="298" t="s">
        <v>293</v>
      </c>
      <c r="AC2" s="229"/>
      <c r="AD2" s="229"/>
      <c r="AE2" s="230"/>
      <c r="AF2" s="296" t="s">
        <v>305</v>
      </c>
    </row>
    <row r="3" spans="1:35">
      <c r="A3" s="235"/>
      <c r="B3" s="235"/>
      <c r="C3" s="190" t="s">
        <v>306</v>
      </c>
      <c r="D3" s="190" t="s">
        <v>307</v>
      </c>
      <c r="E3" s="190" t="s">
        <v>308</v>
      </c>
      <c r="F3" s="190" t="s">
        <v>309</v>
      </c>
      <c r="G3" s="190" t="s">
        <v>310</v>
      </c>
      <c r="H3" s="191" t="s">
        <v>306</v>
      </c>
      <c r="I3" s="191" t="s">
        <v>307</v>
      </c>
      <c r="J3" s="191" t="s">
        <v>308</v>
      </c>
      <c r="K3" s="191" t="s">
        <v>309</v>
      </c>
      <c r="L3" s="191" t="s">
        <v>310</v>
      </c>
      <c r="M3" s="192" t="s">
        <v>306</v>
      </c>
      <c r="N3" s="192" t="s">
        <v>307</v>
      </c>
      <c r="O3" s="192" t="s">
        <v>308</v>
      </c>
      <c r="P3" s="192" t="s">
        <v>309</v>
      </c>
      <c r="Q3" s="192" t="s">
        <v>310</v>
      </c>
      <c r="R3" s="193" t="s">
        <v>306</v>
      </c>
      <c r="S3" s="193" t="s">
        <v>307</v>
      </c>
      <c r="T3" s="193" t="s">
        <v>308</v>
      </c>
      <c r="U3" s="193" t="s">
        <v>309</v>
      </c>
      <c r="V3" s="193" t="s">
        <v>310</v>
      </c>
      <c r="W3" s="194" t="s">
        <v>306</v>
      </c>
      <c r="X3" s="194" t="s">
        <v>307</v>
      </c>
      <c r="Y3" s="194" t="s">
        <v>308</v>
      </c>
      <c r="Z3" s="194" t="s">
        <v>309</v>
      </c>
      <c r="AA3" s="194" t="s">
        <v>310</v>
      </c>
      <c r="AB3" s="195" t="s">
        <v>306</v>
      </c>
      <c r="AC3" s="195" t="s">
        <v>307</v>
      </c>
      <c r="AD3" s="195" t="s">
        <v>308</v>
      </c>
      <c r="AE3" s="195" t="s">
        <v>309</v>
      </c>
      <c r="AF3" s="235"/>
      <c r="AG3" s="196"/>
      <c r="AH3" s="196"/>
      <c r="AI3" s="196"/>
    </row>
    <row r="4" spans="1:35">
      <c r="A4" s="197" t="s">
        <v>311</v>
      </c>
      <c r="B4" s="198">
        <v>44627</v>
      </c>
      <c r="C4" s="199" t="s">
        <v>312</v>
      </c>
      <c r="D4" s="199" t="s">
        <v>312</v>
      </c>
      <c r="E4" s="199" t="s">
        <v>312</v>
      </c>
      <c r="F4" s="199" t="s">
        <v>312</v>
      </c>
      <c r="G4" s="199" t="s">
        <v>312</v>
      </c>
      <c r="H4" s="199" t="s">
        <v>312</v>
      </c>
      <c r="I4" s="199" t="s">
        <v>312</v>
      </c>
      <c r="J4" s="199" t="s">
        <v>312</v>
      </c>
      <c r="K4" s="199" t="s">
        <v>312</v>
      </c>
      <c r="L4" s="199" t="s">
        <v>312</v>
      </c>
      <c r="M4" s="199" t="s">
        <v>312</v>
      </c>
      <c r="N4" s="199" t="s">
        <v>312</v>
      </c>
      <c r="O4" s="199" t="s">
        <v>312</v>
      </c>
      <c r="P4" s="199" t="s">
        <v>312</v>
      </c>
      <c r="Q4" s="199" t="s">
        <v>312</v>
      </c>
      <c r="R4" s="199" t="s">
        <v>312</v>
      </c>
      <c r="S4" s="199" t="s">
        <v>312</v>
      </c>
      <c r="T4" s="199" t="s">
        <v>312</v>
      </c>
      <c r="U4" s="199" t="s">
        <v>312</v>
      </c>
      <c r="V4" s="199" t="s">
        <v>312</v>
      </c>
      <c r="W4" s="199" t="s">
        <v>312</v>
      </c>
      <c r="X4" s="199" t="s">
        <v>312</v>
      </c>
      <c r="Y4" s="199" t="s">
        <v>312</v>
      </c>
      <c r="Z4" s="199" t="s">
        <v>312</v>
      </c>
      <c r="AA4" s="199" t="s">
        <v>312</v>
      </c>
      <c r="AB4" s="199" t="s">
        <v>312</v>
      </c>
      <c r="AC4" s="199" t="s">
        <v>312</v>
      </c>
      <c r="AD4" s="199" t="s">
        <v>312</v>
      </c>
      <c r="AE4" s="199" t="s">
        <v>312</v>
      </c>
      <c r="AF4" s="200">
        <v>44663</v>
      </c>
    </row>
    <row r="5" spans="1:35">
      <c r="A5" s="201" t="s">
        <v>51</v>
      </c>
      <c r="B5" s="202">
        <v>44627</v>
      </c>
      <c r="C5" s="203" t="s">
        <v>312</v>
      </c>
      <c r="D5" s="203" t="s">
        <v>312</v>
      </c>
      <c r="E5" s="203" t="s">
        <v>312</v>
      </c>
      <c r="F5" s="203" t="s">
        <v>312</v>
      </c>
      <c r="G5" s="203" t="s">
        <v>312</v>
      </c>
      <c r="H5" s="203" t="s">
        <v>312</v>
      </c>
      <c r="I5" s="203" t="s">
        <v>312</v>
      </c>
      <c r="J5" s="203" t="s">
        <v>312</v>
      </c>
      <c r="K5" s="203" t="s">
        <v>312</v>
      </c>
      <c r="L5" s="203" t="s">
        <v>312</v>
      </c>
      <c r="M5" s="203" t="s">
        <v>312</v>
      </c>
      <c r="N5" s="203" t="s">
        <v>312</v>
      </c>
      <c r="O5" s="203" t="s">
        <v>312</v>
      </c>
      <c r="P5" s="203" t="s">
        <v>312</v>
      </c>
      <c r="Q5" s="203" t="s">
        <v>312</v>
      </c>
      <c r="R5" s="203" t="s">
        <v>312</v>
      </c>
      <c r="S5" s="199" t="s">
        <v>312</v>
      </c>
      <c r="T5" s="204" t="s">
        <v>312</v>
      </c>
      <c r="U5" s="204" t="s">
        <v>312</v>
      </c>
      <c r="V5" s="204" t="s">
        <v>312</v>
      </c>
      <c r="W5" s="203" t="s">
        <v>312</v>
      </c>
      <c r="X5" s="203" t="s">
        <v>312</v>
      </c>
      <c r="Y5" s="203" t="s">
        <v>312</v>
      </c>
      <c r="Z5" s="203" t="s">
        <v>312</v>
      </c>
      <c r="AA5" s="203" t="s">
        <v>312</v>
      </c>
      <c r="AB5" s="203" t="s">
        <v>312</v>
      </c>
      <c r="AC5" s="203" t="s">
        <v>312</v>
      </c>
      <c r="AD5" s="203" t="s">
        <v>312</v>
      </c>
      <c r="AE5" s="203" t="s">
        <v>312</v>
      </c>
      <c r="AF5" s="205">
        <v>44662</v>
      </c>
    </row>
    <row r="7" spans="1:35">
      <c r="A7" s="291" t="s">
        <v>313</v>
      </c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188"/>
      <c r="AB7" s="292"/>
      <c r="AC7" s="264"/>
      <c r="AD7" s="264"/>
      <c r="AE7" s="264"/>
    </row>
    <row r="8" spans="1:35">
      <c r="A8" s="293" t="s">
        <v>298</v>
      </c>
      <c r="B8" s="296" t="s">
        <v>299</v>
      </c>
      <c r="C8" s="294" t="s">
        <v>300</v>
      </c>
      <c r="D8" s="229"/>
      <c r="E8" s="229"/>
      <c r="F8" s="229"/>
      <c r="G8" s="230"/>
      <c r="H8" s="295" t="s">
        <v>301</v>
      </c>
      <c r="I8" s="229"/>
      <c r="J8" s="229"/>
      <c r="K8" s="229"/>
      <c r="L8" s="230"/>
      <c r="M8" s="299" t="s">
        <v>302</v>
      </c>
      <c r="N8" s="229"/>
      <c r="O8" s="229"/>
      <c r="P8" s="229"/>
      <c r="Q8" s="230"/>
      <c r="R8" s="300" t="s">
        <v>303</v>
      </c>
      <c r="S8" s="229"/>
      <c r="T8" s="229"/>
      <c r="U8" s="229"/>
      <c r="V8" s="230"/>
      <c r="W8" s="297" t="s">
        <v>304</v>
      </c>
      <c r="X8" s="229"/>
      <c r="Y8" s="229"/>
      <c r="Z8" s="229"/>
      <c r="AA8" s="230"/>
      <c r="AB8" s="298" t="s">
        <v>314</v>
      </c>
      <c r="AC8" s="229"/>
      <c r="AD8" s="229"/>
      <c r="AE8" s="229"/>
      <c r="AF8" s="230"/>
      <c r="AG8" s="296" t="s">
        <v>305</v>
      </c>
    </row>
    <row r="9" spans="1:35">
      <c r="A9" s="235"/>
      <c r="B9" s="235"/>
      <c r="C9" s="190" t="s">
        <v>306</v>
      </c>
      <c r="D9" s="190" t="s">
        <v>307</v>
      </c>
      <c r="E9" s="190" t="s">
        <v>308</v>
      </c>
      <c r="F9" s="190" t="s">
        <v>309</v>
      </c>
      <c r="G9" s="190" t="s">
        <v>310</v>
      </c>
      <c r="H9" s="191" t="s">
        <v>306</v>
      </c>
      <c r="I9" s="191" t="s">
        <v>307</v>
      </c>
      <c r="J9" s="191" t="s">
        <v>308</v>
      </c>
      <c r="K9" s="191" t="s">
        <v>309</v>
      </c>
      <c r="L9" s="191" t="s">
        <v>310</v>
      </c>
      <c r="M9" s="192" t="s">
        <v>306</v>
      </c>
      <c r="N9" s="192" t="s">
        <v>307</v>
      </c>
      <c r="O9" s="192" t="s">
        <v>308</v>
      </c>
      <c r="P9" s="192" t="s">
        <v>309</v>
      </c>
      <c r="Q9" s="192" t="s">
        <v>310</v>
      </c>
      <c r="R9" s="193" t="s">
        <v>306</v>
      </c>
      <c r="S9" s="193" t="s">
        <v>307</v>
      </c>
      <c r="T9" s="193" t="s">
        <v>308</v>
      </c>
      <c r="U9" s="193" t="s">
        <v>309</v>
      </c>
      <c r="V9" s="193" t="s">
        <v>310</v>
      </c>
      <c r="W9" s="194" t="s">
        <v>306</v>
      </c>
      <c r="X9" s="194" t="s">
        <v>307</v>
      </c>
      <c r="Y9" s="194" t="s">
        <v>308</v>
      </c>
      <c r="Z9" s="194" t="s">
        <v>309</v>
      </c>
      <c r="AA9" s="194" t="s">
        <v>310</v>
      </c>
      <c r="AB9" s="206" t="s">
        <v>306</v>
      </c>
      <c r="AC9" s="206" t="s">
        <v>307</v>
      </c>
      <c r="AD9" s="206" t="s">
        <v>308</v>
      </c>
      <c r="AE9" s="206" t="s">
        <v>309</v>
      </c>
      <c r="AF9" s="206" t="s">
        <v>310</v>
      </c>
      <c r="AG9" s="235"/>
    </row>
    <row r="10" spans="1:35">
      <c r="A10" s="197" t="s">
        <v>311</v>
      </c>
      <c r="B10" s="290">
        <v>44677</v>
      </c>
      <c r="C10" s="199" t="s">
        <v>312</v>
      </c>
      <c r="D10" s="199" t="s">
        <v>312</v>
      </c>
      <c r="E10" s="199" t="s">
        <v>312</v>
      </c>
      <c r="F10" s="199" t="s">
        <v>312</v>
      </c>
      <c r="G10" s="199" t="s">
        <v>312</v>
      </c>
      <c r="H10" s="199" t="s">
        <v>312</v>
      </c>
      <c r="I10" s="199" t="s">
        <v>312</v>
      </c>
      <c r="J10" s="199" t="s">
        <v>312</v>
      </c>
      <c r="K10" s="199" t="s">
        <v>312</v>
      </c>
      <c r="L10" s="199" t="s">
        <v>312</v>
      </c>
      <c r="M10" s="199" t="s">
        <v>312</v>
      </c>
      <c r="N10" s="199" t="s">
        <v>312</v>
      </c>
      <c r="O10" s="199" t="s">
        <v>312</v>
      </c>
      <c r="P10" s="199" t="s">
        <v>312</v>
      </c>
      <c r="Q10" s="199" t="s">
        <v>312</v>
      </c>
      <c r="R10" s="199" t="s">
        <v>312</v>
      </c>
      <c r="S10" s="199" t="s">
        <v>312</v>
      </c>
      <c r="T10" s="199" t="s">
        <v>312</v>
      </c>
      <c r="U10" s="199" t="s">
        <v>312</v>
      </c>
      <c r="V10" s="199" t="s">
        <v>312</v>
      </c>
      <c r="W10" s="199" t="s">
        <v>312</v>
      </c>
      <c r="X10" s="199" t="s">
        <v>312</v>
      </c>
      <c r="Y10" s="199" t="s">
        <v>312</v>
      </c>
      <c r="Z10" s="199" t="s">
        <v>312</v>
      </c>
      <c r="AA10" s="199" t="s">
        <v>312</v>
      </c>
      <c r="AB10" s="199" t="s">
        <v>312</v>
      </c>
      <c r="AC10" s="199" t="s">
        <v>312</v>
      </c>
      <c r="AD10" s="199" t="s">
        <v>312</v>
      </c>
      <c r="AE10" s="199" t="s">
        <v>312</v>
      </c>
      <c r="AF10" s="199" t="s">
        <v>312</v>
      </c>
      <c r="AG10" s="200">
        <v>44713</v>
      </c>
    </row>
    <row r="11" spans="1:35">
      <c r="A11" s="201" t="s">
        <v>51</v>
      </c>
      <c r="B11" s="235"/>
      <c r="C11" s="203" t="s">
        <v>312</v>
      </c>
      <c r="D11" s="203" t="s">
        <v>312</v>
      </c>
      <c r="E11" s="203" t="s">
        <v>312</v>
      </c>
      <c r="F11" s="203" t="s">
        <v>312</v>
      </c>
      <c r="G11" s="203" t="s">
        <v>312</v>
      </c>
      <c r="H11" s="203" t="s">
        <v>312</v>
      </c>
      <c r="I11" s="203" t="s">
        <v>312</v>
      </c>
      <c r="J11" s="203" t="s">
        <v>312</v>
      </c>
      <c r="K11" s="203" t="s">
        <v>312</v>
      </c>
      <c r="L11" s="203" t="s">
        <v>312</v>
      </c>
      <c r="M11" s="203" t="s">
        <v>312</v>
      </c>
      <c r="N11" s="203" t="s">
        <v>312</v>
      </c>
      <c r="O11" s="203" t="s">
        <v>312</v>
      </c>
      <c r="P11" s="203" t="s">
        <v>312</v>
      </c>
      <c r="Q11" s="203" t="s">
        <v>312</v>
      </c>
      <c r="R11" s="203" t="s">
        <v>312</v>
      </c>
      <c r="S11" s="203" t="s">
        <v>312</v>
      </c>
      <c r="T11" s="203" t="s">
        <v>312</v>
      </c>
      <c r="U11" s="203" t="s">
        <v>312</v>
      </c>
      <c r="V11" s="203" t="s">
        <v>312</v>
      </c>
      <c r="W11" s="203" t="s">
        <v>312</v>
      </c>
      <c r="X11" s="203" t="s">
        <v>312</v>
      </c>
      <c r="Y11" s="203" t="s">
        <v>312</v>
      </c>
      <c r="Z11" s="203" t="s">
        <v>312</v>
      </c>
      <c r="AA11" s="203" t="s">
        <v>312</v>
      </c>
      <c r="AB11" s="203" t="s">
        <v>312</v>
      </c>
      <c r="AC11" s="203" t="s">
        <v>312</v>
      </c>
      <c r="AD11" s="203" t="s">
        <v>312</v>
      </c>
      <c r="AE11" s="203" t="s">
        <v>312</v>
      </c>
      <c r="AF11" s="203" t="s">
        <v>312</v>
      </c>
      <c r="AG11" s="205">
        <v>44712</v>
      </c>
    </row>
    <row r="13" spans="1:35">
      <c r="A13" s="291" t="s">
        <v>313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188"/>
      <c r="AB13" s="292"/>
      <c r="AC13" s="264"/>
      <c r="AD13" s="264"/>
      <c r="AE13" s="264"/>
    </row>
    <row r="14" spans="1:35">
      <c r="A14" s="293" t="s">
        <v>298</v>
      </c>
      <c r="B14" s="296" t="s">
        <v>299</v>
      </c>
      <c r="C14" s="294" t="s">
        <v>300</v>
      </c>
      <c r="D14" s="229"/>
      <c r="E14" s="229"/>
      <c r="F14" s="229"/>
      <c r="G14" s="230"/>
      <c r="H14" s="295" t="s">
        <v>301</v>
      </c>
      <c r="I14" s="229"/>
      <c r="J14" s="229"/>
      <c r="K14" s="229"/>
      <c r="L14" s="230"/>
      <c r="M14" s="299" t="s">
        <v>302</v>
      </c>
      <c r="N14" s="229"/>
      <c r="O14" s="229"/>
      <c r="P14" s="229"/>
      <c r="Q14" s="230"/>
      <c r="R14" s="300" t="s">
        <v>303</v>
      </c>
      <c r="S14" s="229"/>
      <c r="T14" s="229"/>
      <c r="U14" s="229"/>
      <c r="V14" s="230"/>
      <c r="W14" s="297" t="s">
        <v>304</v>
      </c>
      <c r="X14" s="229"/>
      <c r="Y14" s="229"/>
      <c r="Z14" s="229"/>
      <c r="AA14" s="230"/>
      <c r="AB14" s="298" t="s">
        <v>314</v>
      </c>
      <c r="AC14" s="229"/>
      <c r="AD14" s="229"/>
      <c r="AE14" s="229"/>
      <c r="AF14" s="230"/>
      <c r="AG14" s="296" t="s">
        <v>305</v>
      </c>
    </row>
    <row r="15" spans="1:35">
      <c r="A15" s="235"/>
      <c r="B15" s="235"/>
      <c r="C15" s="190" t="s">
        <v>306</v>
      </c>
      <c r="D15" s="190" t="s">
        <v>307</v>
      </c>
      <c r="E15" s="190" t="s">
        <v>308</v>
      </c>
      <c r="F15" s="190" t="s">
        <v>309</v>
      </c>
      <c r="G15" s="190" t="s">
        <v>310</v>
      </c>
      <c r="H15" s="191" t="s">
        <v>306</v>
      </c>
      <c r="I15" s="191" t="s">
        <v>307</v>
      </c>
      <c r="J15" s="191" t="s">
        <v>308</v>
      </c>
      <c r="K15" s="191" t="s">
        <v>309</v>
      </c>
      <c r="L15" s="191" t="s">
        <v>310</v>
      </c>
      <c r="M15" s="192" t="s">
        <v>306</v>
      </c>
      <c r="N15" s="192" t="s">
        <v>307</v>
      </c>
      <c r="O15" s="192" t="s">
        <v>308</v>
      </c>
      <c r="P15" s="192" t="s">
        <v>309</v>
      </c>
      <c r="Q15" s="192" t="s">
        <v>310</v>
      </c>
      <c r="R15" s="193" t="s">
        <v>306</v>
      </c>
      <c r="S15" s="193" t="s">
        <v>307</v>
      </c>
      <c r="T15" s="193" t="s">
        <v>308</v>
      </c>
      <c r="U15" s="193" t="s">
        <v>309</v>
      </c>
      <c r="V15" s="193" t="s">
        <v>310</v>
      </c>
      <c r="W15" s="194" t="s">
        <v>306</v>
      </c>
      <c r="X15" s="194" t="s">
        <v>307</v>
      </c>
      <c r="Y15" s="194" t="s">
        <v>308</v>
      </c>
      <c r="Z15" s="194" t="s">
        <v>309</v>
      </c>
      <c r="AA15" s="194" t="s">
        <v>310</v>
      </c>
      <c r="AB15" s="206" t="s">
        <v>306</v>
      </c>
      <c r="AC15" s="206" t="s">
        <v>307</v>
      </c>
      <c r="AD15" s="206" t="s">
        <v>308</v>
      </c>
      <c r="AE15" s="206" t="s">
        <v>309</v>
      </c>
      <c r="AF15" s="206" t="s">
        <v>310</v>
      </c>
      <c r="AG15" s="235"/>
    </row>
    <row r="16" spans="1:35">
      <c r="A16" s="197" t="s">
        <v>311</v>
      </c>
      <c r="B16" s="290">
        <v>44865</v>
      </c>
      <c r="C16" s="199" t="s">
        <v>315</v>
      </c>
      <c r="D16" s="199" t="s">
        <v>315</v>
      </c>
      <c r="E16" s="199" t="s">
        <v>315</v>
      </c>
      <c r="F16" s="199" t="s">
        <v>315</v>
      </c>
      <c r="G16" s="199" t="s">
        <v>315</v>
      </c>
      <c r="H16" s="199" t="s">
        <v>315</v>
      </c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200"/>
    </row>
    <row r="17" spans="1:33">
      <c r="A17" s="201" t="s">
        <v>51</v>
      </c>
      <c r="B17" s="235"/>
      <c r="C17" s="203" t="s">
        <v>315</v>
      </c>
      <c r="D17" s="203" t="s">
        <v>315</v>
      </c>
      <c r="E17" s="203" t="s">
        <v>315</v>
      </c>
      <c r="F17" s="203" t="s">
        <v>315</v>
      </c>
      <c r="G17" s="203" t="s">
        <v>315</v>
      </c>
      <c r="H17" s="203" t="s">
        <v>315</v>
      </c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5"/>
    </row>
    <row r="22" spans="1:33" ht="15.75" customHeight="1"/>
    <row r="23" spans="1:33" ht="15.75" customHeight="1"/>
    <row r="24" spans="1:33" ht="15.75" customHeight="1"/>
    <row r="25" spans="1:33" ht="15.75" customHeight="1"/>
    <row r="26" spans="1:33" ht="15.75" customHeight="1"/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5">
    <mergeCell ref="R8:V8"/>
    <mergeCell ref="W8:AA8"/>
    <mergeCell ref="AB8:AF8"/>
    <mergeCell ref="AG8:AG9"/>
    <mergeCell ref="A7:Z7"/>
    <mergeCell ref="AB7:AE7"/>
    <mergeCell ref="A8:A9"/>
    <mergeCell ref="B8:B9"/>
    <mergeCell ref="C8:G8"/>
    <mergeCell ref="H8:L8"/>
    <mergeCell ref="M8:Q8"/>
    <mergeCell ref="R2:V2"/>
    <mergeCell ref="W2:AA2"/>
    <mergeCell ref="AB2:AE2"/>
    <mergeCell ref="AF2:AF3"/>
    <mergeCell ref="A1:Z1"/>
    <mergeCell ref="AB1:AE1"/>
    <mergeCell ref="A2:A3"/>
    <mergeCell ref="B2:B3"/>
    <mergeCell ref="C2:G2"/>
    <mergeCell ref="H2:L2"/>
    <mergeCell ref="M2:Q2"/>
    <mergeCell ref="AG14:AG15"/>
    <mergeCell ref="W14:AA14"/>
    <mergeCell ref="AB14:AF14"/>
    <mergeCell ref="M14:Q14"/>
    <mergeCell ref="R14:V14"/>
    <mergeCell ref="B16:B17"/>
    <mergeCell ref="B10:B11"/>
    <mergeCell ref="A13:Z13"/>
    <mergeCell ref="AB13:AE13"/>
    <mergeCell ref="A14:A15"/>
    <mergeCell ref="C14:G14"/>
    <mergeCell ref="H14:L14"/>
    <mergeCell ref="B14:B15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"/>
  <sheetViews>
    <sheetView workbookViewId="0">
      <selection sqref="A1:B1"/>
    </sheetView>
  </sheetViews>
  <sheetFormatPr baseColWidth="10" defaultColWidth="14.5" defaultRowHeight="15" customHeight="1"/>
  <sheetData>
    <row r="1" spans="1:8">
      <c r="A1" s="301" t="s">
        <v>297</v>
      </c>
      <c r="B1" s="230"/>
      <c r="D1" s="301" t="s">
        <v>313</v>
      </c>
      <c r="E1" s="230"/>
      <c r="G1" s="301" t="s">
        <v>316</v>
      </c>
      <c r="H1" s="230"/>
    </row>
    <row r="2" spans="1:8">
      <c r="A2" s="131" t="s">
        <v>46</v>
      </c>
      <c r="B2" s="207">
        <v>44509</v>
      </c>
      <c r="D2" s="131" t="s">
        <v>46</v>
      </c>
      <c r="E2" s="208">
        <v>44572</v>
      </c>
      <c r="G2" s="131" t="s">
        <v>46</v>
      </c>
      <c r="H2" s="208"/>
    </row>
    <row r="3" spans="1:8">
      <c r="A3" s="131" t="s">
        <v>51</v>
      </c>
      <c r="B3" s="207">
        <v>44523</v>
      </c>
      <c r="D3" s="131" t="s">
        <v>51</v>
      </c>
      <c r="E3" s="208">
        <v>44572</v>
      </c>
      <c r="G3" s="131" t="s">
        <v>51</v>
      </c>
      <c r="H3" s="208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5"/>
  <sheetViews>
    <sheetView workbookViewId="0"/>
  </sheetViews>
  <sheetFormatPr baseColWidth="10" defaultColWidth="14.5" defaultRowHeight="15" customHeight="1"/>
  <cols>
    <col min="1" max="1" width="20.5" customWidth="1"/>
    <col min="2" max="2" width="53.33203125" customWidth="1"/>
  </cols>
  <sheetData>
    <row r="1" spans="1:2">
      <c r="A1" s="209" t="s">
        <v>317</v>
      </c>
      <c r="B1" s="210" t="s">
        <v>318</v>
      </c>
    </row>
    <row r="2" spans="1:2">
      <c r="A2" s="211" t="s">
        <v>319</v>
      </c>
      <c r="B2" s="212" t="s">
        <v>320</v>
      </c>
    </row>
    <row r="3" spans="1:2">
      <c r="A3" s="211" t="s">
        <v>321</v>
      </c>
      <c r="B3" s="213" t="s">
        <v>322</v>
      </c>
    </row>
    <row r="4" spans="1:2">
      <c r="A4" s="211" t="s">
        <v>323</v>
      </c>
      <c r="B4" s="212" t="s">
        <v>324</v>
      </c>
    </row>
    <row r="5" spans="1:2">
      <c r="A5" s="211" t="s">
        <v>325</v>
      </c>
      <c r="B5" s="21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</vt:lpstr>
      <vt:lpstr>% fat mass</vt:lpstr>
      <vt:lpstr>Fat mass</vt:lpstr>
      <vt:lpstr>Body mass</vt:lpstr>
      <vt:lpstr>Body Comp Average</vt:lpstr>
      <vt:lpstr>qPCR</vt:lpstr>
      <vt:lpstr>Food Intake Calculation</vt:lpstr>
      <vt:lpstr>Injection Calculation</vt:lpstr>
      <vt:lpstr>Schedule of injections</vt:lpstr>
      <vt:lpstr>DOB</vt:lpstr>
      <vt:lpstr>Euthanasia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Izabelle</dc:creator>
  <cp:lastModifiedBy>Carolina L Sandoval Caballero</cp:lastModifiedBy>
  <dcterms:created xsi:type="dcterms:W3CDTF">2022-01-16T23:53:42Z</dcterms:created>
  <dcterms:modified xsi:type="dcterms:W3CDTF">2026-10-07T15:40:00Z</dcterms:modified>
</cp:coreProperties>
</file>