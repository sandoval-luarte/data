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arosandovalcab/Documents/GitHub/data/FED3/"/>
    </mc:Choice>
  </mc:AlternateContent>
  <xr:revisionPtr revIDLastSave="0" documentId="8_{F68AB8ED-9758-1347-AA0F-A973ABE926A4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fed" sheetId="1" r:id="rId1"/>
    <sheet name="virus_cno" sheetId="2" r:id="rId2"/>
    <sheet name="cal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F12" i="3" s="1"/>
  <c r="G12" i="3" s="1"/>
  <c r="F11" i="3"/>
  <c r="G11" i="3" s="1"/>
  <c r="C8" i="3"/>
  <c r="D8" i="3" s="1"/>
  <c r="G3" i="3"/>
  <c r="C3" i="3"/>
  <c r="D3" i="3" s="1"/>
  <c r="H3" i="3" s="1"/>
</calcChain>
</file>

<file path=xl/sharedStrings.xml><?xml version="1.0" encoding="utf-8"?>
<sst xmlns="http://schemas.openxmlformats.org/spreadsheetml/2006/main" count="60" uniqueCount="51">
  <si>
    <t>item name</t>
  </si>
  <si>
    <t>qty</t>
  </si>
  <si>
    <t>link</t>
  </si>
  <si>
    <t>FED3 – Feeding Device – Electronic Kit</t>
  </si>
  <si>
    <t>https://www.labmaker.org/products/fed3</t>
  </si>
  <si>
    <t>Batterysaler 1Pcs 18650 3.7v 4400mAh Li ion Rechargeable Battery Pack with JST PH2.0mm Connector 16.28Wh/4.4A, Blue, 6.6 x 1.8 cm (16.28Wh/4.4A) for Electronics, Toys, Lighting, Equipment</t>
  </si>
  <si>
    <t>https://www.amazon.com/Betteryseler-Rechargeable-Connector-Electronics-Equipment/dp/B0BBCR5XLZ</t>
  </si>
  <si>
    <t>20pcs JST-PH 2.0 Micro Electrical Male Connector Plug with 22awg 10 cm Silicone Wire(B184-20)</t>
  </si>
  <si>
    <t>https://www.amazon.com/JST-PH-Connector-Silicone-Cables-Female/dp/B0D7Q9HJLQ/ref=sr_1_1?s=electronics&amp;sr=1-1</t>
  </si>
  <si>
    <t>10pcs Upgraded Tiny Whoop JST-PH 2.0 Male and Female Connector Cable for Battery JJRC H36 H67 Blade Inductrix E010 E013</t>
  </si>
  <si>
    <t>https://www.amazon.com/Upgraded-Connector-Battery-Inductrix-Eachine/dp/B07NWD5NTN/ref=sr_1_1?s=electronics&amp;sr=1-1</t>
  </si>
  <si>
    <t>M3 x 10mm Socket Set Grub Screws Cup Point Stainless Steel 10 Pack With 1.5 mm Hex Key Wrench (10mm Length)</t>
  </si>
  <si>
    <t>https://www.amazon.com/JT-Custom-Socket-Screws-Stainless/dp/B072XWCQNW/ref=sr_1_3?sr=8-3</t>
  </si>
  <si>
    <t>uxcell Knurled Insert Nuts - 100Pcs M3 x 4mm Length x 5.4mm OD Female Thread Brass Threaded Insert Embedment Nut for 3D Printer</t>
  </si>
  <si>
    <t>https://www.amazon.com/dp/B07LBRG65J</t>
  </si>
  <si>
    <t>LiCB 10 Pack CR1220 3V Lithium Battery CR 1220</t>
  </si>
  <si>
    <t>https://www.amazon.com/dp/B0797NRXZY</t>
  </si>
  <si>
    <t>name</t>
  </si>
  <si>
    <t>plasmid #</t>
  </si>
  <si>
    <t>item</t>
  </si>
  <si>
    <t>Catalog #</t>
  </si>
  <si>
    <t>imagen de referencia</t>
  </si>
  <si>
    <t>https://www.addgene.org/44362/#44362-AAV1</t>
  </si>
  <si>
    <t>pAAV-hSyn-DIO-hM4D(Gi)-mCherry</t>
  </si>
  <si>
    <t>Plasmid #44362</t>
  </si>
  <si>
    <t>AAV1</t>
  </si>
  <si>
    <t>44362-AAV1</t>
  </si>
  <si>
    <t>https://www.addgene.org/50459/</t>
  </si>
  <si>
    <t>pAAV-hSyn-DIO-mCherry</t>
  </si>
  <si>
    <t>Plasmid #50459</t>
  </si>
  <si>
    <t>50459-AAV1</t>
  </si>
  <si>
    <t>pack</t>
  </si>
  <si>
    <t>price</t>
  </si>
  <si>
    <t>Img Ref</t>
  </si>
  <si>
    <t>https://hellobio.com/clozapine-n-oxide-dihydrochloride.html</t>
  </si>
  <si>
    <t>Clozapine N-oxide (CNO) dihydrochloride (Water soluble)</t>
  </si>
  <si>
    <t>50mg</t>
  </si>
  <si>
    <t>mg/kg</t>
  </si>
  <si>
    <t>gr</t>
  </si>
  <si>
    <t>kg</t>
  </si>
  <si>
    <t>total cno mg</t>
  </si>
  <si>
    <t>total animals</t>
  </si>
  <si>
    <t>total weeks</t>
  </si>
  <si>
    <t>total days</t>
  </si>
  <si>
    <t>total mg cno</t>
  </si>
  <si>
    <t>mg cno</t>
  </si>
  <si>
    <t>water ml</t>
  </si>
  <si>
    <t>cno per ml</t>
  </si>
  <si>
    <t>cno in 6ml</t>
  </si>
  <si>
    <t>cno mg</t>
  </si>
  <si>
    <t>50% redundancy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</si>
</sst>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</xdr:row>
      <xdr:rowOff>200025</xdr:rowOff>
    </xdr:from>
    <xdr:ext cx="8734425" cy="5524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3</xdr:row>
      <xdr:rowOff>19050</xdr:rowOff>
    </xdr:from>
    <xdr:ext cx="8601075" cy="5238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5</xdr:row>
      <xdr:rowOff>180975</xdr:rowOff>
    </xdr:from>
    <xdr:ext cx="2152650" cy="370522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JST-PH-Connector-Silicone-Cables-Female/dp/B0D7Q9HJLQ/ref=sr_1_1?s=electronics&amp;sr=1-1" TargetMode="External"/><Relationship Id="rId7" Type="http://schemas.openxmlformats.org/officeDocument/2006/relationships/hyperlink" Target="https://www.amazon.com/dp/B0797NRXZY" TargetMode="External"/><Relationship Id="rId2" Type="http://schemas.openxmlformats.org/officeDocument/2006/relationships/hyperlink" Target="https://www.amazon.com/Betteryseler-Rechargeable-Connector-Electronics-Equipment/dp/B0BBCR5XLZ" TargetMode="External"/><Relationship Id="rId1" Type="http://schemas.openxmlformats.org/officeDocument/2006/relationships/hyperlink" Target="https://www.labmaker.org/products/fed3" TargetMode="External"/><Relationship Id="rId6" Type="http://schemas.openxmlformats.org/officeDocument/2006/relationships/hyperlink" Target="https://www.amazon.com/dp/B07LBRG65J" TargetMode="External"/><Relationship Id="rId5" Type="http://schemas.openxmlformats.org/officeDocument/2006/relationships/hyperlink" Target="https://www.amazon.com/JT-Custom-Socket-Screws-Stainless/dp/B072XWCQNW/ref=sr_1_3?sr=8-3" TargetMode="External"/><Relationship Id="rId4" Type="http://schemas.openxmlformats.org/officeDocument/2006/relationships/hyperlink" Target="https://www.amazon.com/Upgraded-Connector-Battery-Inductrix-Eachine/dp/B07NWD5NTN/ref=sr_1_1?s=electronics&amp;sr=1-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ellobio.com/clozapine-n-oxide-dihydrochloride.html" TargetMode="External"/><Relationship Id="rId2" Type="http://schemas.openxmlformats.org/officeDocument/2006/relationships/hyperlink" Target="https://www.addgene.org/50459/" TargetMode="External"/><Relationship Id="rId1" Type="http://schemas.openxmlformats.org/officeDocument/2006/relationships/hyperlink" Target="https://www.addgene.org/44362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9"/>
  <sheetViews>
    <sheetView tabSelected="1" workbookViewId="0"/>
  </sheetViews>
  <sheetFormatPr baseColWidth="10" defaultColWidth="12.6640625" defaultRowHeight="15.75" customHeight="1" x14ac:dyDescent="0.15"/>
  <cols>
    <col min="2" max="2" width="102.1640625" customWidth="1"/>
    <col min="4" max="4" width="93.83203125" customWidth="1"/>
  </cols>
  <sheetData>
    <row r="1" spans="2:4" x14ac:dyDescent="0.2">
      <c r="B1" s="1" t="s">
        <v>0</v>
      </c>
      <c r="C1" s="1" t="s">
        <v>1</v>
      </c>
      <c r="D1" s="1" t="s">
        <v>2</v>
      </c>
    </row>
    <row r="2" spans="2:4" ht="15.75" customHeight="1" x14ac:dyDescent="0.15">
      <c r="B2" s="2" t="s">
        <v>3</v>
      </c>
      <c r="C2" s="3">
        <v>6</v>
      </c>
      <c r="D2" s="4" t="s">
        <v>4</v>
      </c>
    </row>
    <row r="3" spans="2:4" ht="15.75" customHeight="1" x14ac:dyDescent="0.15">
      <c r="B3" s="2" t="s">
        <v>5</v>
      </c>
      <c r="C3" s="3">
        <v>10</v>
      </c>
      <c r="D3" s="4" t="s">
        <v>6</v>
      </c>
    </row>
    <row r="4" spans="2:4" ht="15.75" customHeight="1" x14ac:dyDescent="0.15">
      <c r="B4" s="2" t="s">
        <v>7</v>
      </c>
      <c r="C4" s="3">
        <v>3</v>
      </c>
      <c r="D4" s="4" t="s">
        <v>8</v>
      </c>
    </row>
    <row r="5" spans="2:4" ht="15.75" customHeight="1" x14ac:dyDescent="0.15">
      <c r="B5" s="2" t="s">
        <v>9</v>
      </c>
      <c r="C5" s="3">
        <v>3</v>
      </c>
      <c r="D5" s="4" t="s">
        <v>10</v>
      </c>
    </row>
    <row r="6" spans="2:4" ht="15.75" customHeight="1" x14ac:dyDescent="0.15">
      <c r="B6" s="2" t="s">
        <v>11</v>
      </c>
      <c r="C6" s="3">
        <v>2</v>
      </c>
      <c r="D6" s="4" t="s">
        <v>12</v>
      </c>
    </row>
    <row r="7" spans="2:4" ht="15.75" customHeight="1" x14ac:dyDescent="0.15">
      <c r="B7" s="2" t="s">
        <v>13</v>
      </c>
      <c r="C7" s="3">
        <v>2</v>
      </c>
      <c r="D7" s="4" t="s">
        <v>14</v>
      </c>
    </row>
    <row r="8" spans="2:4" ht="15.75" customHeight="1" x14ac:dyDescent="0.15">
      <c r="B8" s="2" t="s">
        <v>15</v>
      </c>
      <c r="C8" s="3">
        <v>2</v>
      </c>
      <c r="D8" s="4" t="s">
        <v>16</v>
      </c>
    </row>
    <row r="9" spans="2:4" ht="15.75" customHeight="1" x14ac:dyDescent="0.15">
      <c r="C9" s="5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O19"/>
  <sheetViews>
    <sheetView workbookViewId="0"/>
  </sheetViews>
  <sheetFormatPr baseColWidth="10" defaultColWidth="12.6640625" defaultRowHeight="15.75" customHeight="1" x14ac:dyDescent="0.15"/>
  <cols>
    <col min="2" max="2" width="44.33203125" customWidth="1"/>
    <col min="3" max="3" width="43.33203125" customWidth="1"/>
    <col min="4" max="4" width="13" customWidth="1"/>
  </cols>
  <sheetData>
    <row r="2" spans="2:15" ht="13" x14ac:dyDescent="0.15">
      <c r="B2" s="6" t="s">
        <v>2</v>
      </c>
      <c r="C2" s="6" t="s">
        <v>17</v>
      </c>
      <c r="D2" s="6" t="s">
        <v>18</v>
      </c>
      <c r="E2" s="6" t="s">
        <v>19</v>
      </c>
      <c r="F2" s="6" t="s">
        <v>20</v>
      </c>
      <c r="G2" s="13" t="s">
        <v>21</v>
      </c>
      <c r="H2" s="14"/>
      <c r="I2" s="14"/>
      <c r="J2" s="14"/>
      <c r="K2" s="14"/>
      <c r="L2" s="14"/>
      <c r="M2" s="14"/>
      <c r="N2" s="14"/>
      <c r="O2" s="14"/>
    </row>
    <row r="3" spans="2:15" ht="45.75" customHeight="1" x14ac:dyDescent="0.15"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</row>
    <row r="4" spans="2:15" ht="47.25" customHeight="1" x14ac:dyDescent="0.15">
      <c r="B4" s="7" t="s">
        <v>27</v>
      </c>
      <c r="C4" s="8" t="s">
        <v>28</v>
      </c>
      <c r="D4" s="8" t="s">
        <v>29</v>
      </c>
      <c r="E4" s="8" t="s">
        <v>25</v>
      </c>
      <c r="F4" s="8" t="s">
        <v>30</v>
      </c>
    </row>
    <row r="5" spans="2:15" ht="13" x14ac:dyDescent="0.15">
      <c r="B5" s="9"/>
      <c r="C5" s="9"/>
    </row>
    <row r="6" spans="2:15" ht="13" x14ac:dyDescent="0.15">
      <c r="B6" s="10" t="s">
        <v>2</v>
      </c>
      <c r="C6" s="10" t="s">
        <v>17</v>
      </c>
      <c r="D6" s="10" t="s">
        <v>31</v>
      </c>
      <c r="E6" s="10" t="s">
        <v>32</v>
      </c>
      <c r="F6" s="10" t="s">
        <v>1</v>
      </c>
      <c r="G6" s="6" t="s">
        <v>33</v>
      </c>
    </row>
    <row r="7" spans="2:15" ht="13" x14ac:dyDescent="0.15">
      <c r="B7" s="7" t="s">
        <v>34</v>
      </c>
      <c r="C7" s="8" t="s">
        <v>35</v>
      </c>
      <c r="D7" s="8" t="s">
        <v>36</v>
      </c>
      <c r="E7" s="11">
        <v>514</v>
      </c>
      <c r="F7" s="8">
        <v>1</v>
      </c>
    </row>
    <row r="18" spans="4:5" ht="13" x14ac:dyDescent="0.15">
      <c r="D18" s="9"/>
      <c r="E18" s="9"/>
    </row>
    <row r="19" spans="4:5" ht="13" x14ac:dyDescent="0.15">
      <c r="D19" s="9"/>
      <c r="E19" s="9"/>
    </row>
  </sheetData>
  <mergeCells count="1">
    <mergeCell ref="G2:O2"/>
  </mergeCells>
  <hyperlinks>
    <hyperlink ref="B3" r:id="rId1" location="44362-AAV1" xr:uid="{00000000-0004-0000-0100-000000000000}"/>
    <hyperlink ref="B4" r:id="rId2" xr:uid="{00000000-0004-0000-0100-000001000000}"/>
    <hyperlink ref="B7" r:id="rId3" xr:uid="{00000000-0004-0000-0100-000002000000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H12"/>
  <sheetViews>
    <sheetView workbookViewId="0"/>
  </sheetViews>
  <sheetFormatPr baseColWidth="10" defaultColWidth="12.6640625" defaultRowHeight="15.75" customHeight="1" x14ac:dyDescent="0.15"/>
  <sheetData>
    <row r="2" spans="1:8" ht="15.75" customHeight="1" x14ac:dyDescent="0.15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</row>
    <row r="3" spans="1:8" ht="15.75" customHeight="1" x14ac:dyDescent="0.15">
      <c r="A3" s="9">
        <v>1</v>
      </c>
      <c r="B3" s="9">
        <v>30</v>
      </c>
      <c r="C3" s="9">
        <f>B3/1000</f>
        <v>0.03</v>
      </c>
      <c r="D3" s="9">
        <f>A3*C3</f>
        <v>0.03</v>
      </c>
      <c r="E3" s="9">
        <v>16</v>
      </c>
      <c r="F3" s="9">
        <v>4</v>
      </c>
      <c r="G3" s="9">
        <f>F3*7</f>
        <v>28</v>
      </c>
      <c r="H3" s="9">
        <f>D3*E3*G3</f>
        <v>13.44</v>
      </c>
    </row>
    <row r="7" spans="1:8" ht="15.75" customHeight="1" x14ac:dyDescent="0.15">
      <c r="A7" s="12" t="s">
        <v>45</v>
      </c>
      <c r="B7" s="12" t="s">
        <v>46</v>
      </c>
      <c r="C7" s="9" t="s">
        <v>47</v>
      </c>
      <c r="D7" s="9" t="s">
        <v>48</v>
      </c>
    </row>
    <row r="8" spans="1:8" ht="15.75" customHeight="1" x14ac:dyDescent="0.15">
      <c r="A8" s="12">
        <v>0.25</v>
      </c>
      <c r="B8" s="12">
        <v>50</v>
      </c>
      <c r="C8" s="9">
        <f>A8/B8</f>
        <v>5.0000000000000001E-3</v>
      </c>
      <c r="D8" s="9">
        <f>C8*6</f>
        <v>0.03</v>
      </c>
    </row>
    <row r="10" spans="1:8" ht="15.75" customHeight="1" x14ac:dyDescent="0.15">
      <c r="B10" s="9" t="s">
        <v>49</v>
      </c>
      <c r="C10" s="9" t="s">
        <v>41</v>
      </c>
      <c r="D10" s="9" t="s">
        <v>42</v>
      </c>
      <c r="E10" s="9" t="s">
        <v>43</v>
      </c>
      <c r="F10" s="9" t="s">
        <v>44</v>
      </c>
      <c r="G10" s="9" t="s">
        <v>50</v>
      </c>
    </row>
    <row r="11" spans="1:8" ht="15.75" customHeight="1" x14ac:dyDescent="0.15">
      <c r="B11" s="9">
        <v>0.25</v>
      </c>
      <c r="C11" s="9">
        <v>16</v>
      </c>
      <c r="D11" s="9">
        <v>4</v>
      </c>
      <c r="E11" s="9">
        <v>28</v>
      </c>
      <c r="F11" s="9">
        <f t="shared" ref="F11:F12" si="0">B11*C11*E11</f>
        <v>112</v>
      </c>
      <c r="G11" s="9">
        <f t="shared" ref="G11:G12" si="1">F11+(F11*0.5)</f>
        <v>168</v>
      </c>
    </row>
    <row r="12" spans="1:8" ht="15.75" customHeight="1" x14ac:dyDescent="0.15">
      <c r="B12" s="9">
        <v>0.25</v>
      </c>
      <c r="C12" s="9">
        <v>16</v>
      </c>
      <c r="D12" s="9">
        <v>4</v>
      </c>
      <c r="E12" s="9">
        <f>D12*4.5</f>
        <v>18</v>
      </c>
      <c r="F12" s="9">
        <f t="shared" si="0"/>
        <v>72</v>
      </c>
      <c r="G12" s="9">
        <f t="shared" si="1"/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</vt:lpstr>
      <vt:lpstr>virus_cno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Loreto Sandoval Caballero</cp:lastModifiedBy>
  <dcterms:created xsi:type="dcterms:W3CDTF">2026-06-23T21:54:34Z</dcterms:created>
  <dcterms:modified xsi:type="dcterms:W3CDTF">2026-06-23T21:54:34Z</dcterms:modified>
</cp:coreProperties>
</file>